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6. AOGRL Deliveries\AOGRL - Deliveries\"/>
    </mc:Choice>
  </mc:AlternateContent>
  <bookViews>
    <workbookView xWindow="-120" yWindow="-120" windowWidth="24240" windowHeight="13140"/>
  </bookViews>
  <sheets>
    <sheet name="Master Sheet" sheetId="1" r:id="rId1"/>
    <sheet name="Clients" sheetId="2" r:id="rId2"/>
  </sheets>
  <definedNames>
    <definedName name="_xlnm._FilterDatabase" localSheetId="1" hidden="1">Clients!$A$1:$Q$1</definedName>
    <definedName name="_xlnm._FilterDatabase" localSheetId="0" hidden="1">'Master Sheet'!$A$1:$L$2083</definedName>
  </definedNames>
  <calcPr calcId="152511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04" i="1" l="1"/>
  <c r="Q4" i="2" l="1"/>
  <c r="P4" i="2"/>
  <c r="Q3" i="2"/>
  <c r="P3" i="2"/>
  <c r="Q2" i="2"/>
  <c r="P2" i="2"/>
  <c r="Q6" i="2"/>
  <c r="P6" i="2"/>
  <c r="Q8" i="2"/>
  <c r="P8" i="2"/>
  <c r="Q7" i="2"/>
  <c r="P7" i="2"/>
  <c r="Q5" i="2"/>
  <c r="P5" i="2"/>
  <c r="Q2" i="1"/>
  <c r="Q4" i="1"/>
  <c r="Q3" i="1"/>
  <c r="Q6" i="1"/>
  <c r="Q5" i="1"/>
</calcChain>
</file>

<file path=xl/sharedStrings.xml><?xml version="1.0" encoding="utf-8"?>
<sst xmlns="http://schemas.openxmlformats.org/spreadsheetml/2006/main" count="11326" uniqueCount="4234">
  <si>
    <t>#</t>
  </si>
  <si>
    <t>Name</t>
  </si>
  <si>
    <t>Address</t>
  </si>
  <si>
    <t>Region</t>
  </si>
  <si>
    <t>Location</t>
  </si>
  <si>
    <t>Phone</t>
  </si>
  <si>
    <t>Client</t>
  </si>
  <si>
    <t>Collected on</t>
  </si>
  <si>
    <t>Delivered on</t>
  </si>
  <si>
    <t>Invoicing</t>
  </si>
  <si>
    <t>Invoiced On</t>
  </si>
  <si>
    <t>Comments</t>
  </si>
  <si>
    <t>Nishma Foolchund</t>
  </si>
  <si>
    <t>Royal Road , Tayak</t>
  </si>
  <si>
    <t>South</t>
  </si>
  <si>
    <t>Tyack</t>
  </si>
  <si>
    <t>Nab-Makeup</t>
  </si>
  <si>
    <t>Arusha Kureembokus</t>
  </si>
  <si>
    <t>Adolphe Street, Grand Bois</t>
  </si>
  <si>
    <t>Grand Bois</t>
  </si>
  <si>
    <t>Saarah Bhugun</t>
  </si>
  <si>
    <t>Blackbird Street, Morc Tara, Terre Rouge</t>
  </si>
  <si>
    <t>North</t>
  </si>
  <si>
    <t>Terre Rouge</t>
  </si>
  <si>
    <t>Bhavisha Padaruth</t>
  </si>
  <si>
    <t>Providence, Quartier Militaire</t>
  </si>
  <si>
    <t>Central</t>
  </si>
  <si>
    <t>Quartier Militaire</t>
  </si>
  <si>
    <t>Geeta Devi Mattapullut</t>
  </si>
  <si>
    <t>Royal Road, Roches Noires</t>
  </si>
  <si>
    <t>East</t>
  </si>
  <si>
    <t>Roches Noires</t>
  </si>
  <si>
    <t>Roumisha Joyram</t>
  </si>
  <si>
    <t>Royal Road Esperance Piton, 2nd House Behind Village Hall, Riviere Du Rempart</t>
  </si>
  <si>
    <t>North-East</t>
  </si>
  <si>
    <t>Riviere Du Rempart</t>
  </si>
  <si>
    <t>Ruksar Dilmahomed</t>
  </si>
  <si>
    <t>Seebundhun Road, Plaines des Papayes</t>
  </si>
  <si>
    <t>Plaines des Papayes</t>
  </si>
  <si>
    <t>Lakshitaa Ramautar</t>
  </si>
  <si>
    <t>Ilot Branch Road, D'Epinay, Pamplemousses</t>
  </si>
  <si>
    <t>Pamplemousses</t>
  </si>
  <si>
    <t>Bhavya Chowa</t>
  </si>
  <si>
    <t>Royal Road Morcellement St André, Pamplemousses</t>
  </si>
  <si>
    <t>Soobratty Farhana</t>
  </si>
  <si>
    <t>Centrepoint, Trianon</t>
  </si>
  <si>
    <t>Trianon</t>
  </si>
  <si>
    <t>Nouzhat Furreedan</t>
  </si>
  <si>
    <t>Emmanuel Gerard Ave, Flat Busawon, Vacoas</t>
  </si>
  <si>
    <t>Vacoas</t>
  </si>
  <si>
    <t>Pravin Janki</t>
  </si>
  <si>
    <t>Hollyrood No1, Vacoas</t>
  </si>
  <si>
    <t>Zahra Ghaseeta</t>
  </si>
  <si>
    <t>15 Cantons No.1, Vacoas</t>
  </si>
  <si>
    <t>Sahid Ghoomun</t>
  </si>
  <si>
    <t>La Caverne No 1, Vacoas</t>
  </si>
  <si>
    <t>Sabaa Khodabocus</t>
  </si>
  <si>
    <t>68, Sadally Road, Vacoas</t>
  </si>
  <si>
    <t>Hanlore Maxie</t>
  </si>
  <si>
    <t>B/O10 Cité Mangalkhan, Floreal</t>
  </si>
  <si>
    <t>Floréal</t>
  </si>
  <si>
    <t>Bankur Oozeerally Shanyah</t>
  </si>
  <si>
    <t>Mosque Road, Camp Caval, Curepipe</t>
  </si>
  <si>
    <t>Curepipe</t>
  </si>
  <si>
    <t>Eunice Ansha Sookooloo</t>
  </si>
  <si>
    <t>69 Lapeyrouse Eau Coulee Curepipe Road, Curepipe</t>
  </si>
  <si>
    <t>Dharshinee Narayanan</t>
  </si>
  <si>
    <t>17 Belle Rose Avenue, Quatre Bornes</t>
  </si>
  <si>
    <t>Plaines Wilhems</t>
  </si>
  <si>
    <t>Quatre Bornes</t>
  </si>
  <si>
    <t>Yeshnee Bye Rama Ramchurrun</t>
  </si>
  <si>
    <t>11 Western Boundary, Quatre Bornes</t>
  </si>
  <si>
    <t>Samiyah Burkutally</t>
  </si>
  <si>
    <t>Anwar E Qouba Mosque Rd, Camp Fouquereaux, Phoenix</t>
  </si>
  <si>
    <t>Phoenix</t>
  </si>
  <si>
    <t>Leshika Chukun</t>
  </si>
  <si>
    <t>Lot 125, Rue des Croiseurs, Morcellement Boulet Rouge, Central Flacq</t>
  </si>
  <si>
    <t>Central Flacq</t>
  </si>
  <si>
    <t>Syed Bibi Aisha</t>
  </si>
  <si>
    <t>Avenue Des Moineaux, Medine Camp De Masque</t>
  </si>
  <si>
    <t>Medine Camp De Masque</t>
  </si>
  <si>
    <t>Laurena Madanamoothoo</t>
  </si>
  <si>
    <t>21 Gaston Martin Street, Tranquebar, Port Louis</t>
  </si>
  <si>
    <t>North-West</t>
  </si>
  <si>
    <t>Port Louis</t>
  </si>
  <si>
    <t>59385363 / 59384536</t>
  </si>
  <si>
    <t>Razinah Ghoora</t>
  </si>
  <si>
    <t>R6 Inkerman Street, Vallee-Pitot, Port Louis</t>
  </si>
  <si>
    <t>Shaheerah Sooboa</t>
  </si>
  <si>
    <t>53 Abdool Razack Mohamed, Port Louis</t>
  </si>
  <si>
    <t>Gunowry Menasha</t>
  </si>
  <si>
    <t>12 Hesketh Bell, Tranquebar, Port Louis</t>
  </si>
  <si>
    <t>Bhuvanesha Hulloowan</t>
  </si>
  <si>
    <t>Morcellement Beeharry Boulet Rouge, Central Flacq</t>
  </si>
  <si>
    <t>Shahana Ruhomaun</t>
  </si>
  <si>
    <t>14A Bait ul noor Vallée des prêtres, Port Louis</t>
  </si>
  <si>
    <t>Ruksaar Damree</t>
  </si>
  <si>
    <t>Royal Road, Brisée Verdiere</t>
  </si>
  <si>
    <t>Brisée Verdiere</t>
  </si>
  <si>
    <t>Shabneez Nubee</t>
  </si>
  <si>
    <t>Avenue Berthaud stanley, Rose Hill</t>
  </si>
  <si>
    <t>Rose Hill</t>
  </si>
  <si>
    <t>55363005 / 58626067</t>
  </si>
  <si>
    <t>Roumina Soobhun</t>
  </si>
  <si>
    <t>Salazie road, Brisse Verdiere</t>
  </si>
  <si>
    <t>Yusrah Issimdar</t>
  </si>
  <si>
    <t>Monday to friday 9am till 4pm at Rue Louis Pasteur wan building, Port Louis</t>
  </si>
  <si>
    <t>Sneha Bye Malloo</t>
  </si>
  <si>
    <t>7, Emile Pitot Curepipe Road, Curepipe</t>
  </si>
  <si>
    <t>Priya Bundhoo</t>
  </si>
  <si>
    <t>MCIA Head Office, MSIRI Complex, Reduit</t>
  </si>
  <si>
    <t>Reduit</t>
  </si>
  <si>
    <t>Zarreen Hyder Aullybux</t>
  </si>
  <si>
    <t>Clinique Darne - Georges Guibert St, Curepipe 74111</t>
  </si>
  <si>
    <t>Archana Bissessur</t>
  </si>
  <si>
    <t>10, Rashid Khan St, Coromandel</t>
  </si>
  <si>
    <t>Central-West</t>
  </si>
  <si>
    <t>Coromandel</t>
  </si>
  <si>
    <t>Yasiirah Boodhun</t>
  </si>
  <si>
    <t>Begue Rd, Hollyrood No.1, Vacoas</t>
  </si>
  <si>
    <t>58395602 / 6847086</t>
  </si>
  <si>
    <t>Sajja Kawshar Moideen</t>
  </si>
  <si>
    <t>Gulzare Madina Road, Belvedere, Lalmatie</t>
  </si>
  <si>
    <t>Lalmatie</t>
  </si>
  <si>
    <t>Yasmina Lungtoo</t>
  </si>
  <si>
    <t>Ruisseau Rose, Long Mountain</t>
  </si>
  <si>
    <t>Long Mountain</t>
  </si>
  <si>
    <t>Shameerah Khan Domun</t>
  </si>
  <si>
    <t>Lot 172, Tarot Street, Morcellement Pousson, La Marie, Vacoas</t>
  </si>
  <si>
    <t>Adil Gumbheer</t>
  </si>
  <si>
    <t>Petit Verger, Roselyne Cottage, Saint Pierre</t>
  </si>
  <si>
    <t>Saint Pierre</t>
  </si>
  <si>
    <t>59660404 / 58589624</t>
  </si>
  <si>
    <t>Nundinee Chenigadu</t>
  </si>
  <si>
    <t>Saint Remy, Centre de Flacq</t>
  </si>
  <si>
    <t>Nauzeer B. Muneerah</t>
  </si>
  <si>
    <t>Mosque Road, Riche Mare, Flacq</t>
  </si>
  <si>
    <t>Flacq</t>
  </si>
  <si>
    <t>Heeshika Narraine Jhurry</t>
  </si>
  <si>
    <t>Camp Bellin No.1, Henrietta, Vacoas</t>
  </si>
  <si>
    <t>Deeya Maighun</t>
  </si>
  <si>
    <t>Lot 27 Morcellement La Lucie, Pont Lardier, Belair Riviere Seche</t>
  </si>
  <si>
    <t>Rushmee Toolsee</t>
  </si>
  <si>
    <t>EDC Lane, 3 Boutiques</t>
  </si>
  <si>
    <t>Triolet</t>
  </si>
  <si>
    <t>Zainab Joomun</t>
  </si>
  <si>
    <t>Arlundo Lane, Post Office Road</t>
  </si>
  <si>
    <t>Wardah Nazeer</t>
  </si>
  <si>
    <t>Avenue Emerald, Morc Le Roc, 43 Pailles</t>
  </si>
  <si>
    <t>Pailles</t>
  </si>
  <si>
    <t>Chitra Naiko</t>
  </si>
  <si>
    <t>Bois Marchand Road, Terre Rouge</t>
  </si>
  <si>
    <t>Shaima Earally</t>
  </si>
  <si>
    <t>Mosque Road</t>
  </si>
  <si>
    <t>South-East</t>
  </si>
  <si>
    <t>Plaine Magnien</t>
  </si>
  <si>
    <t>Somauroo Zainab</t>
  </si>
  <si>
    <t>Royal Road, Amaury, Belle Vue Maurel</t>
  </si>
  <si>
    <t>Belle Vue Maurel</t>
  </si>
  <si>
    <t>Bibi Zaynab Mooradally</t>
  </si>
  <si>
    <t>Halley Avenue, Morc New Town, Roches Brunes, Rose Hill</t>
  </si>
  <si>
    <t>Roches Brunes</t>
  </si>
  <si>
    <t>Dilmohamud Mushirah</t>
  </si>
  <si>
    <t>Highlands</t>
  </si>
  <si>
    <t>Nusaybah Jawaheerkhan</t>
  </si>
  <si>
    <t>Avenue Dr Jeetoo, Boundary</t>
  </si>
  <si>
    <t>Aleefah Dowlut</t>
  </si>
  <si>
    <t>Camp Mapou</t>
  </si>
  <si>
    <t>Henrietta</t>
  </si>
  <si>
    <t>Rumaisa Alladin</t>
  </si>
  <si>
    <t>16 Ave Fregatte, Mont St Daniel</t>
  </si>
  <si>
    <t>Tagally Narmeen</t>
  </si>
  <si>
    <t>Sir Virgil Naz Street (Near Citadelle Mall)</t>
  </si>
  <si>
    <t>Sharlyn Tang Ying Yuen</t>
  </si>
  <si>
    <t>Jumbo Phoenix Mall (Near MCB ATM)</t>
  </si>
  <si>
    <t>Ramothar Vidoushi</t>
  </si>
  <si>
    <t>Bon Air Branch Road</t>
  </si>
  <si>
    <t>57942683 / 2614336</t>
  </si>
  <si>
    <t>Nehha Gunga</t>
  </si>
  <si>
    <t>Camp Bombaye, Lane 2</t>
  </si>
  <si>
    <t>Adiilah Dhunny</t>
  </si>
  <si>
    <t>No 2 Bonnefin Pailles OR Riverside</t>
  </si>
  <si>
    <t>Tansera Joyub</t>
  </si>
  <si>
    <t>6 Buisson Ardent Street</t>
  </si>
  <si>
    <t>Ruttun Widaad</t>
  </si>
  <si>
    <t>Victoria House, St Louis Street</t>
  </si>
  <si>
    <t>Sooryana Parianen</t>
  </si>
  <si>
    <t>Bagatelle</t>
  </si>
  <si>
    <t>Suhailah Mandary</t>
  </si>
  <si>
    <t>50 Avenue Le Conte de Lisle</t>
  </si>
  <si>
    <t>Esha Kowlessur</t>
  </si>
  <si>
    <t>Royal Road, Camp de Masque Pave</t>
  </si>
  <si>
    <t>Deepika Atchanna</t>
  </si>
  <si>
    <t>Royal Road,</t>
  </si>
  <si>
    <t>Valetta</t>
  </si>
  <si>
    <t>Shania Sanassy</t>
  </si>
  <si>
    <t>29 pavé d’amour Lane</t>
  </si>
  <si>
    <t>Pritee Buleeram</t>
  </si>
  <si>
    <t>Bon Espoir Road</t>
  </si>
  <si>
    <t>Maëva Jaune</t>
  </si>
  <si>
    <t>Camp Madras</t>
  </si>
  <si>
    <t>Grand Gaube</t>
  </si>
  <si>
    <t>Fadil Dulloo</t>
  </si>
  <si>
    <t>Petit pacquet</t>
  </si>
  <si>
    <t>Montagne Blanche</t>
  </si>
  <si>
    <t>Lot 66 morcellement desplaces</t>
  </si>
  <si>
    <t>Raakshita Sewtohul</t>
  </si>
  <si>
    <t>University of Mauritius near auditorium</t>
  </si>
  <si>
    <t>R10 Inkerman - Vallee Pitot</t>
  </si>
  <si>
    <t>Zaheenah Boodeea</t>
  </si>
  <si>
    <t>Solesse Road</t>
  </si>
  <si>
    <t>Nouvelle France</t>
  </si>
  <si>
    <t>Tahrimah Muslum</t>
  </si>
  <si>
    <t>A25 empereur Debarcadere</t>
  </si>
  <si>
    <t>West</t>
  </si>
  <si>
    <t>Meeajane Mukoon Bibi Shaaheenah</t>
  </si>
  <si>
    <t>Ally Lane, Mesnil</t>
  </si>
  <si>
    <t>Yana Engutsamy</t>
  </si>
  <si>
    <t>301, avenue ollier</t>
  </si>
  <si>
    <t>Hayfaah Sumtally</t>
  </si>
  <si>
    <t>Co Operative Road Bel Air Riviere Seche</t>
  </si>
  <si>
    <t>Farhanah Joomun</t>
  </si>
  <si>
    <t>River side street petit bel air Mahebourg,</t>
  </si>
  <si>
    <t>Bel Air</t>
  </si>
  <si>
    <t>Deeya Rambaruth</t>
  </si>
  <si>
    <t>Ebene near DHL,</t>
  </si>
  <si>
    <t>Ebene</t>
  </si>
  <si>
    <t>Bholah Pratisha</t>
  </si>
  <si>
    <t>P.Louis Edith Cavell,</t>
  </si>
  <si>
    <t>Kirtee Ramphul</t>
  </si>
  <si>
    <t>Royal Road St François Galodyne (Elixir Supermarket) Grand Gaube,</t>
  </si>
  <si>
    <t>Deelasha Mandil</t>
  </si>
  <si>
    <t>NeXSky Building, Ebene</t>
  </si>
  <si>
    <t>Aliah Rengony</t>
  </si>
  <si>
    <t>Absa House, Ebene,</t>
  </si>
  <si>
    <t>Hiresha Bahadoor</t>
  </si>
  <si>
    <t>Royal Road Grande Riviere Sud Est</t>
  </si>
  <si>
    <t>GRSE</t>
  </si>
  <si>
    <t>Ameerah Moolkeea</t>
  </si>
  <si>
    <t>Royal road eau coulee Curepipe</t>
  </si>
  <si>
    <t>59174747 / 6969989</t>
  </si>
  <si>
    <t>Esha Bhurtun</t>
  </si>
  <si>
    <t>Royal road Floreal</t>
  </si>
  <si>
    <t>Roopashnee Dhotah</t>
  </si>
  <si>
    <t>88, Palma Road Quatre-Bornes</t>
  </si>
  <si>
    <t>Timira Radhakeesoon</t>
  </si>
  <si>
    <t>Standard Chartered Tower, Ébène</t>
  </si>
  <si>
    <t>Rachna Boodhram</t>
  </si>
  <si>
    <t>Royal Road 8th mile Triolet</t>
  </si>
  <si>
    <t>Lavishka Soodoo</t>
  </si>
  <si>
    <t>Avenue Lavendure Bambous</t>
  </si>
  <si>
    <t>Bambous</t>
  </si>
  <si>
    <t>Nidhi Mohabeer</t>
  </si>
  <si>
    <t>Royal Road Mare Tabac</t>
  </si>
  <si>
    <t>Mare Tabac</t>
  </si>
  <si>
    <t>Havisha Adhin</t>
  </si>
  <si>
    <t>Jackson Road Vacoas</t>
  </si>
  <si>
    <t>Safina Bahadoor</t>
  </si>
  <si>
    <t>Parasol Lane, Mont Fertile, New Grove</t>
  </si>
  <si>
    <t>New Grove</t>
  </si>
  <si>
    <t>Taroona Chinian</t>
  </si>
  <si>
    <t>Shivala Lane, L'Escalier</t>
  </si>
  <si>
    <t>L'Escalier</t>
  </si>
  <si>
    <t>58294713, 54729080</t>
  </si>
  <si>
    <t>Lalita Ubheemun</t>
  </si>
  <si>
    <t>Nissan Road Circonstance St Pierre</t>
  </si>
  <si>
    <t>Tejashvee B</t>
  </si>
  <si>
    <t>Appanah Lane, Upper Dagotiere</t>
  </si>
  <si>
    <t>Dagotiere</t>
  </si>
  <si>
    <t>Hadiyyah Atchia</t>
  </si>
  <si>
    <t>43 Eugene Laurent Street, Port Louis</t>
  </si>
  <si>
    <t>Sameea Ghanty</t>
  </si>
  <si>
    <t>Gunny Lane, Avenue Belle Rose, Quatre Bornes</t>
  </si>
  <si>
    <t>54284665 / 57114550</t>
  </si>
  <si>
    <t>Shabnam Jhangeer</t>
  </si>
  <si>
    <t>Plateau Road, Goodlands</t>
  </si>
  <si>
    <t>Goodlands</t>
  </si>
  <si>
    <t>Asha Boodoo</t>
  </si>
  <si>
    <t>Solferino 5, Vacoas</t>
  </si>
  <si>
    <t>Babita Pem-Mohabeer</t>
  </si>
  <si>
    <t>Royal Road Grand Bay</t>
  </si>
  <si>
    <t>Grand Bay</t>
  </si>
  <si>
    <t>Ruksaar Durgahee</t>
  </si>
  <si>
    <t>Avenue Perche 3, Pailles</t>
  </si>
  <si>
    <t>58963808 / 59033340</t>
  </si>
  <si>
    <t>Marie Emillie Tasiana Hypolite</t>
  </si>
  <si>
    <t>B11 Cite EDC, Henrietta</t>
  </si>
  <si>
    <t>Roodeetah Mungur</t>
  </si>
  <si>
    <t>Swan, Port Louis</t>
  </si>
  <si>
    <t>Suman Poonuth</t>
  </si>
  <si>
    <t>Swaraj Road, Petit Raffray</t>
  </si>
  <si>
    <t>Petit Raffray</t>
  </si>
  <si>
    <t>Banoo Mooraby</t>
  </si>
  <si>
    <t>218 Sadally Road, Vacoas</t>
  </si>
  <si>
    <t>Juwayia Peerbux</t>
  </si>
  <si>
    <t>5 Avenue La Louise, Quatre Bornes</t>
  </si>
  <si>
    <t>Zaafirah Keramuth</t>
  </si>
  <si>
    <t>Kader Road, Belvedere or Notre Dame</t>
  </si>
  <si>
    <t>Belvedere</t>
  </si>
  <si>
    <t>Suhaila Fatimah Ismael</t>
  </si>
  <si>
    <t>Royal Road, Medine, Camp De Masque</t>
  </si>
  <si>
    <t>Shiksha Sanmukhiya</t>
  </si>
  <si>
    <t>Royal Road, Central Flacq</t>
  </si>
  <si>
    <t>Shashthee Gooroochurun</t>
  </si>
  <si>
    <t>La Ligne Road, Pavillon, Cap Malheureux</t>
  </si>
  <si>
    <t>Cap Malheureux</t>
  </si>
  <si>
    <t>Komal Simmento</t>
  </si>
  <si>
    <t>Coonee Road, Trois Bras, Petit Raffray</t>
  </si>
  <si>
    <t>Chayaa Sobhee</t>
  </si>
  <si>
    <t>Accuvise Administrators Limited, 7A Mayer Street, Behind Radio Plus, Port Louis</t>
  </si>
  <si>
    <t>Shaliha Oumé Baichoo</t>
  </si>
  <si>
    <t>21, Ail Doré, Plaine Verte, Port Louis</t>
  </si>
  <si>
    <t>Aneesah Toofany</t>
  </si>
  <si>
    <t>Toofany Road, Surinam</t>
  </si>
  <si>
    <t>Surinam</t>
  </si>
  <si>
    <t>Megha Urjoon</t>
  </si>
  <si>
    <t>Maman Saluja Ltee, Lot 8A &amp; 8B, Industrial Zone, Geoffrey, Bambous</t>
  </si>
  <si>
    <t>Yashna Gunga</t>
  </si>
  <si>
    <t>La Lucie Building, Bel Air Rivière Seche</t>
  </si>
  <si>
    <t>Stella Monrose Jahasha</t>
  </si>
  <si>
    <t>Cremation Road, Belle Mare</t>
  </si>
  <si>
    <t>Belle Mare</t>
  </si>
  <si>
    <t>Arzinah Ajaree</t>
  </si>
  <si>
    <t>Royal Road, Nouvelle Decouverte</t>
  </si>
  <si>
    <t>Urvashi Roopa</t>
  </si>
  <si>
    <t>Savanne Road, Nouvelle France</t>
  </si>
  <si>
    <t>Jenita Labonne</t>
  </si>
  <si>
    <t>Geoffroy Road, Bambous</t>
  </si>
  <si>
    <t>Menisa Pahladi</t>
  </si>
  <si>
    <t>Royal Road, Valetta</t>
  </si>
  <si>
    <t>Afrinbanu Rujub</t>
  </si>
  <si>
    <t>Royal Road, Brisee Verdiere</t>
  </si>
  <si>
    <t>Karan Seechurn</t>
  </si>
  <si>
    <t>Canton Bel Eau, Pamplemousses</t>
  </si>
  <si>
    <t>Bhawoonath Souman</t>
  </si>
  <si>
    <t>Gros Billot, Bois d'oiseau Lane, New Grove</t>
  </si>
  <si>
    <t>Juliana Clement</t>
  </si>
  <si>
    <t>G29 Residence Geranium, NHDC Camp Levieux, Rose Hill</t>
  </si>
  <si>
    <t>Jeetoo Maleehah Bibi</t>
  </si>
  <si>
    <t>40C Parisot Road, Mesnil</t>
  </si>
  <si>
    <t>Neha Beeharry</t>
  </si>
  <si>
    <t>14 Avenue Yang Ylang</t>
  </si>
  <si>
    <t>Varuna Ramburrun</t>
  </si>
  <si>
    <t>Royal Road, St Julien D'Hotman</t>
  </si>
  <si>
    <t>St Julien D'Hotman</t>
  </si>
  <si>
    <t>Reshma Dhondoo</t>
  </si>
  <si>
    <t>CEB</t>
  </si>
  <si>
    <t>Mrs Joomun Dahoo</t>
  </si>
  <si>
    <t>Shakespere Lane, Plaine Des Papayes</t>
  </si>
  <si>
    <t>Amiirah Deenmahomed</t>
  </si>
  <si>
    <t>Moncellement Currumthalee, Glen Park</t>
  </si>
  <si>
    <t>Areefah Peerun</t>
  </si>
  <si>
    <t>120B Royal Road, Phoenix</t>
  </si>
  <si>
    <t>Bibi Yasmine Hessamdee</t>
  </si>
  <si>
    <t>Royal Road, Nouvelle France</t>
  </si>
  <si>
    <t>Esha Soorlall</t>
  </si>
  <si>
    <t>Royal Road, La Flora</t>
  </si>
  <si>
    <t>La Flora</t>
  </si>
  <si>
    <t>Farheen Hossenbocus</t>
  </si>
  <si>
    <t>Camp Berthaud, Britannia</t>
  </si>
  <si>
    <t>Britannia</t>
  </si>
  <si>
    <t>Felicia Sansfleur Saminathen</t>
  </si>
  <si>
    <t>Block B7, Cité Saint Aubin</t>
  </si>
  <si>
    <t>Furreed Mariam</t>
  </si>
  <si>
    <t>Ibn vale, Lower vale, Vale</t>
  </si>
  <si>
    <t>Vale</t>
  </si>
  <si>
    <t>Hayna Golamaully</t>
  </si>
  <si>
    <t>La Croisette, Grand Baie</t>
  </si>
  <si>
    <t>Grand Baie</t>
  </si>
  <si>
    <t>Heerah Ashilya</t>
  </si>
  <si>
    <t>Canal Lane, St Julien d’Hotman</t>
  </si>
  <si>
    <t>Hiswaree Ramloll</t>
  </si>
  <si>
    <t>Paul et Virginie street, Lesperance, Quartier Militaire</t>
  </si>
  <si>
    <t>Jeetoo Rishita</t>
  </si>
  <si>
    <t>Petite Cabane Road, Camp de Masque Pave</t>
  </si>
  <si>
    <t>Karishma Bedassee</t>
  </si>
  <si>
    <t>Lot 89, Morcellement Boulet Rouge, Boulet Rouge, Flacq</t>
  </si>
  <si>
    <t>Keshini Chattoo</t>
  </si>
  <si>
    <t>43 Fernard Louis Maurel Street, Grand river north west</t>
  </si>
  <si>
    <t>Grand River North West</t>
  </si>
  <si>
    <t>Khoushboo Hatchootah</t>
  </si>
  <si>
    <t>L'Escalier, Tagore Lane</t>
  </si>
  <si>
    <t>Lutchmee Kanhiya</t>
  </si>
  <si>
    <t>Royal Road Bananes, Cluny, Grand Port</t>
  </si>
  <si>
    <t>Cluny</t>
  </si>
  <si>
    <t>Lutchmun Vristee</t>
  </si>
  <si>
    <t>Shrimati Indira Gandhi Road, Pointe Aux Piments, Triolet</t>
  </si>
  <si>
    <t>Melina Janvier</t>
  </si>
  <si>
    <t>Road 1, Apalise Lane, 15 Cantons, Tabagie Islam, Vacoas</t>
  </si>
  <si>
    <t>Nabeehah Nuthay</t>
  </si>
  <si>
    <t>76, Etienne Pelereau, Port-Louis</t>
  </si>
  <si>
    <t>Namrata Etwareea</t>
  </si>
  <si>
    <t>Morcellement Jeeraz, Maison Blanche, Pamplemousses</t>
  </si>
  <si>
    <t>Neha Sohabul</t>
  </si>
  <si>
    <t>Temple Road, Quartier Militaire</t>
  </si>
  <si>
    <t>Vasthi Callachand</t>
  </si>
  <si>
    <t>Saint Hubert / Riche En Eau</t>
  </si>
  <si>
    <t>Saint Hubert</t>
  </si>
  <si>
    <t>Ravishka Devi Seewoodharry</t>
  </si>
  <si>
    <t>Royal Road, L'escalier, Grand Port</t>
  </si>
  <si>
    <t>Sadi Delior</t>
  </si>
  <si>
    <t>Cnr Ave De Coriolis Royal Road, Belle Rose</t>
  </si>
  <si>
    <t>Belle Rose</t>
  </si>
  <si>
    <t>6 Buisson Ardent Street, Terre Rouge</t>
  </si>
  <si>
    <t>Mohini Jugoo</t>
  </si>
  <si>
    <t>32 A, Les Casernes, Curepipe</t>
  </si>
  <si>
    <t>Tanya Donzé</t>
  </si>
  <si>
    <t>Chemin 20 pieds, Grand Baie</t>
  </si>
  <si>
    <t>Zaynah Ramjan</t>
  </si>
  <si>
    <t>Lot 165B, Morc Anna, Flic-en-flac</t>
  </si>
  <si>
    <t>Preeyankha Gunputh</t>
  </si>
  <si>
    <t>Bank of Baroda</t>
  </si>
  <si>
    <t>Shristi Beezlall</t>
  </si>
  <si>
    <t>Roshni Road, Fond du sac, Port Louis</t>
  </si>
  <si>
    <t>Fond du Sac</t>
  </si>
  <si>
    <t>Taniya Ashika Latouche</t>
  </si>
  <si>
    <t>Anooja Jugoo</t>
  </si>
  <si>
    <t>L'Assurance Road, Dagotiere</t>
  </si>
  <si>
    <t>Muhammad Azhar Earally</t>
  </si>
  <si>
    <t>Mosque Road, Plaine Magnien, Mauritius</t>
  </si>
  <si>
    <t>Rajiv Ramphul</t>
  </si>
  <si>
    <t>Kasory Lane, La Rosa, Grand Port District, Mauritius</t>
  </si>
  <si>
    <t>Yeshna Nemdharry</t>
  </si>
  <si>
    <t>10 Mon Gungah Larosa</t>
  </si>
  <si>
    <t>Saheeba Soobratty</t>
  </si>
  <si>
    <t>Royal Road, Grand Bois ( Near Twilight Shop), Savanne</t>
  </si>
  <si>
    <t>Savanne</t>
  </si>
  <si>
    <t>Mrs Tinasha Naikoo</t>
  </si>
  <si>
    <t>Royal Road, Cluny</t>
  </si>
  <si>
    <t>Pratibha Lutchmah</t>
  </si>
  <si>
    <t>Morcellement VRS, D’Epinay, Mauritius</t>
  </si>
  <si>
    <t>D'Epinay</t>
  </si>
  <si>
    <t>Bibi Samira Ameenah</t>
  </si>
  <si>
    <t>Pavillon Road, Cap-Malheureux, Mauritius</t>
  </si>
  <si>
    <t>Jessica Gurreeboo</t>
  </si>
  <si>
    <t>Old Pailles Road, Ideco Ltd, Pailles West, Mauritius</t>
  </si>
  <si>
    <t>Rubainah Ollee</t>
  </si>
  <si>
    <t>Royal Road, Goodlands (Pharmacy Burahee Vis À Vis La Post Goodlands)</t>
  </si>
  <si>
    <t>Ivania Marday</t>
  </si>
  <si>
    <t>Flat No4, Auckbarally House, La Caverne, Vacoas</t>
  </si>
  <si>
    <t>Laure Martin</t>
  </si>
  <si>
    <t>11 Rue Camelia Terrasson Pointe Aux Sables</t>
  </si>
  <si>
    <t>Pointe Aux Sables</t>
  </si>
  <si>
    <t>Sabrina Parrianen</t>
  </si>
  <si>
    <t>Appt NHDC N07 La Caverne Vacoas</t>
  </si>
  <si>
    <t>Narainnee Kardaree</t>
  </si>
  <si>
    <t>Ramphul Lane 16eme Mille F.Side</t>
  </si>
  <si>
    <t>Forest Side</t>
  </si>
  <si>
    <t>Yashni Beetalah</t>
  </si>
  <si>
    <t>10 Route Bassin Quatre Bornes</t>
  </si>
  <si>
    <t>Bhogun Brojmohun Sneha</t>
  </si>
  <si>
    <t>School Lane Petit Raffray</t>
  </si>
  <si>
    <t>Tiroomalai Mathurai Tirvassen</t>
  </si>
  <si>
    <t>Daboo Lane, Quinze Cantons, Vacoas</t>
  </si>
  <si>
    <t>Zakkiyya Chukhowry</t>
  </si>
  <si>
    <t>Chakowa Lane, La Caverne No.1, Vacoas</t>
  </si>
  <si>
    <t>Vanelli Modely Vyapooree</t>
  </si>
  <si>
    <t>Royal Road, Amaury</t>
  </si>
  <si>
    <t>Amaury</t>
  </si>
  <si>
    <t>Ourvassi Pillay Narrainen</t>
  </si>
  <si>
    <t>C5, Cité St Luc Avenue Des Sapins Forest Side</t>
  </si>
  <si>
    <t>57878891 / 54944479</t>
  </si>
  <si>
    <t>Hayfa Sundhoo</t>
  </si>
  <si>
    <t>218 Pagoda Street Stanley Rosehill</t>
  </si>
  <si>
    <t>Karishma Sham Ramroop</t>
  </si>
  <si>
    <t>Kestrel Street, Cottage</t>
  </si>
  <si>
    <t>Cottage</t>
  </si>
  <si>
    <t>Teesha Imrit</t>
  </si>
  <si>
    <t>23 Baxipeea Street Roche Bois Port Louis</t>
  </si>
  <si>
    <t>Roche Bois</t>
  </si>
  <si>
    <t>Vedisha Khoody</t>
  </si>
  <si>
    <t>56 Morcellement MDA Dagotiere</t>
  </si>
  <si>
    <t>Royal Road Valetta</t>
  </si>
  <si>
    <t>Shikha Sham</t>
  </si>
  <si>
    <t>Royal Road Valton Long Mountain</t>
  </si>
  <si>
    <t>Moka</t>
  </si>
  <si>
    <t>Tasneem Beeharry</t>
  </si>
  <si>
    <t>81 Raoul Rivet Port Louis</t>
  </si>
  <si>
    <t>Jeshna Ittoo</t>
  </si>
  <si>
    <t>Palma Rd, Quatre-Bornes(Depending On Delivery Day)</t>
  </si>
  <si>
    <t>Shifa Rehmati Joomun</t>
  </si>
  <si>
    <t>Triolet 7eme Mille Sungaralingum Lane</t>
  </si>
  <si>
    <t>Pryeshma Divya Chady-Samjawon</t>
  </si>
  <si>
    <t>Veerasawmy Street, Cottage</t>
  </si>
  <si>
    <t>Rakshiny Peerthee</t>
  </si>
  <si>
    <t>Camp Fouquereaux Phoenix</t>
  </si>
  <si>
    <t>Kivisti Naddali</t>
  </si>
  <si>
    <t>Lot 44, Morc Louis Regnaud, Deep River, Olivia</t>
  </si>
  <si>
    <t>Deep River</t>
  </si>
  <si>
    <t>Jerome Kaudeer</t>
  </si>
  <si>
    <t>Reetoo Road, Grande Retraite</t>
  </si>
  <si>
    <t>Grande Retraite</t>
  </si>
  <si>
    <t>Julliette Sarah Leticha Manuellita</t>
  </si>
  <si>
    <t>Sir Edgar Laurent, Roche Terre</t>
  </si>
  <si>
    <t>Roche Terre</t>
  </si>
  <si>
    <t>Manesha Chunwan</t>
  </si>
  <si>
    <t>Coteau Raffin, La Gaulette</t>
  </si>
  <si>
    <t>La Gaulette</t>
  </si>
  <si>
    <t>58262767 / 59350595</t>
  </si>
  <si>
    <t>Sarah Madina</t>
  </si>
  <si>
    <t>Avenue Des Cateaux Vert, Mont Ida</t>
  </si>
  <si>
    <t>Mont Ida</t>
  </si>
  <si>
    <t>Bibi Aisha Rujbally</t>
  </si>
  <si>
    <t>Remy Oillier Avenue, Phoenix</t>
  </si>
  <si>
    <t>Deepa Shaib</t>
  </si>
  <si>
    <t>Royal Road, Grand Gaube</t>
  </si>
  <si>
    <t>Keerty Chummah</t>
  </si>
  <si>
    <t>ABC Banking Corporation, Place D’Armes, Port Louis</t>
  </si>
  <si>
    <t>Manisha Sanoo</t>
  </si>
  <si>
    <t>La Mairee, Eau Coulee, Curepipe, Mauritius</t>
  </si>
  <si>
    <t>Survashi Neersoo</t>
  </si>
  <si>
    <t>Jaya Nunkoo</t>
  </si>
  <si>
    <t>Seesunkur Road, Quartier Militaire</t>
  </si>
  <si>
    <t>Madhvi Mungra</t>
  </si>
  <si>
    <t>La Rue Lees, Curepipe, Near Housing</t>
  </si>
  <si>
    <t>Diksha Caussy</t>
  </si>
  <si>
    <t>Royal Road, Grand Baie, Near La Terrasse Kot Ancien Post Office</t>
  </si>
  <si>
    <t>Koorshida Khodabuccus</t>
  </si>
  <si>
    <t>Royal Road, Morcellement Saint André</t>
  </si>
  <si>
    <t>Roshni Bhungee</t>
  </si>
  <si>
    <t>9th Mile, Triolet, Maheshwar Nagri Rd</t>
  </si>
  <si>
    <t>Dia Umanee</t>
  </si>
  <si>
    <t>RSA Trading &amp; Engineering, 34 Ligne Berthaud, Vacoas</t>
  </si>
  <si>
    <t>Prishni Seenundun</t>
  </si>
  <si>
    <t>Shivala Road, Kewal Nagar, Bel Air</t>
  </si>
  <si>
    <t>Yassir Bholah</t>
  </si>
  <si>
    <t>Camp Lilas, Triolet</t>
  </si>
  <si>
    <t>Appadoo Vanishta</t>
  </si>
  <si>
    <t>48 Avenue Telfair, Quatre Bornes</t>
  </si>
  <si>
    <t>Saniah Raymode</t>
  </si>
  <si>
    <t>Morcellement Highlands Rose, Highlands</t>
  </si>
  <si>
    <t>Hossain Bibi Saib Narmeen</t>
  </si>
  <si>
    <t>Hermitage, Phoenix</t>
  </si>
  <si>
    <t>Mallika Golap</t>
  </si>
  <si>
    <t>Morcellement Leclezio, Forest Side</t>
  </si>
  <si>
    <t>Shameerah Hajaree</t>
  </si>
  <si>
    <t>Paradise Street, Batimarais</t>
  </si>
  <si>
    <t>Batimarais</t>
  </si>
  <si>
    <t>Vandana Soodin</t>
  </si>
  <si>
    <t>Mahatma Gandhi Road, Bonne Mere, Flacq</t>
  </si>
  <si>
    <t>Isha Jyotee Jeebun</t>
  </si>
  <si>
    <t>64 Rue Begonia, Morcellement Jubhroo, Trou Aux Biches</t>
  </si>
  <si>
    <t>Trou Aux Biches</t>
  </si>
  <si>
    <t>Reema Chellaya</t>
  </si>
  <si>
    <t>Rue Labourdonnais, Mahebourg</t>
  </si>
  <si>
    <t>South East</t>
  </si>
  <si>
    <t>Mahebourg</t>
  </si>
  <si>
    <t>Pooja Soomarooa</t>
  </si>
  <si>
    <t>Charbon Lane, Montagne Blanche</t>
  </si>
  <si>
    <t>Anusha Bhudhundee</t>
  </si>
  <si>
    <t>Morcellement VRS 2, New Grove</t>
  </si>
  <si>
    <t>Roukaya Joomun</t>
  </si>
  <si>
    <t>River Side Street, Bel Air, Mauritius</t>
  </si>
  <si>
    <t>Aatish</t>
  </si>
  <si>
    <t>Prince of Wales Street, 7th Mile, Triolet</t>
  </si>
  <si>
    <t>COD 2700</t>
  </si>
  <si>
    <t>Sadiyah Sarvar</t>
  </si>
  <si>
    <t>Morcellement St Aubin No 100</t>
  </si>
  <si>
    <t>St Aubin</t>
  </si>
  <si>
    <t>Appt NHDC N07, La Caverne, Vacoas</t>
  </si>
  <si>
    <t>La Caverne</t>
  </si>
  <si>
    <t>Rushaa Boodhoo</t>
  </si>
  <si>
    <t>Royal Road, Melle Laure, Terre Rouge</t>
  </si>
  <si>
    <t>Dusmahomed Mushirah</t>
  </si>
  <si>
    <t>21 Chalet St, Vallee Pitot, Port Louis</t>
  </si>
  <si>
    <t>Keshnee Keenoo</t>
  </si>
  <si>
    <t>Royal Road, Rivere du Poste</t>
  </si>
  <si>
    <t>Pallavi Ramkissoon</t>
  </si>
  <si>
    <t>Royal Rd, Fond du Sac</t>
  </si>
  <si>
    <t>Rivière du Rempart</t>
  </si>
  <si>
    <t>Annaelle St Cyr</t>
  </si>
  <si>
    <t>8G Mere Theresa Street, Roches Brunes</t>
  </si>
  <si>
    <t>Mushiirah Lallmahomed</t>
  </si>
  <si>
    <t>Stanley, Rose Hill</t>
  </si>
  <si>
    <t>Nundlall Vedita</t>
  </si>
  <si>
    <t>Health Centre, Mohit Road, L'avenir, Rose Hill</t>
  </si>
  <si>
    <t>Dharshini Koolman</t>
  </si>
  <si>
    <t>Chaussée Tromlin, Mer Rouge, Port Louis</t>
  </si>
  <si>
    <t>Mer Rouge</t>
  </si>
  <si>
    <t>Ashley Shookhye</t>
  </si>
  <si>
    <t>Mellish Street, Forest Side</t>
  </si>
  <si>
    <t>Kheshinibye Toocaram</t>
  </si>
  <si>
    <t>MTML Square, 63, Cyber City, Ébène</t>
  </si>
  <si>
    <t>Antish Sham</t>
  </si>
  <si>
    <t>UoM, Réduit (Weekdays) / Curepipe (Weekend)</t>
  </si>
  <si>
    <t>Moka / Plaines Wilhems</t>
  </si>
  <si>
    <t>Farheen Bhoodoo</t>
  </si>
  <si>
    <t>Hossenbux Building, Vacoas</t>
  </si>
  <si>
    <t>Amirah Enayeth</t>
  </si>
  <si>
    <t>La Marie Road, Vacoas</t>
  </si>
  <si>
    <t>Milene Bien Aimé</t>
  </si>
  <si>
    <t>Rose Hill Police Station, Royal Road, Rose Hill</t>
  </si>
  <si>
    <t>Jahaly Zainab</t>
  </si>
  <si>
    <t>Morcellement Savannah, Camp Diable</t>
  </si>
  <si>
    <t>Camp Diable</t>
  </si>
  <si>
    <t>Kavya Chendradoo</t>
  </si>
  <si>
    <t>Subash Chandra Bose Street, La Clemence</t>
  </si>
  <si>
    <t>La Clemence</t>
  </si>
  <si>
    <t>Caldwell Lane, Glen Park, Vacoas</t>
  </si>
  <si>
    <t>Soobug Vidoushi</t>
  </si>
  <si>
    <t>Carreau Esnouf, Plaine Magnien</t>
  </si>
  <si>
    <t>Grand Port</t>
  </si>
  <si>
    <t>Bibi Ashïfa Hussein Vydelingum</t>
  </si>
  <si>
    <t>19B La Caverne No1, Vacoas</t>
  </si>
  <si>
    <t>Yootika Soobhujhun</t>
  </si>
  <si>
    <t>NHDC F12, Montagne Blanche</t>
  </si>
  <si>
    <t>Zahirah Maderbocus</t>
  </si>
  <si>
    <t>18 Thomy d’Arifat, Curepipe</t>
  </si>
  <si>
    <t>10 Route Bassin, Quatre Bornes</t>
  </si>
  <si>
    <t>Sarah Roussel</t>
  </si>
  <si>
    <t>46 Morcellement Hillside, Butte Aux Papayes, Pamplemousses (Delivery from 5th May)</t>
  </si>
  <si>
    <t>Butte Aux Papayes</t>
  </si>
  <si>
    <t>COD 2470</t>
  </si>
  <si>
    <t>Nouzhah Jeeroo</t>
  </si>
  <si>
    <t>Gilbert Road, Plaine Magnien</t>
  </si>
  <si>
    <t>Melina Juggapah</t>
  </si>
  <si>
    <t>3, Cemetry Road, Circonstance, St Pierre</t>
  </si>
  <si>
    <t>Aunjum Samratty</t>
  </si>
  <si>
    <t>Royal Road, Medine Camp De Masque</t>
  </si>
  <si>
    <t>Surayyah Meeakhan</t>
  </si>
  <si>
    <t>41, Paul Taureau, Port Louis</t>
  </si>
  <si>
    <t>Khushmita Rai Jalim</t>
  </si>
  <si>
    <t>Shivala Road, Calebasses</t>
  </si>
  <si>
    <t>Calebasses</t>
  </si>
  <si>
    <t>Adillah Aisha Toraubally</t>
  </si>
  <si>
    <t>227 Boundary Rose, Muslun Lane No.2, Rose Hill</t>
  </si>
  <si>
    <t>Neerooa Beebee Anbar Rushaa</t>
  </si>
  <si>
    <t>Morisson Road, Pamplemousses</t>
  </si>
  <si>
    <t>Bibi Anbar Fadiilah Hosanee</t>
  </si>
  <si>
    <t>Mosque Rd, Highlands, Phoenix</t>
  </si>
  <si>
    <t>Yusra Nuckched</t>
  </si>
  <si>
    <t>Avenue Mercure, Morc Raffray, Pailles</t>
  </si>
  <si>
    <t>Sheelanah Balloo</t>
  </si>
  <si>
    <t>Madame Lolo Road, Rose Belle</t>
  </si>
  <si>
    <t>Rose Belle</t>
  </si>
  <si>
    <t>Darseeny Mootoosamy</t>
  </si>
  <si>
    <t>Camp Le Vieux, Rose Hill</t>
  </si>
  <si>
    <t>Pooniavadee Parasuramen</t>
  </si>
  <si>
    <t>MCB Port Louis</t>
  </si>
  <si>
    <t>Royal Road, Centre De Flacq, Mauritius</t>
  </si>
  <si>
    <t>Appadoo Mansha</t>
  </si>
  <si>
    <t>Pointe D’Esny Road, Beauvallon</t>
  </si>
  <si>
    <t>Nasreen Soopun-Jeetoo</t>
  </si>
  <si>
    <t>Municipal Council of Vacoas-Phoenix, St Paul Road, Vacoas</t>
  </si>
  <si>
    <t>Saagooftah Doarika</t>
  </si>
  <si>
    <t>35 Les Guibes, Pailles, Mauritius</t>
  </si>
  <si>
    <t>Hans Purmah</t>
  </si>
  <si>
    <t>PwC, Telfaire, Moka, Mauritius</t>
  </si>
  <si>
    <t>Peerthee Yorita</t>
  </si>
  <si>
    <t>Camp-Fauquereaux, Phoenix, Mauritius</t>
  </si>
  <si>
    <t>Geetisha Sandhoo</t>
  </si>
  <si>
    <t>Royal Road, Petit Raffray</t>
  </si>
  <si>
    <t>Bhaveshni Seetaloo</t>
  </si>
  <si>
    <t>Rue Boulangerie, Ville Noire, Mahebourg</t>
  </si>
  <si>
    <t>Marie Christina Annabelle Moutou</t>
  </si>
  <si>
    <t>Flamants Road, Pereybere, 30519, North</t>
  </si>
  <si>
    <t>Pereybere</t>
  </si>
  <si>
    <t>Beegoo Janvee Devi</t>
  </si>
  <si>
    <t>Royal Road, Union Park (vis-à-vis Cluny Road)</t>
  </si>
  <si>
    <t>Union Park</t>
  </si>
  <si>
    <t>Exchange</t>
  </si>
  <si>
    <t>Rhasna Bholee</t>
  </si>
  <si>
    <t>Med Point (Hospital) Clinic - Vacoas-Phoenix</t>
  </si>
  <si>
    <t>Cancelled</t>
  </si>
  <si>
    <t>Client bought the unit</t>
  </si>
  <si>
    <t>Ourvashi Benarasi</t>
  </si>
  <si>
    <t xml:space="preserve">Princess Margaret 3 street 
Mont Fertile New Grove </t>
  </si>
  <si>
    <t>Kelly Li Shing Cheong</t>
  </si>
  <si>
    <t>219 Avenue Mgr Leen, Bassin, Quatre Bornes</t>
  </si>
  <si>
    <t>Jhuboo Laila</t>
  </si>
  <si>
    <t>Gustave Colin, Forest-Side, Curepipe</t>
  </si>
  <si>
    <t>Rushika Bahadoor</t>
  </si>
  <si>
    <t>Football Lane, Mare D'Albert</t>
  </si>
  <si>
    <t>Mare D'Albert</t>
  </si>
  <si>
    <t>Roukhaiya Horinaiko</t>
  </si>
  <si>
    <t>C/o Mr Yousouf Ramjan, 4 Diego Garcia, Port Louis</t>
  </si>
  <si>
    <t>Reetoo Jayshree Jenita</t>
  </si>
  <si>
    <t>St Joseph Road, Terre Rouge, St Joseph</t>
  </si>
  <si>
    <t>Yaasin Munsah</t>
  </si>
  <si>
    <t>Cemetery Road, L'Escalier</t>
  </si>
  <si>
    <t>Terry-Ann Appadoo</t>
  </si>
  <si>
    <t>F12 NHDC La Concorde, Camp-Levieux, Rose-Hill 71255</t>
  </si>
  <si>
    <t>Shirine Bahsu</t>
  </si>
  <si>
    <t>Branch Road, Gros-Billot, New-Grove</t>
  </si>
  <si>
    <t>New-Grove</t>
  </si>
  <si>
    <t>Gorayah Swatty</t>
  </si>
  <si>
    <t>Jkalachand, Shivala Road, 45, Dubreuil</t>
  </si>
  <si>
    <t>Dubreuil</t>
  </si>
  <si>
    <t>Muhammud Ali Callachand</t>
  </si>
  <si>
    <t>1, Pont St Louis, Pailles, Port Louis</t>
  </si>
  <si>
    <t>Vanessa Nagamootoo</t>
  </si>
  <si>
    <t>Sir Emile Series Lane, St Julien Dhotman</t>
  </si>
  <si>
    <t>Gajadar Preeshani</t>
  </si>
  <si>
    <t>Avenue la forge, Palma, Quatre Bornes</t>
  </si>
  <si>
    <t>Karishma Jeetah</t>
  </si>
  <si>
    <t>43, Sir Edward Nairac Street, Chebel, Beau Bassin</t>
  </si>
  <si>
    <t>Beau Bassin</t>
  </si>
  <si>
    <t>Cnr Ave De Coriolis, Royal Road, Belle Rose</t>
  </si>
  <si>
    <t>Simran Swamber</t>
  </si>
  <si>
    <t>La Source, Centre de Flacq</t>
  </si>
  <si>
    <t>Centre de Flacq</t>
  </si>
  <si>
    <t>Allyocha Burridge</t>
  </si>
  <si>
    <t>Avenue Jérôme Tranquille, Artichaut Lane 1, Vacoas</t>
  </si>
  <si>
    <t>Clairfonds No 1, Vacoas</t>
  </si>
  <si>
    <t>Radhaluxmee Joggessur</t>
  </si>
  <si>
    <t>Poudre D'Or Hamlet Government School</t>
  </si>
  <si>
    <t>Riviere du Rempart</t>
  </si>
  <si>
    <t>Divya Beekaree</t>
  </si>
  <si>
    <t>Royal Road, Lower Vale</t>
  </si>
  <si>
    <t>Lower Vale</t>
  </si>
  <si>
    <t>Shabneez Hosenbocus</t>
  </si>
  <si>
    <t>The Docks, Port-Louis</t>
  </si>
  <si>
    <t>Port-Louis</t>
  </si>
  <si>
    <t>Pooja Ramcharitar</t>
  </si>
  <si>
    <t>Evaco Group, Riviere Citron, Arsenal</t>
  </si>
  <si>
    <t>Arsenal</t>
  </si>
  <si>
    <t>Varuna Nunoo</t>
  </si>
  <si>
    <t>Nouvelle Decouverte</t>
  </si>
  <si>
    <t>Zeenat Jahaleea</t>
  </si>
  <si>
    <t>Jahaleea Avenue, Quatre Cocos</t>
  </si>
  <si>
    <t>Quatre Cocos</t>
  </si>
  <si>
    <t>Veena Dookhit</t>
  </si>
  <si>
    <t>H Rault Co Ltd, Rue Fabien, Ville Noire, MahÃ©bourg</t>
  </si>
  <si>
    <t>Ville Noire</t>
  </si>
  <si>
    <t>Paul et Virginie Street, L'Esperance, Quartier Militaire</t>
  </si>
  <si>
    <t>Ganeshwaree Haronia</t>
  </si>
  <si>
    <t>Bhunjun Lane, Mare Tabac</t>
  </si>
  <si>
    <t>Kalleechurn Keshika</t>
  </si>
  <si>
    <t>Bon Air Road, Morcellement St Andre</t>
  </si>
  <si>
    <t>Tylamma Mary Natasha</t>
  </si>
  <si>
    <t>Apartment 60, Domaine de L’Intendance, Pere Laval Street, Rose-Hill</t>
  </si>
  <si>
    <t>55060626 / 54842733</t>
  </si>
  <si>
    <t>Tanisha Ramsurn</t>
  </si>
  <si>
    <t>Vedishka Pandoo</t>
  </si>
  <si>
    <t>Wall Street, 7 Exchange Square Building, Ebene</t>
  </si>
  <si>
    <t>Harshini Ramdowar</t>
  </si>
  <si>
    <t>Edgar Adolphe Street, Beau Bassin</t>
  </si>
  <si>
    <t>Nazneen Gheesah</t>
  </si>
  <si>
    <t>5 Maurice Poupard Street, Port Louis</t>
  </si>
  <si>
    <t>Dhanishta Daliah</t>
  </si>
  <si>
    <t>6, Avenue Doyen, Quatre Bornes</t>
  </si>
  <si>
    <t>Sia Chayetun</t>
  </si>
  <si>
    <t>Subhash Chandra Bose Street, Pointe Aux Piments</t>
  </si>
  <si>
    <t>Pointe Aux Piments</t>
  </si>
  <si>
    <t>Girvana Hazareesing</t>
  </si>
  <si>
    <t>9 Beyts Street, Beau Bassin</t>
  </si>
  <si>
    <t>Dushina Yelligadu</t>
  </si>
  <si>
    <t>Rotin 2, La Source, Quatre Bornes</t>
  </si>
  <si>
    <t>Anusha</t>
  </si>
  <si>
    <t>Nab Make-UP, Port Louis</t>
  </si>
  <si>
    <t>Swatee Sonagadu</t>
  </si>
  <si>
    <t>Rainbow Lane, Mlle Jeanne Road, Goodlands</t>
  </si>
  <si>
    <t>Jayendi Samy</t>
  </si>
  <si>
    <t>Rishi Dayanand Road, Mahebourg</t>
  </si>
  <si>
    <t>Azdine Surfraz</t>
  </si>
  <si>
    <t>Teeluck Lane, Castel</t>
  </si>
  <si>
    <t>Castel</t>
  </si>
  <si>
    <t>Aamirah Cassim</t>
  </si>
  <si>
    <t>Morcellement Nandanee, Fond du Sac</t>
  </si>
  <si>
    <t>Noshaabah Huzooree</t>
  </si>
  <si>
    <t>Morc Saint Antoine, Goodlands Avenue Rossignol, P11/Phase 3</t>
  </si>
  <si>
    <t>Kesha Gukhool</t>
  </si>
  <si>
    <t>25 Chateau Neuf, Beau Bassin</t>
  </si>
  <si>
    <t>Nyasha Ngorima</t>
  </si>
  <si>
    <t>104B Avenue Trianon 2, Quatre Bornes</t>
  </si>
  <si>
    <t>Harshini Nursing</t>
  </si>
  <si>
    <t>Royal Road, Plaine des Roches</t>
  </si>
  <si>
    <t>Plaine des Roches</t>
  </si>
  <si>
    <t>Miss Ramsamy Yhovina Devi</t>
  </si>
  <si>
    <t>Tagore Lane, L'Escalier (Can also pick up at Rosebelle on some days)</t>
  </si>
  <si>
    <t>Kyria Evodie Siraz</t>
  </si>
  <si>
    <t>Geetanjalee Road, 3 Boutiques, Triolet</t>
  </si>
  <si>
    <t>Nailah Jumun</t>
  </si>
  <si>
    <t>Kalimayed Rd, Lalmatie</t>
  </si>
  <si>
    <t>Vandana Veerasoo</t>
  </si>
  <si>
    <t>Camp le Juge, Curepipe</t>
  </si>
  <si>
    <t>Yusheeka Gunga</t>
  </si>
  <si>
    <t>Royal road, 9th Mille, Triolet</t>
  </si>
  <si>
    <t>Bitasha Mohun</t>
  </si>
  <si>
    <t>Royal Road, St François, Cap Malheureux</t>
  </si>
  <si>
    <t>Vikesh Goundowry</t>
  </si>
  <si>
    <t>Royal Road, Cottage Mapou</t>
  </si>
  <si>
    <t>Mapou</t>
  </si>
  <si>
    <t>Madyha Kaudeer</t>
  </si>
  <si>
    <t>Dispensary road, Midlands</t>
  </si>
  <si>
    <t>Midlands</t>
  </si>
  <si>
    <t>58091971; 6645549</t>
  </si>
  <si>
    <t>Oomeela Bissessur</t>
  </si>
  <si>
    <t>Royal Road, Pont Parslin</t>
  </si>
  <si>
    <t>Samiksha Khurug</t>
  </si>
  <si>
    <t>129, Canal Bathurst Street, Sainte Croix, Port Louis</t>
  </si>
  <si>
    <t>Sainte Croix</t>
  </si>
  <si>
    <t>Kajal Sunkur</t>
  </si>
  <si>
    <t>SSR road, Camp Diable</t>
  </si>
  <si>
    <t>58333086; 58250625</t>
  </si>
  <si>
    <t>Sideshwari Rambaran</t>
  </si>
  <si>
    <t>Royal Road, Ecroignard</t>
  </si>
  <si>
    <t>Ecroignard</t>
  </si>
  <si>
    <t>Shamila Warsalee</t>
  </si>
  <si>
    <t>Quinze Cantons Road, Vacoas</t>
  </si>
  <si>
    <t>Bhoomita Kooblall</t>
  </si>
  <si>
    <t>Morc Blueprint, lot no.90 (2), Tyack</t>
  </si>
  <si>
    <t>Neeshma Ballgobin Chengee</t>
  </si>
  <si>
    <t>Royal Road, l'Esperence, Piton</t>
  </si>
  <si>
    <t>Piton</t>
  </si>
  <si>
    <t>Shakeela Rawah</t>
  </si>
  <si>
    <t>Kendra Mall, St Pierre</t>
  </si>
  <si>
    <t>St Pierre</t>
  </si>
  <si>
    <t>Khaveena Gurewan</t>
  </si>
  <si>
    <t>12, Benny Narain Lallah Street, Mont Roches, Beau Bassin</t>
  </si>
  <si>
    <t>Noorjahan Nohur Nesha</t>
  </si>
  <si>
    <t>Keijou Road, Goodlands, Petit Village</t>
  </si>
  <si>
    <t>Joyeuse Caroline</t>
  </si>
  <si>
    <t>Beethoven Street, Block B34, Cite Malherbes 74319, Curepipe</t>
  </si>
  <si>
    <t>Tanouka Approo</t>
  </si>
  <si>
    <t>Mahatma Gandhi Road, 3 Boutiques, Triolet</t>
  </si>
  <si>
    <t>Drishti Devi Seenarain</t>
  </si>
  <si>
    <t>Kalimaye road, Calebasses</t>
  </si>
  <si>
    <t>Zohra Peerbux</t>
  </si>
  <si>
    <t>Maurice Raffray Street, Roche Brunes, Beaubassin</t>
  </si>
  <si>
    <t>Sanjana Ramlugun</t>
  </si>
  <si>
    <t>55 Avenue des Ibis, Sodnac, Quatre-Bornes</t>
  </si>
  <si>
    <t>Bhookhul Sadhvi</t>
  </si>
  <si>
    <t>Verger Road, Goodlands</t>
  </si>
  <si>
    <t>Marie Benjamine Grancourt</t>
  </si>
  <si>
    <t>Mt. Cabris Citron, Rodrigues</t>
  </si>
  <si>
    <t>Rodrigues</t>
  </si>
  <si>
    <t>Potiron Marie Annety</t>
  </si>
  <si>
    <t>MHC Building, Camp Au Roi, Rodrigues, Port Mathurin</t>
  </si>
  <si>
    <t>Aarti Joyram</t>
  </si>
  <si>
    <t>Morc Koenig, Phoenix</t>
  </si>
  <si>
    <t>Absa House, Ebene</t>
  </si>
  <si>
    <t>Aumeer Farheen Bibi Amina</t>
  </si>
  <si>
    <t>Morc Coombes, Camp Caval, Curepipe</t>
  </si>
  <si>
    <t>Ayushee Subron</t>
  </si>
  <si>
    <t>Camp Bombaye, Forest-Side, Curepipe</t>
  </si>
  <si>
    <t>Bibi Nazifa Jathoonia</t>
  </si>
  <si>
    <t>Branch Road, Highlands, Phoenix</t>
  </si>
  <si>
    <t>Darrenee Payen</t>
  </si>
  <si>
    <t>39 Cambridge Lane, Ollier, Quatre Bornes</t>
  </si>
  <si>
    <t>Geetika Jhurry</t>
  </si>
  <si>
    <t>State Secondary School Lane, 8th Mile, Triolet</t>
  </si>
  <si>
    <t>Jackson Road, Vacoas</t>
  </si>
  <si>
    <t>Husaifah Bukurally</t>
  </si>
  <si>
    <t>Shivala Road, Providence, Quartier Militaire</t>
  </si>
  <si>
    <t>Karishma D Ramnauth</t>
  </si>
  <si>
    <t>SSR Lane, Camp Ithier, Flacq</t>
  </si>
  <si>
    <t>Camp Ithier</t>
  </si>
  <si>
    <t>Mansurah Khedarun</t>
  </si>
  <si>
    <t>Royal Road, L’Escalier</t>
  </si>
  <si>
    <t>L’Escalier</t>
  </si>
  <si>
    <t>Mrs Boodhoo</t>
  </si>
  <si>
    <t>Jeeto Hospital, Port Louis</t>
  </si>
  <si>
    <t>Navelee Nemdharry</t>
  </si>
  <si>
    <t>JurisTax Ltd, Ebene House, Ebene</t>
  </si>
  <si>
    <t>Peeally Nazranah</t>
  </si>
  <si>
    <t>Camp Fouqueraux, Serin Lane</t>
  </si>
  <si>
    <t>Camp Fouqueraux</t>
  </si>
  <si>
    <t>Rubina Cateau</t>
  </si>
  <si>
    <t>204 Morcellement VRS 2, L’Avenir, St Pierre</t>
  </si>
  <si>
    <t>Saba Khayrattee</t>
  </si>
  <si>
    <t>Durgahee Lane, L’Avenir</t>
  </si>
  <si>
    <t>Sandhya</t>
  </si>
  <si>
    <t>Dreamprice, New Grove</t>
  </si>
  <si>
    <t>Sangeeta Moneea</t>
  </si>
  <si>
    <t>Pavillon, Cap Malheureux</t>
  </si>
  <si>
    <t>Shafaa Mirjane</t>
  </si>
  <si>
    <t>Fleury sur Mer Lane, Trou aux Biches Road, Triolet</t>
  </si>
  <si>
    <t>Summuyyah Edun</t>
  </si>
  <si>
    <t>Conde 6, Anse Courtoise, Pailles</t>
  </si>
  <si>
    <t>Varsha Gheeseewonee</t>
  </si>
  <si>
    <t>Canton Nancy, Pamplemousses</t>
  </si>
  <si>
    <t>Vidoushi Jaddoo</t>
  </si>
  <si>
    <t>Camp Mumbai, Sebastopol</t>
  </si>
  <si>
    <t>Sebastopol</t>
  </si>
  <si>
    <t>Yasir Rummun</t>
  </si>
  <si>
    <t>Royal Road, L’Avenir, St Pierre</t>
  </si>
  <si>
    <t xml:space="preserve"> 57982230 / 59235745</t>
  </si>
  <si>
    <t>Yousrah Jeewuth</t>
  </si>
  <si>
    <t>Royal Road, Chamouny</t>
  </si>
  <si>
    <t>Chamouny</t>
  </si>
  <si>
    <t>Zahrah Dhunnoo</t>
  </si>
  <si>
    <t>Ramgutty Street, Floréal</t>
  </si>
  <si>
    <t>Zainab Auckburally</t>
  </si>
  <si>
    <t>Pharmacy Lo, Royal Road, Grand Baie</t>
  </si>
  <si>
    <t>Zakiya Sobratee</t>
  </si>
  <si>
    <t>Citadelle Mall</t>
  </si>
  <si>
    <t>Zoya Dowlut</t>
  </si>
  <si>
    <t>07 Inkerman Street, Rose Hill (Near GFA Building)</t>
  </si>
  <si>
    <t>Muhammad Qaadir</t>
  </si>
  <si>
    <t>52, Hermitage Road, Coromandel</t>
  </si>
  <si>
    <t>Chesnabye Pittea</t>
  </si>
  <si>
    <t>Royal Road, La Rosa, New-Grove, 51213</t>
  </si>
  <si>
    <t>Yukta Basuntoo</t>
  </si>
  <si>
    <t>Rishi Dayanand Road No. 1, Mahebourg</t>
  </si>
  <si>
    <t>Hanshinee Mokhram</t>
  </si>
  <si>
    <t>11 Rue Martindale, Beau Bassin</t>
  </si>
  <si>
    <t>Nishita Kisoon</t>
  </si>
  <si>
    <t>Reunion Maurel, Trois Bras, Petit Raffray</t>
  </si>
  <si>
    <t>Bibi Farisha Roukshar Tagaully</t>
  </si>
  <si>
    <t>Bel Vedere Road, Brisée Verdière</t>
  </si>
  <si>
    <t>Martha Asio</t>
  </si>
  <si>
    <t>Lot 47 Morcellement VRS, Cascavelle 90203</t>
  </si>
  <si>
    <t>Black River</t>
  </si>
  <si>
    <t>Cascavelle</t>
  </si>
  <si>
    <t>Raaidah Elaheebocus</t>
  </si>
  <si>
    <t>Edgar Hughes Street, Curepipe</t>
  </si>
  <si>
    <t>Lubnaa Codabaccus</t>
  </si>
  <si>
    <t>22 Serang, Port Louis</t>
  </si>
  <si>
    <t>Bissoon Shreshika</t>
  </si>
  <si>
    <t>Très Bon No. 4, Vacoas</t>
  </si>
  <si>
    <t>Elisha Dowlutta</t>
  </si>
  <si>
    <t>Bissessur Lane, Palma, Quatre Bornes</t>
  </si>
  <si>
    <t>Niveda Moorghen</t>
  </si>
  <si>
    <t>Petit Paquet, Montagne Blanche</t>
  </si>
  <si>
    <t>Seena Seburuth</t>
  </si>
  <si>
    <t>Sottise Road, Grand Baie / SBM Tower, Port Louis (Weekdays)</t>
  </si>
  <si>
    <t>Mousheerah Bakerally</t>
  </si>
  <si>
    <t>Branch Road, L’Escalier</t>
  </si>
  <si>
    <t>Dhunnookchand Khousma</t>
  </si>
  <si>
    <t>Morc Nouvelle Industrie, Baillache Road, Long Mountain</t>
  </si>
  <si>
    <t>Mehrine Soobraty / Fadil Soobraty</t>
  </si>
  <si>
    <t>Royal Road, Bon Accueil, Near Patisserie Soobraty</t>
  </si>
  <si>
    <t>Bon Accueil</t>
  </si>
  <si>
    <t>57743072 / 58405567</t>
  </si>
  <si>
    <t>Yoseeta Beejadhur (Amisha)</t>
  </si>
  <si>
    <t>Branch Road, Belle Rose, Clemencia, Bel Air 40101</t>
  </si>
  <si>
    <t>Elizabeth Desmarais</t>
  </si>
  <si>
    <t>Royal Road, Le Bouchon</t>
  </si>
  <si>
    <t>Le Bouchon</t>
  </si>
  <si>
    <t>Cheekhooree Rina</t>
  </si>
  <si>
    <t>RCA Leon, School Lane, Quartier Militaire (Golden Care Home)</t>
  </si>
  <si>
    <t>Miniopoo Karishma</t>
  </si>
  <si>
    <t>Avenue Longane, Stanley, Rose-Hill</t>
  </si>
  <si>
    <t>Micha Ahnna Therese</t>
  </si>
  <si>
    <t>Artemis Curepipe Hospital, Royal Road, Curepipe</t>
  </si>
  <si>
    <t>Joëmie Labonne</t>
  </si>
  <si>
    <t>Raoul Lamarque, La Gaulette</t>
  </si>
  <si>
    <t>Ophelie Pigeot</t>
  </si>
  <si>
    <t>Saint Louis Business Centre</t>
  </si>
  <si>
    <t>Bhavna Mohesh</t>
  </si>
  <si>
    <t>Gourdin Lane, Mahebourg</t>
  </si>
  <si>
    <t>COD: 3250</t>
  </si>
  <si>
    <t>La Rue Lees, Curepipe</t>
  </si>
  <si>
    <t>COD: 2795</t>
  </si>
  <si>
    <t>Shalini Hawoldar</t>
  </si>
  <si>
    <t>3Rd Floor, The Hybrid, 634 La Promenade, Telfair, Moka</t>
  </si>
  <si>
    <t>Shivani Lukhoo</t>
  </si>
  <si>
    <t>SSRN Hospital - Pamplemousses</t>
  </si>
  <si>
    <t>Saroja Samigoundan</t>
  </si>
  <si>
    <t>14 Eagle Street, Morcellement  La Confiance, Beau Bassin</t>
  </si>
  <si>
    <t>COD: 4245</t>
  </si>
  <si>
    <t>Mrs Buldawoo</t>
  </si>
  <si>
    <t>Middle Rd, Plaines Des Papayes</t>
  </si>
  <si>
    <t>COD: 1700</t>
  </si>
  <si>
    <t>Rakesh Raggoo</t>
  </si>
  <si>
    <t>Phoenix, Industrial Zone, Valentina, Ex Sonia Wear Building</t>
  </si>
  <si>
    <t>COD: 1145</t>
  </si>
  <si>
    <t>Indira Bhugun</t>
  </si>
  <si>
    <t>Maheshwar Nagri Road, 9Th Miles, Triolet</t>
  </si>
  <si>
    <t>Anne Marie Couttee</t>
  </si>
  <si>
    <t>Rte Clairfond No.1</t>
  </si>
  <si>
    <t>Plaine Wilhems</t>
  </si>
  <si>
    <t>Timeless Trends</t>
  </si>
  <si>
    <t>COD: 1150</t>
  </si>
  <si>
    <t>Nariman Kayamdy</t>
  </si>
  <si>
    <t>Royal road plaine magnien - C/o southern sun boutic - Vis a vis shivala</t>
  </si>
  <si>
    <t>Sounita Naiko</t>
  </si>
  <si>
    <t>St. Julien D'Hotman</t>
  </si>
  <si>
    <t>Miriam Yakowa</t>
  </si>
  <si>
    <t>Oasis Boulevard/Shotz</t>
  </si>
  <si>
    <t>COD: 1150 - Juice</t>
  </si>
  <si>
    <t>Suman</t>
  </si>
  <si>
    <t>The Vale Govt School (if before 15h) or Petit Raffray after 15:30</t>
  </si>
  <si>
    <t>COD: 1000</t>
  </si>
  <si>
    <t>Nishal Singh</t>
  </si>
  <si>
    <t>Dreamprice, Pamplemousses</t>
  </si>
  <si>
    <t>COD: 1800</t>
  </si>
  <si>
    <t>Mrs Dukhi</t>
  </si>
  <si>
    <t>COD: 5245</t>
  </si>
  <si>
    <t>Ms. Munjoolah Budloo</t>
  </si>
  <si>
    <t>SOCOTA Phoenicia, Phoenix</t>
  </si>
  <si>
    <t>COD: 3495</t>
  </si>
  <si>
    <t>COD: 3395</t>
  </si>
  <si>
    <t>Virginie Frédéric</t>
  </si>
  <si>
    <t>Rue Arc En Ciel, Baie du Tombeau</t>
  </si>
  <si>
    <t>Baie du Tombeau</t>
  </si>
  <si>
    <t>Maryam Mungroo</t>
  </si>
  <si>
    <t>Tower A, Ebene</t>
  </si>
  <si>
    <t>Karishma Bhujun</t>
  </si>
  <si>
    <t>Plot 129, Morcellement Orchidee, Rose Belle</t>
  </si>
  <si>
    <t>Yashvini Issur</t>
  </si>
  <si>
    <t>Royal Road, Case Noyale</t>
  </si>
  <si>
    <t>Case Noyale</t>
  </si>
  <si>
    <t>Annastasia Rejana</t>
  </si>
  <si>
    <t>Telfair Road, Moka</t>
  </si>
  <si>
    <t>Hritika Kissoon</t>
  </si>
  <si>
    <t>Camp Beton Road, Bramsthan, Flacq</t>
  </si>
  <si>
    <t>Bramsthan</t>
  </si>
  <si>
    <t>Litesha Heera</t>
  </si>
  <si>
    <t>EDC Road, Petit Raffray</t>
  </si>
  <si>
    <t>Darshinee Sunassee</t>
  </si>
  <si>
    <t>Tagore Avenue, Ernest-Florent, Bel-Air</t>
  </si>
  <si>
    <t>Bel-Air</t>
  </si>
  <si>
    <t>Sheena Auckloo</t>
  </si>
  <si>
    <t>44 Quartier de la Fontaine, Domaine de Bon Espoir, Piton</t>
  </si>
  <si>
    <t>Diya Jugessur</t>
  </si>
  <si>
    <t>ICONE EBENE (Next to Shell Filing Station)</t>
  </si>
  <si>
    <t>Kodaï Bhoomesha</t>
  </si>
  <si>
    <t>Royal Road, Melrose, Montagne Blanche</t>
  </si>
  <si>
    <t>Zarine Lowtun</t>
  </si>
  <si>
    <t>Beedassy Lane, 8th Mile, Triolet</t>
  </si>
  <si>
    <t>Poornima Rughoonath</t>
  </si>
  <si>
    <t>Royal Road, Surinam</t>
  </si>
  <si>
    <t>Premila Ramchurn</t>
  </si>
  <si>
    <t>Social Welfare road</t>
  </si>
  <si>
    <t>Glow And Aura</t>
  </si>
  <si>
    <t>Minou</t>
  </si>
  <si>
    <t>L'Aventure</t>
  </si>
  <si>
    <t>COD: 1725</t>
  </si>
  <si>
    <t>Vallee Pitot</t>
  </si>
  <si>
    <t>COD: 702</t>
  </si>
  <si>
    <t>Aarti Babajee</t>
  </si>
  <si>
    <t>34 Avenue Ylang Ylang, Quatre Bornes</t>
  </si>
  <si>
    <t>OKASINA</t>
  </si>
  <si>
    <t>COD: 1300</t>
  </si>
  <si>
    <t>Faeza</t>
  </si>
  <si>
    <t>Proffessor Hassan Raffa Lane, 
Highlands, Phoenix</t>
  </si>
  <si>
    <t>COD: 1900</t>
  </si>
  <si>
    <t>COD: 2100</t>
  </si>
  <si>
    <t>Varsha Luchoo</t>
  </si>
  <si>
    <t>Jaylall Lane, Avenue Berthaud, Quatre Bornes</t>
  </si>
  <si>
    <t>Sajeenaz Jugon</t>
  </si>
  <si>
    <t>Royal Road, Camp Diable</t>
  </si>
  <si>
    <t>Nootaybah Ausrafally</t>
  </si>
  <si>
    <t>Royal Road, Bel Air Rivière Sèche</t>
  </si>
  <si>
    <t>Shabnam Emamdeen</t>
  </si>
  <si>
    <t>Ganachaud Road, Castel, Eau Coulee</t>
  </si>
  <si>
    <t>Heelona Appadoo</t>
  </si>
  <si>
    <t>257, Avenue des Hérons, Morc Bismic, Flic en Flac</t>
  </si>
  <si>
    <t>Flic en Flac</t>
  </si>
  <si>
    <t>Ashika Jhumun</t>
  </si>
  <si>
    <t>Morcellement VRS, Camp Ithier</t>
  </si>
  <si>
    <t>Sharine Aumjeedally</t>
  </si>
  <si>
    <t>Royal Road, Brisée Verdière</t>
  </si>
  <si>
    <t>Wardha Sandhoo</t>
  </si>
  <si>
    <t>Nyon Street, Mahebourg</t>
  </si>
  <si>
    <t>Anjali Soneechora</t>
  </si>
  <si>
    <t>Balance Road, Caroline, Bel Air</t>
  </si>
  <si>
    <t>Davisha Thandan</t>
  </si>
  <si>
    <t>Avenue Soobiah, Réduit</t>
  </si>
  <si>
    <t>Réduit</t>
  </si>
  <si>
    <t>Pending</t>
  </si>
  <si>
    <t>Dilshad Badaloo</t>
  </si>
  <si>
    <t>26A Captain Bruce Street, Rose Hill</t>
  </si>
  <si>
    <t>Deelasha Putten</t>
  </si>
  <si>
    <t>G5 Avenue Tamarinier, Stanley</t>
  </si>
  <si>
    <t>Stanley</t>
  </si>
  <si>
    <t>Varoona Chamilall</t>
  </si>
  <si>
    <t>Bank Road, Goodlands</t>
  </si>
  <si>
    <t>Zahrah Bolaky</t>
  </si>
  <si>
    <t>St Pierre (Weekdays) / 15, Pierre Arthur Rayeroux, Camp Chapelon, Pailles (Weekends)</t>
  </si>
  <si>
    <t>Moka / Port Louis</t>
  </si>
  <si>
    <t>Jean-Louis Elisabeth</t>
  </si>
  <si>
    <t>Avenue de Vergues, Glen Park, Vacoas</t>
  </si>
  <si>
    <t>216, Avenue Ollier, Quatres Bornes</t>
  </si>
  <si>
    <t>Gabriella Batour</t>
  </si>
  <si>
    <t>62,Firmin Street, Camp-Levieux, Rose-Hill</t>
  </si>
  <si>
    <t>Mrs Bekha Sookun</t>
  </si>
  <si>
    <t>Tagore Road, Mon Gout, Pamplemousses</t>
  </si>
  <si>
    <t>C4, AVENUE DIGNITÉ, RES. KENNEDY, QUATRE BORNES</t>
  </si>
  <si>
    <t>Subratty Zafiirah</t>
  </si>
  <si>
    <t>Vallee Pitot, Port Louis</t>
  </si>
  <si>
    <t>COD: 304</t>
  </si>
  <si>
    <t>Pratima Devi Dookhit</t>
  </si>
  <si>
    <t>Royal Rd Creve Coeur</t>
  </si>
  <si>
    <t>Creve Coeur</t>
  </si>
  <si>
    <t>Reena Gooriah</t>
  </si>
  <si>
    <t>Royal Rd, Goodlands</t>
  </si>
  <si>
    <t>Prinita Ramlugun</t>
  </si>
  <si>
    <t>World Knits, Vullemin</t>
  </si>
  <si>
    <t>Vullemin</t>
  </si>
  <si>
    <t>COD: 325O</t>
  </si>
  <si>
    <t>Mrs Dowlat</t>
  </si>
  <si>
    <t>Gmg Atchia, Champ Des Mars, Port Louis</t>
  </si>
  <si>
    <t>COD: 2145</t>
  </si>
  <si>
    <t>Ms. Shenaz Jaunmohamed</t>
  </si>
  <si>
    <t>Rue Pope Henessy, Curepipe</t>
  </si>
  <si>
    <t>COD: 3975</t>
  </si>
  <si>
    <t>Raksha Ramma</t>
  </si>
  <si>
    <t>Ramlagun Road, Baie Du Cap</t>
  </si>
  <si>
    <t>Baie Du Cap</t>
  </si>
  <si>
    <t>Latouche Cheshta Jessica</t>
  </si>
  <si>
    <t>Temple Road, Providence, Quartier Militaire</t>
  </si>
  <si>
    <t>58325352 / 57144639</t>
  </si>
  <si>
    <t>Rati Cawroo</t>
  </si>
  <si>
    <t>Lot 127, Residence Les Jardins D'Anna, Flic En Flac</t>
  </si>
  <si>
    <t>Flic En Flac</t>
  </si>
  <si>
    <t>Manisha Seechurn</t>
  </si>
  <si>
    <t>Dispensary Road, Petit Raffray</t>
  </si>
  <si>
    <t>Rivière Du Rempart</t>
  </si>
  <si>
    <t>Priyanka Baulah</t>
  </si>
  <si>
    <t>Mahatma Gandhi Road, Quatre Cocos</t>
  </si>
  <si>
    <t>57018649 / 59212196</t>
  </si>
  <si>
    <t>Meeshita Teetaree</t>
  </si>
  <si>
    <t>Waliyya Sundhoo</t>
  </si>
  <si>
    <t>5 Dr Bour Street, Rose-Hill</t>
  </si>
  <si>
    <t>Rose-Hill</t>
  </si>
  <si>
    <t>Brenda Dursoniah</t>
  </si>
  <si>
    <t>La Fleur Road, Pailles</t>
  </si>
  <si>
    <t>Mohammad Shabil Lagan</t>
  </si>
  <si>
    <t>Avenue Hibiscus Lane, Brisée Verdière</t>
  </si>
  <si>
    <t>Gungaram Drishtee Sing</t>
  </si>
  <si>
    <t>Mosque Road, Plaine Magnien</t>
  </si>
  <si>
    <t>Faarheen Bibi Jaumeer</t>
  </si>
  <si>
    <t>Church Road, Auckbarally Lane, Notre Dame</t>
  </si>
  <si>
    <t>Notre Dame</t>
  </si>
  <si>
    <t>Ayesha Heetun Aumeerbocus</t>
  </si>
  <si>
    <t>Schoenfeld Road, First Lane, Rivière Du Rempart</t>
  </si>
  <si>
    <t>Zahrah Soobhan</t>
  </si>
  <si>
    <t>Edith Cavell Street, Maison Coco, Edith Cavell Mall</t>
  </si>
  <si>
    <t>Veshika Devi Bhoodhoo</t>
  </si>
  <si>
    <t>Manshika Pultoo</t>
  </si>
  <si>
    <t>Sooben Lane, L’Escalier</t>
  </si>
  <si>
    <t>Jhumunn Imran</t>
  </si>
  <si>
    <t>Royal Road, Montagne Blanche</t>
  </si>
  <si>
    <t>Mrs Nursing</t>
  </si>
  <si>
    <t>COD: 1245</t>
  </si>
  <si>
    <t>La Marie Vacoas</t>
  </si>
  <si>
    <t>Norah Jowaheer</t>
  </si>
  <si>
    <t>Rosehill</t>
  </si>
  <si>
    <t>16, Léoville L'Homme St, Rosehill</t>
  </si>
  <si>
    <t>COD: 6225</t>
  </si>
  <si>
    <t>Royal Road Lalmatie (In The Same Yard As Car Show Room Ki Motors)</t>
  </si>
  <si>
    <t>Anne Sophie Isabel</t>
  </si>
  <si>
    <t>School Lane Grand Bel Air Mahebourg</t>
  </si>
  <si>
    <t xml:space="preserve">Janvi </t>
  </si>
  <si>
    <t xml:space="preserve">St Georges Road Behind Hospital Jeetoo </t>
  </si>
  <si>
    <t>Owner</t>
  </si>
  <si>
    <t>Nabila</t>
  </si>
  <si>
    <t>Chemin Grenier</t>
  </si>
  <si>
    <t>OKASINA Trading</t>
  </si>
  <si>
    <t>Shahenaz Ahmad</t>
  </si>
  <si>
    <t>Souillac</t>
  </si>
  <si>
    <t>Naafeera Abdel Hassan</t>
  </si>
  <si>
    <t>Saniyya Mandarun</t>
  </si>
  <si>
    <t>Little Star Boutique</t>
  </si>
  <si>
    <t>Ruwayda</t>
  </si>
  <si>
    <t>Esmail Osman</t>
  </si>
  <si>
    <t>Vanisha</t>
  </si>
  <si>
    <t>Plaines Des Papayes</t>
  </si>
  <si>
    <t>COD: 1075</t>
  </si>
  <si>
    <t>COD: 1600</t>
  </si>
  <si>
    <t>Vada Reetoo</t>
  </si>
  <si>
    <t>Royal Road (Nr Chez Manuel Restaurant), St Julien Village</t>
  </si>
  <si>
    <t>St Julien Village</t>
  </si>
  <si>
    <t>COD: 2000</t>
  </si>
  <si>
    <t>Saima Abdool</t>
  </si>
  <si>
    <t>Avenue Dodo 2, les Guibies Pailles, Port Louis District</t>
  </si>
  <si>
    <t>Sabeehah Jowaheer</t>
  </si>
  <si>
    <t>Port louis</t>
  </si>
  <si>
    <t>Pooja Rampersad</t>
  </si>
  <si>
    <t>COD: 1500</t>
  </si>
  <si>
    <t>COD: 6100</t>
  </si>
  <si>
    <t>252 royal road, Vallees Des Pretes</t>
  </si>
  <si>
    <t>Hadiyyah Lallmahomed</t>
  </si>
  <si>
    <t>41 Dr Hassen Sakir, Port Louis (near Magasin Populaire)</t>
  </si>
  <si>
    <t>Beebee Husna Banu Jumun</t>
  </si>
  <si>
    <t>Prakash Goomany</t>
  </si>
  <si>
    <t>Cremation Street, Riviere Du Poste</t>
  </si>
  <si>
    <t>Riviere Du Poste</t>
  </si>
  <si>
    <t>Adilah Bheekhun</t>
  </si>
  <si>
    <t>Roshni Lane, Glen Park, Vacoas</t>
  </si>
  <si>
    <t>218 Pagoda Street, Stanley, Rose Hill</t>
  </si>
  <si>
    <t>Shabneez Tuhaloo</t>
  </si>
  <si>
    <t>Parisot Road, Galea 2 Mesnil, Phoenix</t>
  </si>
  <si>
    <t>Lovena Veerapin</t>
  </si>
  <si>
    <t>Boulet Rouge, Centre de Flacq, Shivala Road, Riche Mare</t>
  </si>
  <si>
    <t>Zaynab Gueas</t>
  </si>
  <si>
    <t>Trois Bras, Surinam</t>
  </si>
  <si>
    <t>Naziba Elaheebocus</t>
  </si>
  <si>
    <t>Royal Road, Goodlands</t>
  </si>
  <si>
    <t>Mr Ahmad Dowlut</t>
  </si>
  <si>
    <t>Mauritius Housing Company, next to Air Mauritius Building, Port Louis</t>
  </si>
  <si>
    <t>Inaara Badoorally</t>
  </si>
  <si>
    <t>Chundunsing Lane, Morcellement St. André</t>
  </si>
  <si>
    <t>St. André</t>
  </si>
  <si>
    <t>Aparna Ramgoolam</t>
  </si>
  <si>
    <t>Avenue Des Colombes, Medine, Camp De Masque</t>
  </si>
  <si>
    <t>Camp De Masque</t>
  </si>
  <si>
    <t>Sandrina Ramessur</t>
  </si>
  <si>
    <t>Avenue Cardineaux, Seaview Terrace, Flic en Flac</t>
  </si>
  <si>
    <t>Bibi Naseerah Ibrahim</t>
  </si>
  <si>
    <t>Lolo Hyper, Consigne</t>
  </si>
  <si>
    <t>Consigne</t>
  </si>
  <si>
    <t>57072226 / 57583196</t>
  </si>
  <si>
    <t>Royal Road L'Aventure near Social Welfare Centre</t>
  </si>
  <si>
    <t>Roukayya Bibi Abdool Cader</t>
  </si>
  <si>
    <t>22 Avenue Caramboles, Vallée des Prêtres</t>
  </si>
  <si>
    <t>Vallée des Prêtres</t>
  </si>
  <si>
    <t>Avinash Cheenatur</t>
  </si>
  <si>
    <t>Nathalie Ramsaran</t>
  </si>
  <si>
    <t>Royal Road, Grand Pointe aux Piments</t>
  </si>
  <si>
    <t>Sharfaa Bahadoor</t>
  </si>
  <si>
    <t>Jeetoo Hospital, Port Louis</t>
  </si>
  <si>
    <t>Amarah Cooper</t>
  </si>
  <si>
    <t>Bois Cheri Road</t>
  </si>
  <si>
    <t>Aisha Nootaybah Ausrafally</t>
  </si>
  <si>
    <t>Vivea Business Park</t>
  </si>
  <si>
    <t>Gunesha Seewoopaul Jagroop</t>
  </si>
  <si>
    <t>C/O Pravind Jagroop, Ramputh Lane, Saint Pierre</t>
  </si>
  <si>
    <t>Shannon Payen</t>
  </si>
  <si>
    <t>Morcellement Siren View, Pointe aux Piments</t>
  </si>
  <si>
    <t>Zafeerah</t>
  </si>
  <si>
    <t>MRA building, Port Louis</t>
  </si>
  <si>
    <t>COD: 700</t>
  </si>
  <si>
    <t>Zohra Fateemah</t>
  </si>
  <si>
    <t>BEFORE 4  PATS RD PALINE MAGNIEN  AFTER 4....CHEMIN BOIS D'OISEAU PLAINE MAGNIEN</t>
  </si>
  <si>
    <t>Lynda Ishak</t>
  </si>
  <si>
    <t xml:space="preserve">BAGATELLE 10 - 11.. AFTER THAT  JEETOO PORT LOUIS    </t>
  </si>
  <si>
    <t>Asha Roopah</t>
  </si>
  <si>
    <t>Kim Khoodoruth</t>
  </si>
  <si>
    <t>Shalini Ramburn</t>
  </si>
  <si>
    <t>Canda Lane, Boundary Lane, Rose Hill</t>
  </si>
  <si>
    <t>Victoria House, Port Louis</t>
  </si>
  <si>
    <t>Mitrani Ramnial Ramoutar</t>
  </si>
  <si>
    <t>Kalimaye Road, Isidore Rose, Flacq</t>
  </si>
  <si>
    <t>COD: 4275</t>
  </si>
  <si>
    <t>COD: 1247.50</t>
  </si>
  <si>
    <t>Poonam Jhary</t>
  </si>
  <si>
    <t>Kalimaye Rd, Melle Jeanne, Goodlands</t>
  </si>
  <si>
    <t>May's Shop</t>
  </si>
  <si>
    <t>Amna Mohobuth Aldin</t>
  </si>
  <si>
    <t>Janisha Ghurhoo</t>
  </si>
  <si>
    <t>Tancrel Road, Montagne Blanche</t>
  </si>
  <si>
    <t>Shéléna Sauhoboa</t>
  </si>
  <si>
    <t>Résidence CIM No. 24, Rivière du Rempart</t>
  </si>
  <si>
    <t>Mushiirah Emambocus</t>
  </si>
  <si>
    <t>Nexsky Building, Ebene</t>
  </si>
  <si>
    <t>Codabaccus Wazeefah</t>
  </si>
  <si>
    <t>Camp le Juge, Forest Side</t>
  </si>
  <si>
    <t>Darsinee Aubeeluck</t>
  </si>
  <si>
    <t>Filao Road, Roche Noires</t>
  </si>
  <si>
    <t>Anaïs Monchy</t>
  </si>
  <si>
    <t>Lot 2, Bois Chandelle, Mont Choisy</t>
  </si>
  <si>
    <t>Mont Choisy</t>
  </si>
  <si>
    <t>Girish Seebaluck</t>
  </si>
  <si>
    <t>40, Sewsagur Road, Grand Bois</t>
  </si>
  <si>
    <t>Evaco Group, Rivière Citron, Arsenal</t>
  </si>
  <si>
    <t>Yashvi Kanhye</t>
  </si>
  <si>
    <t>Melle Jeanne, Goodlands</t>
  </si>
  <si>
    <t>Aisha Khodabux</t>
  </si>
  <si>
    <t>Apalise 4 Lane, Quinze Cantons, Vacoas</t>
  </si>
  <si>
    <t>Sailesh Roseeawon</t>
  </si>
  <si>
    <t>Bois Cheri Road, Petit Verger, St Pierre</t>
  </si>
  <si>
    <t>Amnah Soyfoo</t>
  </si>
  <si>
    <t>Buldee Lane, Petit Paquet, Montagne Blanche</t>
  </si>
  <si>
    <t>Sweetlana Armoogum</t>
  </si>
  <si>
    <t>8, Robertson Street, Beau Bassin</t>
  </si>
  <si>
    <t>Devya Dookhit/Veena Dookhit</t>
  </si>
  <si>
    <t>Des Creoles Street, Mahebourg (La Maison) / H. Rault Co. Ltd, Rue Fabien VilleNoire, Mahebourg (Workplace)</t>
  </si>
  <si>
    <t>Cocotier 2, Parisot, Mesnil</t>
  </si>
  <si>
    <t>Mesnil</t>
  </si>
  <si>
    <t>COD: 100</t>
  </si>
  <si>
    <t>Usha</t>
  </si>
  <si>
    <t>Quartiere Militaire</t>
  </si>
  <si>
    <t>Sanjana Abba</t>
  </si>
  <si>
    <t>Royal Road Melrose</t>
  </si>
  <si>
    <t>Ojaswini</t>
  </si>
  <si>
    <t>Yasmin Mamode</t>
  </si>
  <si>
    <t>Couven De Lorette</t>
  </si>
  <si>
    <t>Islam Yusrah</t>
  </si>
  <si>
    <t>15 Cantons, Vacoas</t>
  </si>
  <si>
    <t>COD: 2080</t>
  </si>
  <si>
    <t>Girish Bekaroo</t>
  </si>
  <si>
    <t>Ramnarain Road, Cottage</t>
  </si>
  <si>
    <t>Aashna Mulliah</t>
  </si>
  <si>
    <t>Cooppoosamy Botharrygadoo Tavina</t>
  </si>
  <si>
    <t>Gandhi road, Lallmatie</t>
  </si>
  <si>
    <t>Lallmatie</t>
  </si>
  <si>
    <t>COD: 600</t>
  </si>
  <si>
    <t>Petit Paquet Road, Montagne Blanche</t>
  </si>
  <si>
    <t>COD: 1100</t>
  </si>
  <si>
    <t>School Lane, Grand Bel Air</t>
  </si>
  <si>
    <t>Yuktee Gopaul</t>
  </si>
  <si>
    <t>7 Bernardin de St Pierre Avenue, Quatre Bornes 72350</t>
  </si>
  <si>
    <t>Zaahirah Dinally</t>
  </si>
  <si>
    <t>Mosque Road, Belvedere, Lallmatie</t>
  </si>
  <si>
    <t>Shikha Padaruth</t>
  </si>
  <si>
    <t>Palladi Lane, Valetta</t>
  </si>
  <si>
    <t>Domun Umme Haanee</t>
  </si>
  <si>
    <t>Petit Chemin, Bel Air Rivière Sèche</t>
  </si>
  <si>
    <t>Preety Dookhy</t>
  </si>
  <si>
    <t>Associated Textiles, St Pierre</t>
  </si>
  <si>
    <t>Musheerah Ammeer</t>
  </si>
  <si>
    <t>Hermitage Road, Camp Fouquereaux, Phoenix</t>
  </si>
  <si>
    <t>Umme Sadiyah Nauthoo</t>
  </si>
  <si>
    <t>Belvedere Road, Brisée Verdière</t>
  </si>
  <si>
    <t>Nazia Sunsary</t>
  </si>
  <si>
    <t>Sainte Ursule, Central Flacq</t>
  </si>
  <si>
    <t>Royal Road, Valton, Long Mountain</t>
  </si>
  <si>
    <t>Subash Chandra Bose Street, Rivière du Rempart</t>
  </si>
  <si>
    <t>Shika Nagapin</t>
  </si>
  <si>
    <t>Mahatma Gandhi Road, Ilot d'Epiney</t>
  </si>
  <si>
    <t>Ilot d’Epiney</t>
  </si>
  <si>
    <t>Medeesha Choonucksing</t>
  </si>
  <si>
    <t>Krishni Jaymungul</t>
  </si>
  <si>
    <t>Shivala Road, Bramsthan</t>
  </si>
  <si>
    <t>57680998 / 55186306</t>
  </si>
  <si>
    <t>Umme Tashleemah Hosanee</t>
  </si>
  <si>
    <t>Camp Mapou, Henrietta, Vacoas</t>
  </si>
  <si>
    <t>Roshan Seebundhun</t>
  </si>
  <si>
    <t>Care 4 U Pharmacy</t>
  </si>
  <si>
    <t>Nailah Khodabukus</t>
  </si>
  <si>
    <t>Middle Road, Plaine des Papayes</t>
  </si>
  <si>
    <t>Plaine des Papayes</t>
  </si>
  <si>
    <t>Ghanpriya Aubeelack</t>
  </si>
  <si>
    <t>Royal Road, Nouvelle France (Near Police Station)</t>
  </si>
  <si>
    <t>57701300 / 59202789</t>
  </si>
  <si>
    <t>Beedwantee Auchoybur</t>
  </si>
  <si>
    <t>Mulveena</t>
  </si>
  <si>
    <t>Camp La Bouse</t>
  </si>
  <si>
    <t>Montagne Longue</t>
  </si>
  <si>
    <t>Dr. Bour Street, Rose Hill</t>
  </si>
  <si>
    <t>Gaby Lane, Palma, Quatre Bornes</t>
  </si>
  <si>
    <t>Albion Road, Canot, Bamboo, Riviere Noire</t>
  </si>
  <si>
    <t>Darshinee Gungah</t>
  </si>
  <si>
    <t>Vaishnavi Devi Khudny</t>
  </si>
  <si>
    <t>Sampreeti Mungur</t>
  </si>
  <si>
    <t>Nush Maghoo</t>
  </si>
  <si>
    <t>Riviere Noire</t>
  </si>
  <si>
    <t xml:space="preserve">5, Royal Road, Unicorn House Building, Port Louis </t>
  </si>
  <si>
    <t xml:space="preserve">Port Louis </t>
  </si>
  <si>
    <t>Chebel</t>
  </si>
  <si>
    <t>Sudesh Ramluckan</t>
  </si>
  <si>
    <t>Beeharry Road, Petite Raffray</t>
  </si>
  <si>
    <t>Petite Raffray</t>
  </si>
  <si>
    <t>COD: 1400</t>
  </si>
  <si>
    <t>COD: 10000</t>
  </si>
  <si>
    <t>COD: 3500</t>
  </si>
  <si>
    <t>Juice</t>
  </si>
  <si>
    <t>Nausheen</t>
  </si>
  <si>
    <t>Dr Poonam</t>
  </si>
  <si>
    <t>Farahnaaz Modoolla</t>
  </si>
  <si>
    <t>Nazmeen</t>
  </si>
  <si>
    <t>COD: 1845</t>
  </si>
  <si>
    <t>Riverside Lane II, Pamplemousses</t>
  </si>
  <si>
    <t>COD: 2400</t>
  </si>
  <si>
    <t>Samila Makhun</t>
  </si>
  <si>
    <t>COD: 3550</t>
  </si>
  <si>
    <t>Mrs Banymandhub</t>
  </si>
  <si>
    <t>Royal Rd, Rose Hill</t>
  </si>
  <si>
    <t>4546796 / 57041434</t>
  </si>
  <si>
    <t xml:space="preserve"> 59048425 / 55033136</t>
  </si>
  <si>
    <t>14 Eagle Street, Morcellement La Confiance, Beau Bassin</t>
  </si>
  <si>
    <t>Aneerah Ramatoolall</t>
  </si>
  <si>
    <t>Le Cornu, Sainte Croix</t>
  </si>
  <si>
    <t>Samirah Dhuny Bheenick</t>
  </si>
  <si>
    <t>Royal Road, Caroline, Bel Air Rivière Sèche</t>
  </si>
  <si>
    <t>Rakshita Juggessur</t>
  </si>
  <si>
    <t>4A VEL PLAZA, Royal Road, Goodlands</t>
  </si>
  <si>
    <t>Mandhita Aubeeluck</t>
  </si>
  <si>
    <t>52 Cybercity, Ebene</t>
  </si>
  <si>
    <t>Rukhaya Peerbux</t>
  </si>
  <si>
    <t>Camp La Serpe, Bel Air R/S</t>
  </si>
  <si>
    <t>Ourmila Choytun Bachu</t>
  </si>
  <si>
    <t>Bhagelloo Lane, Mont Fertile, New Grove</t>
  </si>
  <si>
    <t>Lavena Kumar</t>
  </si>
  <si>
    <t>Ayodhya Lane, Trois Boutiques, Union Vale</t>
  </si>
  <si>
    <t>Trois Boutiques</t>
  </si>
  <si>
    <t>Moosnah Lakshana Devi</t>
  </si>
  <si>
    <t>Mudhoo Road, Goodlands</t>
  </si>
  <si>
    <t>Kenza Boolakee</t>
  </si>
  <si>
    <t>17 St François Xavier, Port Louis</t>
  </si>
  <si>
    <t>Dhunoo Bhagyashree</t>
  </si>
  <si>
    <t>Avenue des Roches, Route Bassin, Quatre Bornes</t>
  </si>
  <si>
    <t>Sonali Bacorisen</t>
  </si>
  <si>
    <t>Brick Empire Avenue, Morcellement Raffray, Albion</t>
  </si>
  <si>
    <t>Albion</t>
  </si>
  <si>
    <t>Nuzhar Noorbux</t>
  </si>
  <si>
    <t>Lalljee Lane, Marie Jeannie, Rose Belle</t>
  </si>
  <si>
    <t>Issuree Vishuddha</t>
  </si>
  <si>
    <t>Road Shantiniketan, Amaury</t>
  </si>
  <si>
    <t>Nabila Varsally</t>
  </si>
  <si>
    <t>7 Exchange Square, Ebene</t>
  </si>
  <si>
    <t>Myrka Kotadoo</t>
  </si>
  <si>
    <t>SBM Branch, Hyvec Business Park, Wall Street, Ebene</t>
  </si>
  <si>
    <t>Benazir Mamdeen</t>
  </si>
  <si>
    <t>Royal Road, Saint Julien Village</t>
  </si>
  <si>
    <t>Saint Julien</t>
  </si>
  <si>
    <t>Bibi Azleen Boojhawoonah</t>
  </si>
  <si>
    <t>Royal Road, Grand Bay (Near Mosque)</t>
  </si>
  <si>
    <t>Isha Mohes</t>
  </si>
  <si>
    <t>Royal Road, Mapou</t>
  </si>
  <si>
    <t>Lotun Shareefah</t>
  </si>
  <si>
    <t>10 Avenue Bernardin de St Pierre, Quatre Bornes</t>
  </si>
  <si>
    <t>Pooja Takah</t>
  </si>
  <si>
    <t>Robinson River Lane, Eau Coulée</t>
  </si>
  <si>
    <t>Eau Coulée</t>
  </si>
  <si>
    <t>Rukshar Shamutally</t>
  </si>
  <si>
    <t>Beekawoo Lane, Phoenix</t>
  </si>
  <si>
    <t>Rosun Nuzhah</t>
  </si>
  <si>
    <t>Rosun Street, Union Park</t>
  </si>
  <si>
    <t>Jemima Arnachellum</t>
  </si>
  <si>
    <t>Hollyrood No. 1, Vacoas</t>
  </si>
  <si>
    <t>Bhavishna Jugun</t>
  </si>
  <si>
    <t>Trois Boutiques, Union Vale, Temple Road (Sud)</t>
  </si>
  <si>
    <t>Oumairah Amboorallee</t>
  </si>
  <si>
    <t>Clairfonds No. 3, Vacoas</t>
  </si>
  <si>
    <t>Merry Paula Mesghna</t>
  </si>
  <si>
    <t>Koosseal Lane, Bassin Road, Quatre Bornes</t>
  </si>
  <si>
    <t>Shalini Moloo</t>
  </si>
  <si>
    <t>Villa Chambly, Curepipe Road</t>
  </si>
  <si>
    <t>Bhavishnee Luckhun</t>
  </si>
  <si>
    <t>School Lane, Rivières des Créoles</t>
  </si>
  <si>
    <t>Rivières des Créoles</t>
  </si>
  <si>
    <t>Hanshenee Punchaye</t>
  </si>
  <si>
    <t>Soohasi Sandhoo/Geetisha Sandhoo</t>
  </si>
  <si>
    <t>Ravina Bungari</t>
  </si>
  <si>
    <t>Nadira Bibi Saadia Hossen</t>
  </si>
  <si>
    <t>Sandhya Gangaram</t>
  </si>
  <si>
    <t>22, Palma Road, Quatre Bornes</t>
  </si>
  <si>
    <t>Banarally Lane, Mesnil, Phoenix</t>
  </si>
  <si>
    <t>New Morcellement, Britannia</t>
  </si>
  <si>
    <t>Plaza, Rose Hill</t>
  </si>
  <si>
    <t>B108 Morc Raffray, Ave.Rosiers 2, Le Hochet, Terre Rouge</t>
  </si>
  <si>
    <t>Rookian Abdool Raheem</t>
  </si>
  <si>
    <t>COD: 950</t>
  </si>
  <si>
    <t>Sweta Groodoyal</t>
  </si>
  <si>
    <t>Morcellement Beau Plateau, Cottage</t>
  </si>
  <si>
    <t>Mahatma Gandhi Rd, Trois Boutik, Triolet</t>
  </si>
  <si>
    <t>Drishti Ramchurn</t>
  </si>
  <si>
    <t>146, Morcellement VRS, Gros Billot, New Grove</t>
  </si>
  <si>
    <t>Karen Triton</t>
  </si>
  <si>
    <t>55 Ave Dr PIARROUX, Camp-Levieux, Rose Hill</t>
  </si>
  <si>
    <t>Karishma Omaree</t>
  </si>
  <si>
    <t>Doya Street, Cent Gaulettes, St Hilaire</t>
  </si>
  <si>
    <t>St Hilaire</t>
  </si>
  <si>
    <t>Fariyad Joomun</t>
  </si>
  <si>
    <t>IndusInd International Holdings Ltd, Beau Plan Business Park, 1A GF North Building</t>
  </si>
  <si>
    <t>Beau Plan</t>
  </si>
  <si>
    <t>Muskaan Santuck</t>
  </si>
  <si>
    <t>Ave Eucalyptus, Domaine Du Moulin, Goodlands</t>
  </si>
  <si>
    <t>Nadia Chotoye</t>
  </si>
  <si>
    <t>15 Aleppo Street, Port Louis</t>
  </si>
  <si>
    <t>Hasseena Mahamoodally</t>
  </si>
  <si>
    <t>No. 71, Rue des Epices, Highlands Rose</t>
  </si>
  <si>
    <t>Maneisha Manda Appadoo</t>
  </si>
  <si>
    <t>Mosque Road, Rose-Belle</t>
  </si>
  <si>
    <t>Phoenix Mall Jumbo</t>
  </si>
  <si>
    <t>Hajrah Jowaheer</t>
  </si>
  <si>
    <t>Saulick Lane, Highlands</t>
  </si>
  <si>
    <t>Dhaoroop Deesha</t>
  </si>
  <si>
    <t>Camp La Serpe, Bel-Air Rivière Sèche</t>
  </si>
  <si>
    <t>Vidusha Kesri Singh</t>
  </si>
  <si>
    <t>Lot 106, Morcellement Blue Print, Plaine Magnien</t>
  </si>
  <si>
    <t>Yasmina Noormamode</t>
  </si>
  <si>
    <t>Route Militaire, Terre Rouge</t>
  </si>
  <si>
    <t>Preeteesha Groodoyal</t>
  </si>
  <si>
    <t>Royal Road, Malinga, St Pierre</t>
  </si>
  <si>
    <t>Ummay Rumaanah Mohungoo-Bhukoo</t>
  </si>
  <si>
    <t>Victoria House, near PKL, Port Louis</t>
  </si>
  <si>
    <t>Sneha Seeboruth</t>
  </si>
  <si>
    <t>Central Market, Port Louis, near MCB</t>
  </si>
  <si>
    <t>Sumayyah Furreed</t>
  </si>
  <si>
    <t>Geranium Road, Lower Vale</t>
  </si>
  <si>
    <t>Yumna Caderbavah</t>
  </si>
  <si>
    <t>Caderbavah Lane, L’Escalier</t>
  </si>
  <si>
    <t>Harrow Lane, Avenue Belle Rose, Quatre Bornes</t>
  </si>
  <si>
    <t>Alisha Rani Mittoo</t>
  </si>
  <si>
    <t>Balaclava Rd, Arsenal</t>
  </si>
  <si>
    <t>Plot 113, Morcellement Jeeraz, Maison Blanche</t>
  </si>
  <si>
    <t>Maison Blanche</t>
  </si>
  <si>
    <t>Nawsheen Emambacus</t>
  </si>
  <si>
    <t>Prud'homme Street, Rivière des Anguilles</t>
  </si>
  <si>
    <t>Rivière des Anguilles</t>
  </si>
  <si>
    <t>Priya Jhugroo</t>
  </si>
  <si>
    <t>Terre Rouge Road, Camp Fouquereaux, Phoenix</t>
  </si>
  <si>
    <t>Namah Mungra Sxiashi</t>
  </si>
  <si>
    <t>46 EDC La Sourdine, L’Escalier</t>
  </si>
  <si>
    <t>52898586 / 555016793</t>
  </si>
  <si>
    <t>Karishma Ghunowa</t>
  </si>
  <si>
    <t>Your Dream Motors, Royal Road, Moka</t>
  </si>
  <si>
    <t>Hullodhur Tushar</t>
  </si>
  <si>
    <t>27 Ave. L’unité l’impasse Monté S, Camp Benoit</t>
  </si>
  <si>
    <t>Camp Benoit</t>
  </si>
  <si>
    <t>Naomy Dardenne</t>
  </si>
  <si>
    <t>La Pelouse, Trou d’Eau Douce</t>
  </si>
  <si>
    <t>Morcellement St Aubin No. 100</t>
  </si>
  <si>
    <t>Adiilah Muhammad</t>
  </si>
  <si>
    <t>17, Madura Street, Port Louis</t>
  </si>
  <si>
    <t>Anita Jhugroo</t>
  </si>
  <si>
    <t>190 Avenue Ollier, Quatre Bornes</t>
  </si>
  <si>
    <t>COD: 4140</t>
  </si>
  <si>
    <t>Camp La Serpe, Bel Air Rivière Sèche</t>
  </si>
  <si>
    <t>Jenita Seechurn</t>
  </si>
  <si>
    <t>JJS Pizzeria, Royal Road, Pamplemousses</t>
  </si>
  <si>
    <t>57529696 / 57448407</t>
  </si>
  <si>
    <t>SSR lane</t>
  </si>
  <si>
    <t>Noushrine</t>
  </si>
  <si>
    <t>Port-louis</t>
  </si>
  <si>
    <t>Begue Street Hollyrood No 1,Vacoas</t>
  </si>
  <si>
    <t>Malika</t>
  </si>
  <si>
    <t>Rawda</t>
  </si>
  <si>
    <t>La Marie, Vacoas</t>
  </si>
  <si>
    <t>Jaabir Jumeen</t>
  </si>
  <si>
    <t>Cemetery Road, Plaine Magnien</t>
  </si>
  <si>
    <t>Bhavisha Joorawon</t>
  </si>
  <si>
    <t>Krishna Road, Lallmatie</t>
  </si>
  <si>
    <t>58328220 / 57013360</t>
  </si>
  <si>
    <t>Oozeer Houzaifa</t>
  </si>
  <si>
    <t>31 Mamelon Vert, St Vallee Pitot, Port Louis</t>
  </si>
  <si>
    <t>Rookmah Ounissa Mohit</t>
  </si>
  <si>
    <t>Morcellement VRS Lot 363, Diamond Street, Souillac</t>
  </si>
  <si>
    <t>Bon Espoir Road, Rivière des Créoles</t>
  </si>
  <si>
    <t>Rivière des Créoles</t>
  </si>
  <si>
    <t>Justine Desire-Armoogum</t>
  </si>
  <si>
    <t>JoyabyJustine, Impasse Cantin, Vacoas-Phoenix</t>
  </si>
  <si>
    <t>Aaishah Mungroo</t>
  </si>
  <si>
    <t>Old School Road, Camp Diable</t>
  </si>
  <si>
    <t>7 Exchange Square, Wall Street, Ebene</t>
  </si>
  <si>
    <t>Lipshita Mungroo</t>
  </si>
  <si>
    <t>Gandhi Road, Trois Boutiques, Union Vale</t>
  </si>
  <si>
    <t>Sheshna Chukowry</t>
  </si>
  <si>
    <t>Siding Road, New Grove</t>
  </si>
  <si>
    <t>Mariam Bhoyro</t>
  </si>
  <si>
    <t>5 Avenue Cretin Lane, Camp-Levieux, Rose-Hill</t>
  </si>
  <si>
    <t>Shazia Sulliman</t>
  </si>
  <si>
    <t>Route Militaire, Port Louis</t>
  </si>
  <si>
    <t>Ms Shifa Hooboyekhan</t>
  </si>
  <si>
    <t>Ave. Veerasamy Iyer, Morcellement Raffray, Le Hochet, Terre Rouge</t>
  </si>
  <si>
    <t>Sanjuna Bablee</t>
  </si>
  <si>
    <t>Kingsavers, Solferino, Vacoas</t>
  </si>
  <si>
    <t>Sheina Maudarbaccus</t>
  </si>
  <si>
    <t>Ebene Tower, Ministry of Housing</t>
  </si>
  <si>
    <t>Haajerah Imrit</t>
  </si>
  <si>
    <t>113 Avenue Ollier, Rose Hill</t>
  </si>
  <si>
    <t>59225275 / 52505311</t>
  </si>
  <si>
    <t>Nabila Fauzee</t>
  </si>
  <si>
    <t>27 Willoughby Street, Curepipe</t>
  </si>
  <si>
    <t>Imran Jhumunn</t>
  </si>
  <si>
    <t>Mrs Chandrika Nepaul</t>
  </si>
  <si>
    <t>Telecom Shop, Flacq Super U</t>
  </si>
  <si>
    <t>Mohamoodally Aisha</t>
  </si>
  <si>
    <t>Morcellement Les Frangipanes, Circonstance, St Pierre</t>
  </si>
  <si>
    <t>Keshini Polegadoo</t>
  </si>
  <si>
    <t>Orchidée Street, Chateau Benares</t>
  </si>
  <si>
    <t>79 Avenue Victoria, Quatre Bornes</t>
  </si>
  <si>
    <t>Harshinee Devi Luchmun</t>
  </si>
  <si>
    <t>Royal Road, Belle Vue Maurel</t>
  </si>
  <si>
    <t>Karishma Mungur</t>
  </si>
  <si>
    <t>Royal Road, Roche Terre, Grand Gaube</t>
  </si>
  <si>
    <t>Mojhoa Khonisha</t>
  </si>
  <si>
    <t>Suite No. 1, Blue Ocean Building, One Way Street, Saint Pierre</t>
  </si>
  <si>
    <t>Emilie Coret</t>
  </si>
  <si>
    <t>EURO CRM, Mahatma Gandhi Avenue, Moka</t>
  </si>
  <si>
    <t>Adam</t>
  </si>
  <si>
    <t>Saniyah Beg</t>
  </si>
  <si>
    <t>Charles Telfair, Moka</t>
  </si>
  <si>
    <t>Adilah Peerbocus</t>
  </si>
  <si>
    <t>Nexteracom Building, Ebene</t>
  </si>
  <si>
    <t>Sephora Axecelle</t>
  </si>
  <si>
    <t>St Hilaire, Mahebourg</t>
  </si>
  <si>
    <t>Soormah Bussooa</t>
  </si>
  <si>
    <t>COD: 4750</t>
  </si>
  <si>
    <t>COD: 4800</t>
  </si>
  <si>
    <t>COD: 1205</t>
  </si>
  <si>
    <t>Luxe Miniatures</t>
  </si>
  <si>
    <t>Petite Pointe Aux Piment</t>
  </si>
  <si>
    <t>COD: 2150</t>
  </si>
  <si>
    <t>Tirkita Shamlall</t>
  </si>
  <si>
    <t>59452757 / 57068044</t>
  </si>
  <si>
    <t>Neelam Ebrahim</t>
  </si>
  <si>
    <t>7b, Abbe Mazuy St, Beau Bassin</t>
  </si>
  <si>
    <t>Joomun Sheikh Ibraahiim</t>
  </si>
  <si>
    <t>Shreeya Bhurtun</t>
  </si>
  <si>
    <t>Creve Coeur, Tulsidas St</t>
  </si>
  <si>
    <t>Jenna Camille</t>
  </si>
  <si>
    <t>Nicoliere Road, Block D2, Saint Pierre</t>
  </si>
  <si>
    <t>Deepika Jeetun</t>
  </si>
  <si>
    <t>Dhanista Dookhoa</t>
  </si>
  <si>
    <t>Plot 8, Morcellement Konjoo, Plaine des Papayes</t>
  </si>
  <si>
    <t>Hadiyyah Khodabocus</t>
  </si>
  <si>
    <t>16 Harris Street, Port Louis</t>
  </si>
  <si>
    <t>Tania Narsou</t>
  </si>
  <si>
    <t>B12, NHCD, Britannia</t>
  </si>
  <si>
    <t>Hadeeya Aungnoo</t>
  </si>
  <si>
    <t>Old Savanne Road, Grand Bois</t>
  </si>
  <si>
    <t>Pooja Somai</t>
  </si>
  <si>
    <t>Royal Road, Paillote, Quatre Bornes</t>
  </si>
  <si>
    <t>Beatrice Chan Neng</t>
  </si>
  <si>
    <t>Leoville Lhomme Street, Port Louis (next to Burger King)</t>
  </si>
  <si>
    <t>Hajrah Neeroo</t>
  </si>
  <si>
    <t>41 Paul Taureau, Port Louis</t>
  </si>
  <si>
    <t>Mohun Keshika</t>
  </si>
  <si>
    <t>Nexteracom 1, Ebene</t>
  </si>
  <si>
    <t>No. 2 Bonnefin, Pailles or Ebene</t>
  </si>
  <si>
    <t>Pailles / Ebene</t>
  </si>
  <si>
    <t>Zarine Raja</t>
  </si>
  <si>
    <t>Mauritius Telecom, Phoenix Mall</t>
  </si>
  <si>
    <t>Tanuja Canhye</t>
  </si>
  <si>
    <t>Appadoo Lane, Bassin Road, Quatre Bornes</t>
  </si>
  <si>
    <t>Preety Roy</t>
  </si>
  <si>
    <t>Avenue Panchoo, Rose Hill</t>
  </si>
  <si>
    <t>Faranaz Handally</t>
  </si>
  <si>
    <t>Henrietta, Camp Belin</t>
  </si>
  <si>
    <t>Noemie Berthelot</t>
  </si>
  <si>
    <t>9 Rue Balgobin, Roches Brunes</t>
  </si>
  <si>
    <t>Lalloo Celina</t>
  </si>
  <si>
    <t>Hospital Road, Arsenal</t>
  </si>
  <si>
    <t>Bibi Aisha Khodabocus</t>
  </si>
  <si>
    <t>Ferani Autoparts, Eau Coulée</t>
  </si>
  <si>
    <t>57454529 / 58960779</t>
  </si>
  <si>
    <t>Nundini Bysooa</t>
  </si>
  <si>
    <t>Royal Road, Isidore-Rose</t>
  </si>
  <si>
    <t>Isidore-Rose</t>
  </si>
  <si>
    <t>Parveen Meerun</t>
  </si>
  <si>
    <t>12 Avenue Broad, Belle Rose</t>
  </si>
  <si>
    <t>Amish Bhugowandeen</t>
  </si>
  <si>
    <t>4 Bancilhon Street, Port Louis (opposite Radio Plus)</t>
  </si>
  <si>
    <t>Joysheena Tuyau</t>
  </si>
  <si>
    <t>Football Ground Lane, Chemin La Mare, L'Agrément, St Pierre</t>
  </si>
  <si>
    <t>Mohisha Choytah</t>
  </si>
  <si>
    <t>Hermitage Branch Road, Camp Fouquereaux, Phoenix</t>
  </si>
  <si>
    <t>The Trademark Building, 1st Floor - Office 1-04, Telfair 80829, Moka</t>
  </si>
  <si>
    <t>Body and soul</t>
  </si>
  <si>
    <t>Riche Terre Mall</t>
  </si>
  <si>
    <t>Wardah</t>
  </si>
  <si>
    <t>La Rue des Forges</t>
  </si>
  <si>
    <t>near Body and Soul</t>
  </si>
  <si>
    <t>Zahrah Emambocus</t>
  </si>
  <si>
    <t>Gros Billot</t>
  </si>
  <si>
    <t>Teejusvi</t>
  </si>
  <si>
    <t>Sabeeha</t>
  </si>
  <si>
    <t>78, Alma Road</t>
  </si>
  <si>
    <t>Nushruth</t>
  </si>
  <si>
    <t>Panchoo Plateau rd</t>
  </si>
  <si>
    <t>Riche Terre</t>
  </si>
  <si>
    <t>Rs 400</t>
  </si>
  <si>
    <t>Mme Mootoosamy</t>
  </si>
  <si>
    <t>Mare D'Albert next to governmnt school.</t>
  </si>
  <si>
    <t>1150rs</t>
  </si>
  <si>
    <t>Gros billot road rose belle</t>
  </si>
  <si>
    <t>Rosebelle</t>
  </si>
  <si>
    <t>Nancy Edibrasse</t>
  </si>
  <si>
    <t>Walliyah Ghanchee</t>
  </si>
  <si>
    <t>Bassad Fatadin C/O Anuelle Fatadin</t>
  </si>
  <si>
    <t>Sushila Mootoorajah</t>
  </si>
  <si>
    <t>Bibi Sahanaze Rojeedawa</t>
  </si>
  <si>
    <t>Kamila Stesy Arekion</t>
  </si>
  <si>
    <t xml:space="preserve">Linda Armandine </t>
  </si>
  <si>
    <t xml:space="preserve">Suman Pooroosutton </t>
  </si>
  <si>
    <t>Prateebah Jharee</t>
  </si>
  <si>
    <t>Ashley Ration (C/O)</t>
  </si>
  <si>
    <t>Krishnee Ghoorhoo</t>
  </si>
  <si>
    <t>Noor-E Muazzamah Peerboccus</t>
  </si>
  <si>
    <t>Inlex Mea</t>
  </si>
  <si>
    <t>Shiya</t>
  </si>
  <si>
    <t>Khushi Boyjoonauth</t>
  </si>
  <si>
    <t>Zahraa Hosenally</t>
  </si>
  <si>
    <t>Palmar</t>
  </si>
  <si>
    <t xml:space="preserve">Tahmina Ramjeet </t>
  </si>
  <si>
    <t xml:space="preserve">Cim Finance Edith Cavelle </t>
  </si>
  <si>
    <t>Hanifa Suffee</t>
  </si>
  <si>
    <t>Avenue Autriche, Morcellement Saint Antoine, Goodlands</t>
  </si>
  <si>
    <t>Morcellement Saint Antoine</t>
  </si>
  <si>
    <t>Anousha Heeramun</t>
  </si>
  <si>
    <t>Vacoas Road Mon Desir Solferino Vacoas</t>
  </si>
  <si>
    <t>Avenue Panchoo</t>
  </si>
  <si>
    <t>Seewoobudut Looshna</t>
  </si>
  <si>
    <t>Social Welfare Centre Lane, Mt Blanche</t>
  </si>
  <si>
    <t>Social Welfare Centre Lane</t>
  </si>
  <si>
    <t>Sheekha Mooneesamy</t>
  </si>
  <si>
    <t>School Lane, Trois Boutique, Chemin Save Max</t>
  </si>
  <si>
    <t>Trois Boutique</t>
  </si>
  <si>
    <t>Chemin Save Max</t>
  </si>
  <si>
    <t>Pavillon Road, Cap-Malheureux</t>
  </si>
  <si>
    <t>Pavillon Road</t>
  </si>
  <si>
    <t>Cap-Malheureux</t>
  </si>
  <si>
    <t>Bhavna Boudou</t>
  </si>
  <si>
    <t>Hospital Road, Highlands, Phoenix</t>
  </si>
  <si>
    <t>Lovena Sadasing</t>
  </si>
  <si>
    <t>Royal Road, Bois Cheri</t>
  </si>
  <si>
    <t>Royal Road</t>
  </si>
  <si>
    <t>Bois Cheri</t>
  </si>
  <si>
    <t>Tania Arnachellum</t>
  </si>
  <si>
    <t>Roblet Lane, Morcellement Algomar, Roches Brunes, Beau Bassin</t>
  </si>
  <si>
    <t>Leena Vanisha Lily</t>
  </si>
  <si>
    <t>52 Anthurium Road, Beau-Vallon, Mahebourg</t>
  </si>
  <si>
    <t>Beau-Vallon</t>
  </si>
  <si>
    <t>Ashna Gajadhur</t>
  </si>
  <si>
    <t>Belle Terre Road, Highlands</t>
  </si>
  <si>
    <t>Belle Terre Road</t>
  </si>
  <si>
    <t>Neha Seetaram</t>
  </si>
  <si>
    <t>La Marie Road</t>
  </si>
  <si>
    <t>Mrgnaini Toolsy</t>
  </si>
  <si>
    <t>Ebene Nexteracom Tower 1, Near DHL, Ebene</t>
  </si>
  <si>
    <t>Near DHL</t>
  </si>
  <si>
    <t>Dhruv Bharosay</t>
  </si>
  <si>
    <t>Royal Road, Riche Mare, Flacq</t>
  </si>
  <si>
    <t>Riche Mare</t>
  </si>
  <si>
    <t>Vanisha Conjamalay</t>
  </si>
  <si>
    <t>Dodo Lane, St Julien d’Hotman</t>
  </si>
  <si>
    <t>Dodo Lane</t>
  </si>
  <si>
    <t>St Julien d’Hotman</t>
  </si>
  <si>
    <t>Stacy Azie</t>
  </si>
  <si>
    <t>Ramjutun Road, Baie du Cap</t>
  </si>
  <si>
    <t>Ramjutun Road</t>
  </si>
  <si>
    <t>Akshita Seewoodoyal</t>
  </si>
  <si>
    <t>To be delivered at MauBank Head Office, Bank Street, Ebene</t>
  </si>
  <si>
    <t>Bank Street</t>
  </si>
  <si>
    <t>Bhunjun Lane</t>
  </si>
  <si>
    <t>Shivala Road</t>
  </si>
  <si>
    <t>Prathna Caunhye</t>
  </si>
  <si>
    <t>Morcellement Savannah, Mare Tabac</t>
  </si>
  <si>
    <t>Morcellement Savannah</t>
  </si>
  <si>
    <t>Aditya Jugnah</t>
  </si>
  <si>
    <t>Royal Road, 8th Mile, Triolet</t>
  </si>
  <si>
    <t>8th Mile</t>
  </si>
  <si>
    <t>Palma</t>
  </si>
  <si>
    <t>Lazinah Bibi Swadeka Bundhoo</t>
  </si>
  <si>
    <t>50 Mohammad Iqbal Avenue, Phoenix</t>
  </si>
  <si>
    <t>50 Mohammad Iqbal Avenue</t>
  </si>
  <si>
    <t>Selveena Cundasawmy</t>
  </si>
  <si>
    <t>B41 Avenue Du Travail, Résidence Kennedy, Quatre Bornes</t>
  </si>
  <si>
    <t>Résidence Kennedy</t>
  </si>
  <si>
    <t>Nuzhah Elauhee</t>
  </si>
  <si>
    <t>Tagore Lane, Mesnil</t>
  </si>
  <si>
    <t>Tagore Lane</t>
  </si>
  <si>
    <t>Yaashna Dusoye</t>
  </si>
  <si>
    <t>Maheshwar Nagri Road, 9th Mile</t>
  </si>
  <si>
    <t>Haafiza Rawoo</t>
  </si>
  <si>
    <t>Chemin Village Hall</t>
  </si>
  <si>
    <t>Vedushka Rama</t>
  </si>
  <si>
    <t>La Marie</t>
  </si>
  <si>
    <t>Shamil Nunhuck</t>
  </si>
  <si>
    <t>59704384 / 58487190</t>
  </si>
  <si>
    <t>Morcellement VRS</t>
  </si>
  <si>
    <t>Yeshna Ramguth</t>
  </si>
  <si>
    <t>Upper Vale</t>
  </si>
  <si>
    <t>Hermitage Branch Road</t>
  </si>
  <si>
    <t>Camp Fouquereaux</t>
  </si>
  <si>
    <t>Umairah Mandary</t>
  </si>
  <si>
    <t>50, C Canda Lane Stanley</t>
  </si>
  <si>
    <t>Enakshee Charitar</t>
  </si>
  <si>
    <t>CIDP, BioPark Mauritius, SOCOTA Phoenicia, Sayed Hossen Road</t>
  </si>
  <si>
    <t>Needhisha Devi Dursun</t>
  </si>
  <si>
    <t>Ligne Berthaud</t>
  </si>
  <si>
    <t>Shabneez Abdool Khader</t>
  </si>
  <si>
    <t>Parasol Lane, Mont-Fertile</t>
  </si>
  <si>
    <t>Moorlie Farhaan</t>
  </si>
  <si>
    <t>Montcellement S.I.T</t>
  </si>
  <si>
    <t>Fareeha Bassa</t>
  </si>
  <si>
    <t>Rue Flammand</t>
  </si>
  <si>
    <t>Rue Sir Williams Newton Street</t>
  </si>
  <si>
    <t>Kirty Sheoraj</t>
  </si>
  <si>
    <t>Lotus Road, Morcellement Purgus</t>
  </si>
  <si>
    <t>Fond Du Sac</t>
  </si>
  <si>
    <t>5 Dr Bour Street</t>
  </si>
  <si>
    <t>Tejusweeny Devi Rambaruth</t>
  </si>
  <si>
    <t>Delivery at Ebene</t>
  </si>
  <si>
    <t>Mita Maureemootoo</t>
  </si>
  <si>
    <t>SICOM Tower</t>
  </si>
  <si>
    <t>57844522 / 52575533</t>
  </si>
  <si>
    <t>Shameerah Sitaya</t>
  </si>
  <si>
    <t>18 Thomy Darifat</t>
  </si>
  <si>
    <t>Camp le Juge</t>
  </si>
  <si>
    <t>Emilia Collet</t>
  </si>
  <si>
    <t>Laetitia Baho</t>
  </si>
  <si>
    <t>Nexteracom, Tower 2, Cybercity</t>
  </si>
  <si>
    <t>Faridah bibi Tagaully</t>
  </si>
  <si>
    <t>Kamila Arekion</t>
  </si>
  <si>
    <t>216 Avenue Ollier</t>
  </si>
  <si>
    <t>La Mairee</t>
  </si>
  <si>
    <t>Eau CoulÃ©e</t>
  </si>
  <si>
    <t>Bhavishty Madhoo</t>
  </si>
  <si>
    <t>Playground Road</t>
  </si>
  <si>
    <t>Sharonne Philips Berardi</t>
  </si>
  <si>
    <t>38 Avenue Halley, Morc New Town</t>
  </si>
  <si>
    <t>Aanisah Beeharry</t>
  </si>
  <si>
    <t>Camp Mapou Lane 1, Henrietta</t>
  </si>
  <si>
    <t>Tashmi Gunnoo</t>
  </si>
  <si>
    <t>Level 1, Cyber Tower 2, Cybercity</t>
  </si>
  <si>
    <t>Camp Berthaud</t>
  </si>
  <si>
    <t>Zahrah Jowaheer-Mosaheb</t>
  </si>
  <si>
    <t>Rachna Padaruth</t>
  </si>
  <si>
    <t>Temple Road</t>
  </si>
  <si>
    <t>Creve-Coeur</t>
  </si>
  <si>
    <t>Shabnoor Peerbaccus</t>
  </si>
  <si>
    <t>Larue Pagoda</t>
  </si>
  <si>
    <t>Karishma</t>
  </si>
  <si>
    <t>Ragnee Mahadea</t>
  </si>
  <si>
    <t>Lalbahadour Street</t>
  </si>
  <si>
    <t>Candos</t>
  </si>
  <si>
    <t>Veena</t>
  </si>
  <si>
    <t>School Lane</t>
  </si>
  <si>
    <t>Zarinah</t>
  </si>
  <si>
    <t>Plaines des Roches</t>
  </si>
  <si>
    <t>Shafina</t>
  </si>
  <si>
    <t>St Pierre Lavenir</t>
  </si>
  <si>
    <t>Mujahid Kadell</t>
  </si>
  <si>
    <t>Near Imperial College</t>
  </si>
  <si>
    <t>COD Rs 1150</t>
  </si>
  <si>
    <t>COD Rs 3022</t>
  </si>
  <si>
    <t>Avenue Condé 1, Les Guibies</t>
  </si>
  <si>
    <t>L’habit de l’ile
74 champville vallee des prete</t>
  </si>
  <si>
    <t>Zareen Mosafeer / Radiyah</t>
  </si>
  <si>
    <t>Alexander House (To Exchange product)</t>
  </si>
  <si>
    <t>Mrs Nazma Auladin</t>
  </si>
  <si>
    <t>18 Nyon St</t>
  </si>
  <si>
    <t>COD: Rs 1300</t>
  </si>
  <si>
    <t>Deepa Beeharry</t>
  </si>
  <si>
    <t>Les Casernes near driving school</t>
  </si>
  <si>
    <t>Shena Khayalee</t>
  </si>
  <si>
    <t>Rochester Lane</t>
  </si>
  <si>
    <t>–</t>
  </si>
  <si>
    <t>Hélène Marie</t>
  </si>
  <si>
    <t>Avenue des Laurier</t>
  </si>
  <si>
    <t>Pointe aux Canonniers</t>
  </si>
  <si>
    <t>COD: Rs 2000</t>
  </si>
  <si>
    <t>Nazmeer Mohamudally</t>
  </si>
  <si>
    <t>Cent Gaulettes, Mahebourg</t>
  </si>
  <si>
    <t>I went there twice</t>
  </si>
  <si>
    <t>Rosita Rampersad</t>
  </si>
  <si>
    <t>COD  1700RS</t>
  </si>
  <si>
    <t>Royal Road, L'Aventure (between 11 am to 3 pm)</t>
  </si>
  <si>
    <t>COD Rs 3495</t>
  </si>
  <si>
    <t>Parapen Umella</t>
  </si>
  <si>
    <t>Muhammad Shahim Runghen</t>
  </si>
  <si>
    <t>Boodhoo Nuzhah</t>
  </si>
  <si>
    <t>Aatish Gungaram</t>
  </si>
  <si>
    <t>Urvashi Heerah</t>
  </si>
  <si>
    <t>Goolvaden Bibi Ehman Shaba</t>
  </si>
  <si>
    <t>Bel Air Riviere Seche</t>
  </si>
  <si>
    <t>Wadiyyah Ajubtally</t>
  </si>
  <si>
    <t>Aznaah Imamdee</t>
  </si>
  <si>
    <t>Bhoonderowa Kijesh Kumar</t>
  </si>
  <si>
    <t>Nathalie Celine Albufera</t>
  </si>
  <si>
    <t>Shabina Khodabux</t>
  </si>
  <si>
    <t>Rosun Bibi Wardah</t>
  </si>
  <si>
    <t>Salinah Nuckcheddy</t>
  </si>
  <si>
    <t>Shahana Meerun</t>
  </si>
  <si>
    <t>Mauracheea Lakshita</t>
  </si>
  <si>
    <t>Nitisha Doobaly</t>
  </si>
  <si>
    <t>Leeshena Seemreekeea</t>
  </si>
  <si>
    <t>Clemencia</t>
  </si>
  <si>
    <t>Boodhoo Pallavi</t>
  </si>
  <si>
    <t>Priyam Devi Seeruttun</t>
  </si>
  <si>
    <t>Ghoree Baubooa</t>
  </si>
  <si>
    <t>Tina Motee</t>
  </si>
  <si>
    <t>Tanuja Peeroo</t>
  </si>
  <si>
    <t>Marie Therese Doriane Jowaheer</t>
  </si>
  <si>
    <t>Zareen Caunhye</t>
  </si>
  <si>
    <t>Ourusha Bibi Allam</t>
  </si>
  <si>
    <t>Tianna Renguin</t>
  </si>
  <si>
    <t>Camp de Masque</t>
  </si>
  <si>
    <t>Ketsia Sawmynaden</t>
  </si>
  <si>
    <t>Srishty Moonsamy</t>
  </si>
  <si>
    <t>Dunputh Lane, Bois Cheri</t>
  </si>
  <si>
    <t>Tamarin Lane, Camp-Levieux, Rose-Hill</t>
  </si>
  <si>
    <t>Grassy Road, Vacoas, 73215</t>
  </si>
  <si>
    <t>Royal Road, Lallmatie</t>
  </si>
  <si>
    <t>Kidskills Ltd, 1st Floor, next to SBM Branch, Royal Road, Mesnil</t>
  </si>
  <si>
    <t>Royal Road, Bel Air Riviere Seche</t>
  </si>
  <si>
    <t>Moncellement Blue Print, Highlands, Phoenix</t>
  </si>
  <si>
    <t>Evaco Group, Arsenal</t>
  </si>
  <si>
    <t>Jugdambi Road, Goodlands</t>
  </si>
  <si>
    <t>Osprey Lane, Belle Vue Maurel</t>
  </si>
  <si>
    <t>New Village Hall Road, Baie du Cap</t>
  </si>
  <si>
    <t>Calcutta Street, Port Louis</t>
  </si>
  <si>
    <t>Chapel Lane, L'Escalier</t>
  </si>
  <si>
    <t>Royal Road, New Grove</t>
  </si>
  <si>
    <t>Motorway M1, Highlands, Phoenix</t>
  </si>
  <si>
    <t>Sans Souci Road, Montagne Blanche</t>
  </si>
  <si>
    <t>Cemetery Road, Riche Mare, Flacq</t>
  </si>
  <si>
    <t>Choonee street, Clemencia</t>
  </si>
  <si>
    <t>Maheshwarnagri Road, 9th Mille, Triolet</t>
  </si>
  <si>
    <t>Clairfonds No. 1, Phoenix, Ramputh Lane</t>
  </si>
  <si>
    <t>Royal Road, Sebastopol</t>
  </si>
  <si>
    <t>MBC, Moka</t>
  </si>
  <si>
    <t>St Antoine, Goodlands</t>
  </si>
  <si>
    <t>9th Mile, Triolet, Maheshwar Nagri Road</t>
  </si>
  <si>
    <t>Khedoo Lane, Cluny</t>
  </si>
  <si>
    <t>SSR Lane, Calebasses, Pamplemousses</t>
  </si>
  <si>
    <t>Copain Lane, Terre Rouge</t>
  </si>
  <si>
    <t>5, Impasse Malherbes, Curepipe</t>
  </si>
  <si>
    <t>Ashee Kanhye / Preity Persand</t>
  </si>
  <si>
    <t>Remy Ollier Bonne Terre Vacoas, Impasse Argentine 2, Vacoas</t>
  </si>
  <si>
    <t>Avenue Des Colombes, Medine, Camp de Masque</t>
  </si>
  <si>
    <t>Old Market Road, Riviere du Rempart, near Courts Mammouth</t>
  </si>
  <si>
    <t>Ébène / Morcellement Petit Village, St Antoine, Goodlands</t>
  </si>
  <si>
    <t xml:space="preserve">Ébène </t>
  </si>
  <si>
    <t>Riv Des Anguille / Royal Road, Grand Bois</t>
  </si>
  <si>
    <t>Marie Arielle Estazar</t>
  </si>
  <si>
    <t>Argy, Centre de Flacq</t>
  </si>
  <si>
    <t>Argy</t>
  </si>
  <si>
    <t>Bamyris Motors, Bagatelle Motorcity, Motorway M1</t>
  </si>
  <si>
    <t>Latapie Road, Bon Accueil</t>
  </si>
  <si>
    <t>Royal Road, Lallmatie (near Green Cross)</t>
  </si>
  <si>
    <t>89 Boundary, Rose Hill</t>
  </si>
  <si>
    <t>Yasiirah Kassim</t>
  </si>
  <si>
    <t>Sunflower Lane, Terre Rouge, Mauritius</t>
  </si>
  <si>
    <t>Ashifa Neeha Phoyjaully</t>
  </si>
  <si>
    <t>Antoaroo Nusraah Bibi Nadillah</t>
  </si>
  <si>
    <t>57011403 / 4189068</t>
  </si>
  <si>
    <t>Ganeshta Pem Newoor</t>
  </si>
  <si>
    <t>Sailajah Nugapen</t>
  </si>
  <si>
    <t>47 Pave Dâ€™amour, Coromandel</t>
  </si>
  <si>
    <t>Mohamad Sadek Hosany</t>
  </si>
  <si>
    <t>Ayesha Bibi Mustan</t>
  </si>
  <si>
    <t>97, Monsiegnuer Leen Street, Port Louis</t>
  </si>
  <si>
    <t>Camp La Serpe, Bel-Air Riviere Seche, Flacq</t>
  </si>
  <si>
    <t>Royal Road, Grand Pointe aux Piments, Mauritius</t>
  </si>
  <si>
    <t>Logidealsworldlink, La Louise, Quatre Bornes</t>
  </si>
  <si>
    <t>Parasol Lane, Mont-Fertile, New-Grove, Mauritius</t>
  </si>
  <si>
    <t>Brise Verdiere</t>
  </si>
  <si>
    <t>5791 7726</t>
  </si>
  <si>
    <t>COD Rs 1000</t>
  </si>
  <si>
    <t>Farhaan Mahamoodally</t>
  </si>
  <si>
    <t>Inderjeet Verma</t>
  </si>
  <si>
    <t>Simadree Virahsawmy, SSS, Royal Road, Riv du rempart</t>
  </si>
  <si>
    <t>COD Rs 1700</t>
  </si>
  <si>
    <t>Client collected from Seller</t>
  </si>
  <si>
    <t>Reva Dinya</t>
  </si>
  <si>
    <t>Vallee Des Pretes</t>
  </si>
  <si>
    <t>Henna Allybaccus</t>
  </si>
  <si>
    <t>26 Anderson James Forester Port Louis</t>
  </si>
  <si>
    <t>Nashreen</t>
  </si>
  <si>
    <t>Le Hochet Terre Rouge</t>
  </si>
  <si>
    <t>Meenakshi Rama</t>
  </si>
  <si>
    <t>Hansa Hurnam</t>
  </si>
  <si>
    <t>Lisheekha Gopaul</t>
  </si>
  <si>
    <t>Paid</t>
  </si>
  <si>
    <t>COD: Rs 1298</t>
  </si>
  <si>
    <t>COD: Rs 850</t>
  </si>
  <si>
    <t>COD: Rs 950</t>
  </si>
  <si>
    <t>COD: Rs 1150</t>
  </si>
  <si>
    <t>COD: 500/-</t>
  </si>
  <si>
    <t>FileInvoiceNumber</t>
  </si>
  <si>
    <t>InvoiceNumber</t>
  </si>
  <si>
    <t>Period</t>
  </si>
  <si>
    <t>Qty Collected</t>
  </si>
  <si>
    <t>Qty Delivered</t>
  </si>
  <si>
    <t>Returns</t>
  </si>
  <si>
    <t>Amount</t>
  </si>
  <si>
    <t>Total Invoice</t>
  </si>
  <si>
    <t>Glow_And_Aura_INV_113_June_2025.pdf</t>
  </si>
  <si>
    <t>JN-112</t>
  </si>
  <si>
    <t>Little_Star_Boutique_INV_115_June_2025.pdf</t>
  </si>
  <si>
    <t>JN-113</t>
  </si>
  <si>
    <t>Luxe_Miniatures_INV_116_June_2025.pdf</t>
  </si>
  <si>
    <t>JN-114</t>
  </si>
  <si>
    <t>May's_Shop_INV_114_June_2025.pdf</t>
  </si>
  <si>
    <t>JN-115</t>
  </si>
  <si>
    <t>Nab Makeup and Skincare Corner</t>
  </si>
  <si>
    <t>Nab_INV_110_June_2025.pdf</t>
  </si>
  <si>
    <t>JN-110</t>
  </si>
  <si>
    <t>OKASINA_INV_111_June_2025.pdf</t>
  </si>
  <si>
    <t>JN-111</t>
  </si>
  <si>
    <t>Timeless_Trends_INV_112_June_2025.pdf</t>
  </si>
  <si>
    <t>JN-116</t>
  </si>
  <si>
    <t>Diksha Neermaull</t>
  </si>
  <si>
    <t>Shabnam Sookharee</t>
  </si>
  <si>
    <t>Rosheema Fugurally</t>
  </si>
  <si>
    <t>Tropic knits, Royal Road Forestside</t>
  </si>
  <si>
    <t>Asha Mokoonlall</t>
  </si>
  <si>
    <t>Railway Rd, opposite CAB office, Riviere des Anguilles</t>
  </si>
  <si>
    <t>Ancharaz Road, Pont Blanc, Flacq</t>
  </si>
  <si>
    <t>Lotus Road, Morc Purgus, Fond Du Sac</t>
  </si>
  <si>
    <t>Neha Gajadhur</t>
  </si>
  <si>
    <t>Mon Desert Road, Plaine Magnien</t>
  </si>
  <si>
    <t>Sanghavee Subramanian</t>
  </si>
  <si>
    <t>B119, Morcellement La Lucie, Bel Air Riviere Seche</t>
  </si>
  <si>
    <t>Abhishek Cheekhooree</t>
  </si>
  <si>
    <t>Mopirove Limited, Industrial Zone, Coromandel</t>
  </si>
  <si>
    <t>Shifa Bibi Suhaylah Nazurally</t>
  </si>
  <si>
    <t>Avenue des Cateaux Verts, Mont-Ida</t>
  </si>
  <si>
    <t>Bassad Fatadin c/o Anuelle Begue Fatadin</t>
  </si>
  <si>
    <t>Mauritius</t>
  </si>
  <si>
    <t>Loginee Kungarem</t>
  </si>
  <si>
    <t>Ramtohul Lane, Surinam</t>
  </si>
  <si>
    <t>Shyamaal China-Appadu</t>
  </si>
  <si>
    <t>Ashmita Babajee</t>
  </si>
  <si>
    <t>Sans Souci Road, Montagne Blanche, Moka</t>
  </si>
  <si>
    <t>Rouwayda Alibocus</t>
  </si>
  <si>
    <t>Keshika Bhujoo</t>
  </si>
  <si>
    <t>Dr Manilall Road, Petite-Julie, Pamplemousses</t>
  </si>
  <si>
    <t>Hemisha Mohesh</t>
  </si>
  <si>
    <t>Callychurn Lane, Carreau Laliane, Vacoas</t>
  </si>
  <si>
    <t>Kesha Bhaya</t>
  </si>
  <si>
    <t>Avenue La Forge, Palma, Quatre Bornes</t>
  </si>
  <si>
    <t>Marie Emilie Georgina Petit</t>
  </si>
  <si>
    <t>Toshna Rawoteea</t>
  </si>
  <si>
    <t>Riviere des Anguilles</t>
  </si>
  <si>
    <t>Parishnee Chokhan</t>
  </si>
  <si>
    <t>Riviere Seche</t>
  </si>
  <si>
    <t>Mont-Ida</t>
  </si>
  <si>
    <t>Glen Park</t>
  </si>
  <si>
    <t>Bois Rouge</t>
  </si>
  <si>
    <t>Mare D’Albert</t>
  </si>
  <si>
    <t>Carreau Laliane</t>
  </si>
  <si>
    <t>Faeza Moraby</t>
  </si>
  <si>
    <t>Shekinah Rungadok</t>
  </si>
  <si>
    <t>Beau-Bassin</t>
  </si>
  <si>
    <t>Anuradha Latona</t>
  </si>
  <si>
    <t>Mamta Bauljeewon</t>
  </si>
  <si>
    <t>Om Reedhikesh Armoogum</t>
  </si>
  <si>
    <t>Floreal</t>
  </si>
  <si>
    <t>Avnish Gungaram</t>
  </si>
  <si>
    <t>Medine</t>
  </si>
  <si>
    <t>Mont-Fertile</t>
  </si>
  <si>
    <t>Luchmun Yavnah</t>
  </si>
  <si>
    <t>Rose-Belle</t>
  </si>
  <si>
    <t>Cristel Desperles</t>
  </si>
  <si>
    <t>Nooriyah Banon</t>
  </si>
  <si>
    <t>Zaina Ozeer</t>
  </si>
  <si>
    <t>Riv des Anguilles</t>
  </si>
  <si>
    <t>Shagoofta Shaik Raman</t>
  </si>
  <si>
    <t>Vanisha Ramdin</t>
  </si>
  <si>
    <t>Sanya Gaungoo</t>
  </si>
  <si>
    <t>Royal Road, St Hubert, Ramrachia Lane</t>
  </si>
  <si>
    <t>57937961 / 57685749</t>
  </si>
  <si>
    <t>Adil Beeharry</t>
  </si>
  <si>
    <t>Shaziah Wozeer</t>
  </si>
  <si>
    <t>Urmila Lakhan</t>
  </si>
  <si>
    <t>Kavina St Felix</t>
  </si>
  <si>
    <t>Sharon Ng Cheong Vee</t>
  </si>
  <si>
    <t>Bibi Aisha Dilholaush</t>
  </si>
  <si>
    <t>Aashi</t>
  </si>
  <si>
    <t>Lakshana Sesmun</t>
  </si>
  <si>
    <t>Hasnaa Ahmod</t>
  </si>
  <si>
    <t>Rungoo Road, Roches Noires, Red Mango Shop</t>
  </si>
  <si>
    <t>47, Morcellement Beau-Plan, Bois Rouge, Mauritius</t>
  </si>
  <si>
    <t>Lot 127, Morc Fairview, Mare D’Albert, Grand Port, Mauritius</t>
  </si>
  <si>
    <t>No 10, Cité EDC, Pamplemousses</t>
  </si>
  <si>
    <t>Avenue Black Rock, Tamarin, Mauritius</t>
  </si>
  <si>
    <t>10 Route Bassin, Quatre Bornes, Mauritius</t>
  </si>
  <si>
    <t>Pave road, Cap Malheureux</t>
  </si>
  <si>
    <t>6 Corby Street, Beau-Bassin</t>
  </si>
  <si>
    <t>NHDC N10, Glen Park, Vacoas</t>
  </si>
  <si>
    <t>Royal Road, Riviere des Anguilles</t>
  </si>
  <si>
    <t>Swami Sivananda Avenue, Floreal</t>
  </si>
  <si>
    <t>Ave Des Colombes, Medine, Camp De Masque</t>
  </si>
  <si>
    <t>Market Lane, Rose Belle</t>
  </si>
  <si>
    <t>Parasol Lane, Mont-Fertile, New-Grove</t>
  </si>
  <si>
    <t>Royal Road, Bon Accueil, Flacq</t>
  </si>
  <si>
    <t>Lot 127, Residence Les Jardins D'Anna, Flic en Flac</t>
  </si>
  <si>
    <t>Avenue Jerôme Tranquille, Artichaut Lane 1, Vacoas</t>
  </si>
  <si>
    <t>Pazani Malai Road, Cap Malheureux</t>
  </si>
  <si>
    <t>Apt 23, Le Mona Loa, Residence Crater, Dr Mayer Street, Floreal</t>
  </si>
  <si>
    <t>Paradise Street, Tyack, Riv des Anguilles</t>
  </si>
  <si>
    <t>13, Royal Road, Beau-Bassin</t>
  </si>
  <si>
    <t>LA Mairee, Eau Coulée</t>
  </si>
  <si>
    <t>Prud'homme Street, Riviere des Anguilles</t>
  </si>
  <si>
    <t>95 La Paix Street, Port Louis</t>
  </si>
  <si>
    <t>A25 Residences Hortensia, Mare D’Albert</t>
  </si>
  <si>
    <t>51, Avenue de la Faye, Belle Rose, Quatre Bornes</t>
  </si>
  <si>
    <t>Route Royale Visitation, Opposite Visitation Church, Vacoas</t>
  </si>
  <si>
    <t>Royal Road, Union Park</t>
  </si>
  <si>
    <t>MU 7, Avenue Bernardin de St Pierre, Quatre Bornes</t>
  </si>
  <si>
    <t>Rose Hill, Stanley</t>
  </si>
  <si>
    <t>47, Queen Victoria Street, Rose Hill</t>
  </si>
  <si>
    <t>Kowlessur Lane, Quatre Bornes</t>
  </si>
  <si>
    <t>Baccus Road, L'Avenir, Saint Pierre after 2pm / GF IN EBENE Before 2pm</t>
  </si>
  <si>
    <t>Ebene / L'Avenir</t>
  </si>
  <si>
    <t>Shivala Lane, Triolet</t>
  </si>
  <si>
    <t>Agry</t>
  </si>
  <si>
    <t>Has to be Vacoas</t>
  </si>
  <si>
    <t>has to be Ebene</t>
  </si>
  <si>
    <t>Returned to Seller</t>
  </si>
  <si>
    <t>Change to Vacoas</t>
  </si>
  <si>
    <t>Change to Ebene</t>
  </si>
  <si>
    <t>Faezah Bint Tabrez</t>
  </si>
  <si>
    <t>26 impasse gorah issac, Port louis</t>
  </si>
  <si>
    <t>COD: 2675</t>
  </si>
  <si>
    <t>Miss fowdar</t>
  </si>
  <si>
    <t>National Women Entrepreneur, Phoenix</t>
  </si>
  <si>
    <t>COD: 2600</t>
  </si>
  <si>
    <t xml:space="preserve">Swasty </t>
  </si>
  <si>
    <t>FREELAND LANE, GLEN PARK VACOAS</t>
  </si>
  <si>
    <t>COD: 3545</t>
  </si>
  <si>
    <t>Damree Aaliyah Bibi Zafirah</t>
  </si>
  <si>
    <t>Latapie Road dodo lane Bon Accueil</t>
  </si>
  <si>
    <t>Mandishta Indur</t>
  </si>
  <si>
    <t>Royal Road, Anand Square, 8th Mile, Triolet</t>
  </si>
  <si>
    <t>Neha Sunnoo</t>
  </si>
  <si>
    <t>Boundary Road, Bambous</t>
  </si>
  <si>
    <t>Samiirah Dowlut</t>
  </si>
  <si>
    <t>Royal Road Sebastopol, Sebastopol</t>
  </si>
  <si>
    <t>Moncellement Currumthalee, Glen Park, Vacoas</t>
  </si>
  <si>
    <t>Hemamta Ragoonanan</t>
  </si>
  <si>
    <t>Dodo Lane, Montagne Blanche</t>
  </si>
  <si>
    <t>Bibi Zeenat Bola</t>
  </si>
  <si>
    <t>Princess Ann St, 7th Mile Triolet, Port Louis</t>
  </si>
  <si>
    <t>+230 5782 7279</t>
  </si>
  <si>
    <t>Haurdhan Kavish</t>
  </si>
  <si>
    <t>Bathoolaul St, Roche-Terre</t>
  </si>
  <si>
    <t>Roche-Terre</t>
  </si>
  <si>
    <t>Sumesh Dewdanee</t>
  </si>
  <si>
    <t>57770661, 57523370</t>
  </si>
  <si>
    <t>Yajna Beharee</t>
  </si>
  <si>
    <t>Mahatma Gandhi Road, Mon Gout Pamplemousse</t>
  </si>
  <si>
    <t>Pamplemousse</t>
  </si>
  <si>
    <t>Atchia Hadiyyah</t>
  </si>
  <si>
    <t>29 Louis Pasteur Street, Port Louis</t>
  </si>
  <si>
    <t>Tanvi Bhowaneedin</t>
  </si>
  <si>
    <t>Nexteracom Tower 1, Ebene</t>
  </si>
  <si>
    <t>Aiyyaz Issimdar</t>
  </si>
  <si>
    <t>Royal Road, Henrietta, Vacoas</t>
  </si>
  <si>
    <t>Ganeshwaree Bacoree</t>
  </si>
  <si>
    <t>Jasmine Avenue, Belle Mare</t>
  </si>
  <si>
    <t>Priya.D Mungloo</t>
  </si>
  <si>
    <t>TresBon No2, Vacoas</t>
  </si>
  <si>
    <t>Catherine Bestel</t>
  </si>
  <si>
    <t>31, Domaine Du Levant, Roches Noires</t>
  </si>
  <si>
    <t>Melissa Ducray</t>
  </si>
  <si>
    <t>Avenue Albatross, Morcellement Raffray, Albion</t>
  </si>
  <si>
    <t>Zarina Bhollah</t>
  </si>
  <si>
    <t>7 Trisnapoly Street, Plain Vert, Port Louis</t>
  </si>
  <si>
    <t>Mohammodally Sharfaa</t>
  </si>
  <si>
    <t>Royal Road, Caroline, Bel Air</t>
  </si>
  <si>
    <t>53 Abdool Razack Mohamed Street, Port Louis</t>
  </si>
  <si>
    <t>Namrata Munroop Betchoo</t>
  </si>
  <si>
    <t>Shivala Road, Ecroignard, Centre de Flacq</t>
  </si>
  <si>
    <t>Nabeeha Joomun</t>
  </si>
  <si>
    <t>Glen Park, Vacoas</t>
  </si>
  <si>
    <t>Avenue Perrche, 3 Pailles</t>
  </si>
  <si>
    <t>58963808 or 59033340</t>
  </si>
  <si>
    <t>Avenue Des Colombes, Medine Camp de Masque</t>
  </si>
  <si>
    <t>Vaisnavi Rai Baichoo Jeetun</t>
  </si>
  <si>
    <t>Engrais Martial Street, Curepipe</t>
  </si>
  <si>
    <t>+230 58003626</t>
  </si>
  <si>
    <t>Maeva Laroy</t>
  </si>
  <si>
    <t>Nirvana Pemsing</t>
  </si>
  <si>
    <t>34 Dr Henry Seneque, Bell Village, Port Louis</t>
  </si>
  <si>
    <t>Sirimah Plaiche</t>
  </si>
  <si>
    <t>Aisha Cader</t>
  </si>
  <si>
    <t>Telecom Rosehill</t>
  </si>
  <si>
    <t>Mehediya Furreed</t>
  </si>
  <si>
    <t>21 Aleppo Street, Camp Yoloff, Port Louis</t>
  </si>
  <si>
    <t>Ashreena Shibnauth</t>
  </si>
  <si>
    <t>Royal Road, Union Vale, Trois Boutiques</t>
  </si>
  <si>
    <t>Shivani Sookta</t>
  </si>
  <si>
    <t>Nanuck Lane, Baramia, Rose-Belle</t>
  </si>
  <si>
    <t>Yamini Pagoo</t>
  </si>
  <si>
    <t>Kawthur Kurreemun Bibi Najaah</t>
  </si>
  <si>
    <t>49 Lome Lane, Caro Lalo, Vallee des Pretres</t>
  </si>
  <si>
    <t>Vallee des Pretres</t>
  </si>
  <si>
    <t>Vanina Veerasamy</t>
  </si>
  <si>
    <t>Rose Hill (Bon Pasteur &amp; Coromandel)</t>
  </si>
  <si>
    <t>Rose Hill / Coromandel</t>
  </si>
  <si>
    <t>Shameenaz Ismael</t>
  </si>
  <si>
    <t>Lamusse Road, Plaine Magnien</t>
  </si>
  <si>
    <t>Chumun Shristi</t>
  </si>
  <si>
    <t>Tribeca Mall</t>
  </si>
  <si>
    <t>Tribeca</t>
  </si>
  <si>
    <t>Melanie Chan</t>
  </si>
  <si>
    <t>Nivritti Devi Ramgulam</t>
  </si>
  <si>
    <t>Dishaa Mulliah</t>
  </si>
  <si>
    <t>7 Aves des Anthuriums, Burrenchobay H E, Plaine Magnien</t>
  </si>
  <si>
    <t>Taslimah Toorabally</t>
  </si>
  <si>
    <t>No12 Starlane, off Sainte Marie Street, Sainte Croix, Port Louis</t>
  </si>
  <si>
    <t>Royal Road Bel Air Riviere Seche, Bel Air</t>
  </si>
  <si>
    <t>Subash Road, Poudre D'Or Hamlet</t>
  </si>
  <si>
    <t>E44 Avenue L'esperance, Residence Kennedy, Quatre Bornes</t>
  </si>
  <si>
    <t>7 Morcellement La Sourdine, L'Escalier, Savanne</t>
  </si>
  <si>
    <t>SSR Lane, L'Escalier</t>
  </si>
  <si>
    <t>Geranium lane, Grand Baie</t>
  </si>
  <si>
    <t>ICON EBENE, Ebene</t>
  </si>
  <si>
    <t xml:space="preserve">St Aubin </t>
  </si>
  <si>
    <t>Poudre D'Or Hamlet</t>
  </si>
  <si>
    <t>9 William Stanley, Plaine Lauzun, Pailles</t>
  </si>
  <si>
    <t>Cyril Lagesse Lane, Grand Bay (near Pharmacy Lo)</t>
  </si>
  <si>
    <t>Soobhany Road, Goodlands</t>
  </si>
  <si>
    <t>7 Impasse Mgr Leen, Beau Bassin</t>
  </si>
  <si>
    <t>Kawshar Noshib</t>
  </si>
  <si>
    <t>Kovashini Sedembarum</t>
  </si>
  <si>
    <t>Muhammad Muzzammil Tagally</t>
  </si>
  <si>
    <t>Cristalyn Meunier</t>
  </si>
  <si>
    <t>Sunita Bissoonauth</t>
  </si>
  <si>
    <t>Avenue de Capucine, Camp de embrevate, Pamplemousses</t>
  </si>
  <si>
    <t>Farheen Thybuccus</t>
  </si>
  <si>
    <t>Royal Road, Calebasses, Pamplemousses</t>
  </si>
  <si>
    <t>Vidyashee Fakooa</t>
  </si>
  <si>
    <t>Mission Cross Road, Grand Bas Fond, Lallmatie</t>
  </si>
  <si>
    <t>Cynthia Lam Yee Man</t>
  </si>
  <si>
    <t>31B Napier Broome, Beau Bassin</t>
  </si>
  <si>
    <t>Lindsay Sandian</t>
  </si>
  <si>
    <t>Ebene City, Ebene, Reduit</t>
  </si>
  <si>
    <t>Ashwini Sohan</t>
  </si>
  <si>
    <t>9 Rubinstein Street, Residences Vallijee, Port Louis</t>
  </si>
  <si>
    <t>Aklimah Acharaze</t>
  </si>
  <si>
    <t>Sohawon Road, The Vale (Lower)</t>
  </si>
  <si>
    <t>The Vale</t>
  </si>
  <si>
    <t>Bonnefin Pailles or Ebene</t>
  </si>
  <si>
    <t>Ashna Padiachy</t>
  </si>
  <si>
    <t>SMF Quarters, Vacoas</t>
  </si>
  <si>
    <t>Nushreena Mungur</t>
  </si>
  <si>
    <t>Emtel, Rose Hill</t>
  </si>
  <si>
    <t>Khaidoo Tanweerah</t>
  </si>
  <si>
    <t>Soobratty Road, Bon Accueil</t>
  </si>
  <si>
    <t>Bibi Saadiyah Mullungmeeah</t>
  </si>
  <si>
    <t>46 Branch Road, Petit Verger, Moka</t>
  </si>
  <si>
    <t>Naweeda Suhotoo</t>
  </si>
  <si>
    <t>Phoenix, Robinson Lane 1</t>
  </si>
  <si>
    <t>Zaheerah Fokeer</t>
  </si>
  <si>
    <t>Weekdays: Ebene | Weekends: Valle des Pretres</t>
  </si>
  <si>
    <t>Ebene / Valle des Pretres</t>
  </si>
  <si>
    <t>Madina Chady Abdoolah Khan</t>
  </si>
  <si>
    <t>7eme Mille Triolet Mosque Road</t>
  </si>
  <si>
    <t>Mandita Algoo</t>
  </si>
  <si>
    <t>Allee Brilliant Road, Vacoas</t>
  </si>
  <si>
    <t>Taysir Khodadin</t>
  </si>
  <si>
    <t>Nazmi Isseljee</t>
  </si>
  <si>
    <t>Nelson Mandela, Terre Rouge</t>
  </si>
  <si>
    <t>Yachna Gunputh</t>
  </si>
  <si>
    <t>Hyvec Park, Carleton, Ebene</t>
  </si>
  <si>
    <t>Purnima Bowanee</t>
  </si>
  <si>
    <t>19 Diego Garcia Street, Plaine Verte, Port-Louis</t>
  </si>
  <si>
    <t>Plaine Verte</t>
  </si>
  <si>
    <t>Raawiyah Sunkur</t>
  </si>
  <si>
    <t>34 Maharatta Street, Port-Louis</t>
  </si>
  <si>
    <t>Keeran Khednah</t>
  </si>
  <si>
    <t>Baie du Tombeau, Port-Louis</t>
  </si>
  <si>
    <t>Nazmeee Mohamudally</t>
  </si>
  <si>
    <t>Yeshna Daliah</t>
  </si>
  <si>
    <t>5 Alphonse Ravaton, Quartier Militaire</t>
  </si>
  <si>
    <t>Nousaibah Boodhun</t>
  </si>
  <si>
    <t>Avenue Ruby, Morc Le Roc, Pailles</t>
  </si>
  <si>
    <t>Anseline Florise</t>
  </si>
  <si>
    <t>47 Derby Street, Forest Side, Curepipe</t>
  </si>
  <si>
    <t>Helina Moopliah</t>
  </si>
  <si>
    <t>Bonne Veine Road, Quartier Militaire</t>
  </si>
  <si>
    <t>Bibi Sana Maisah Edah-Tally</t>
  </si>
  <si>
    <t>8, Cheri Lienard Street, Beau Bassin</t>
  </si>
  <si>
    <t>Reshni Sukkha</t>
  </si>
  <si>
    <t>IQ EQ, 33 Edith Cavell Street, Port Louis</t>
  </si>
  <si>
    <t>Shalini Curpen</t>
  </si>
  <si>
    <t>A11, Ebene Sugar Estate, Reduit</t>
  </si>
  <si>
    <t>Shabnoor Bhugel</t>
  </si>
  <si>
    <t>King's Rd, Goodlands</t>
  </si>
  <si>
    <t>Asilah Najmiyah</t>
  </si>
  <si>
    <t>Latapie Road, Bon Accueil, Hassen Hussein Lane, Flacq</t>
  </si>
  <si>
    <t>Shabina Timol</t>
  </si>
  <si>
    <t>Apt 48, Residence Le Baron, Volcy Goupille Street, Beau Bassin</t>
  </si>
  <si>
    <t>Nitish Hasowa</t>
  </si>
  <si>
    <t>Royal Road, Boulet Blanc, Central Flacq</t>
  </si>
  <si>
    <t>Deepika Sawaram</t>
  </si>
  <si>
    <t>81a Louvet Avenue, Quatre Bornes</t>
  </si>
  <si>
    <t>Zarah Khodabaccus</t>
  </si>
  <si>
    <t>Avenue Multipliant Coromandel / Tangs Street, Beau Bassin</t>
  </si>
  <si>
    <t>Coromandel / Beau Bassin</t>
  </si>
  <si>
    <t>+230 5784 5181</t>
  </si>
  <si>
    <t>Murwan Karuna</t>
  </si>
  <si>
    <t>Royal Rd Foreal, Opposite Engen Filling Station</t>
  </si>
  <si>
    <t>Kalimaye rd, Melle Jeanne, Goodlands</t>
  </si>
  <si>
    <t>COD: 2740</t>
  </si>
  <si>
    <t>Zabeen</t>
  </si>
  <si>
    <t>Mrs Appadoo</t>
  </si>
  <si>
    <t>Lolo Hyper Market Moncellement St Andres</t>
  </si>
  <si>
    <t>Moncellement St Andres</t>
  </si>
  <si>
    <t>Nothern Boundary, Quatre Bornes</t>
  </si>
  <si>
    <t>Ansooya Mungra-Padavathan</t>
  </si>
  <si>
    <t>Ramdhun Lane, Gros Billot, New Grove</t>
  </si>
  <si>
    <t>COD: Rs 3100</t>
  </si>
  <si>
    <t>Reshma Bhayraw</t>
  </si>
  <si>
    <t>Royal Road, Saint Julien D'Hotman</t>
  </si>
  <si>
    <t>Saint Julien D'Hotman</t>
  </si>
  <si>
    <t>59847853 or 52902775</t>
  </si>
  <si>
    <t>COD: Rs 1625</t>
  </si>
  <si>
    <t>Sohawon Road, THE Vale (Lower), Mauritius</t>
  </si>
  <si>
    <t>Sewnundun Periyan Sujata</t>
  </si>
  <si>
    <t>Tyack Gov School</t>
  </si>
  <si>
    <t>Tauhid Goomany</t>
  </si>
  <si>
    <t>43 Blondeau Street, Rose Hill</t>
  </si>
  <si>
    <t>57872640 or 59792547</t>
  </si>
  <si>
    <t>Maheshwar Nagri Road, 9th Mile, Triolet</t>
  </si>
  <si>
    <t>Ruqayyah Auckburally</t>
  </si>
  <si>
    <t>Neha Bansoodeb</t>
  </si>
  <si>
    <t>Tres Bon No 1, Diolle, Vacoas</t>
  </si>
  <si>
    <t>Jahnavi Seedheeyan</t>
  </si>
  <si>
    <t>Victoria Road, Trou D'eau Douce</t>
  </si>
  <si>
    <t>Trou D'eau Douce</t>
  </si>
  <si>
    <t>Berry Rouge Lane, Baie Du Cap, Savanne</t>
  </si>
  <si>
    <t>Aniisah Issimdar</t>
  </si>
  <si>
    <t>Caldwell Rd, Henrietta, Vacoas</t>
  </si>
  <si>
    <t>Kooshmita Dahoo</t>
  </si>
  <si>
    <t>Nehru Lane, Fond Du Sac</t>
  </si>
  <si>
    <t>Nasseeda Soreefan</t>
  </si>
  <si>
    <t>Jerningham Street, Curepipe</t>
  </si>
  <si>
    <t>Jessni Narayanen Meettook</t>
  </si>
  <si>
    <t>Gunputh Preeyankha</t>
  </si>
  <si>
    <t>Hanuman Road, Riche Mare, Centre de Flacq</t>
  </si>
  <si>
    <t>Nalli Saudhoo</t>
  </si>
  <si>
    <t>Tishtikhasingh Soobarah</t>
  </si>
  <si>
    <t>Post Office Road, Grand River South East</t>
  </si>
  <si>
    <t>Farhanaaz Remodkhan</t>
  </si>
  <si>
    <t>22 Edward Street, Valley Pitot, Port Louis</t>
  </si>
  <si>
    <t>Roshnee Dowlut</t>
  </si>
  <si>
    <t>St Antoine Road, Camp Fouquereaux, Phoenix</t>
  </si>
  <si>
    <t>+230 59071004</t>
  </si>
  <si>
    <t>Moksheeta Jebodh</t>
  </si>
  <si>
    <t>Morcellement Ramphaul, Bois Mangues, Plaines des Papayes</t>
  </si>
  <si>
    <t>Zainab Somauroo</t>
  </si>
  <si>
    <t>Nazia Meharally</t>
  </si>
  <si>
    <t>MinioPoo Karishma</t>
  </si>
  <si>
    <t>Sameerah Bassa</t>
  </si>
  <si>
    <t>Tanweer Edoo</t>
  </si>
  <si>
    <t>Easycool Ltd, 96 Old Pailles Road, Pailles West</t>
  </si>
  <si>
    <t>Tanzila Lalmahomed</t>
  </si>
  <si>
    <t>225 Royal Road, Phoenix</t>
  </si>
  <si>
    <t>Yaziid Togally</t>
  </si>
  <si>
    <t>Ancharaz Sanvi</t>
  </si>
  <si>
    <t>La Salette Road, Grand Bay</t>
  </si>
  <si>
    <t>Mendy Salva</t>
  </si>
  <si>
    <t>New CFAO Centre, Mercedes Showroom, Pailles</t>
  </si>
  <si>
    <t>Valetta Bypass, Dagotiere</t>
  </si>
  <si>
    <t>Neetusha Lullith</t>
  </si>
  <si>
    <t>Mahatma Gandhi Road, Fond Du Sac</t>
  </si>
  <si>
    <t>Nakul Hoolash</t>
  </si>
  <si>
    <t>Kisoon Nivedita</t>
  </si>
  <si>
    <t>Dikshaa Nepaul</t>
  </si>
  <si>
    <t>Morc Gowreesunkur, Petit Raffray</t>
  </si>
  <si>
    <t>Widiasri Chooroomoney</t>
  </si>
  <si>
    <t>Vandermeersch, Beau Bassin</t>
  </si>
  <si>
    <t>Moushira</t>
  </si>
  <si>
    <t>COD: 675</t>
  </si>
  <si>
    <t>COD: Rs 500</t>
  </si>
  <si>
    <t>COD: Rs 300</t>
  </si>
  <si>
    <t>Rumila Ramkhalawan</t>
  </si>
  <si>
    <t>Micheline Rangasamy</t>
  </si>
  <si>
    <t>Mahatma Ghandi Rd, Roche Terre, Grand Gaube</t>
  </si>
  <si>
    <t>Grandbay Super U</t>
  </si>
  <si>
    <t>Block A1, Indian Lane, Cite Martial, Port Louis</t>
  </si>
  <si>
    <t>Meerally Lane, Brise Verdire</t>
  </si>
  <si>
    <t>Brise Verdire</t>
  </si>
  <si>
    <t>Royal Road, Creve Coeur</t>
  </si>
  <si>
    <t>Nash</t>
  </si>
  <si>
    <t>Shreeya</t>
  </si>
  <si>
    <t>Royal Rd Flower Lane Arsenal</t>
  </si>
  <si>
    <t>Cod: Rs 450</t>
  </si>
  <si>
    <t>Melanie Modeste</t>
  </si>
  <si>
    <t>5927-3019</t>
  </si>
  <si>
    <t>5923-5710</t>
  </si>
  <si>
    <t>Bhavesh Ramawta</t>
  </si>
  <si>
    <t>58212710/
57647270</t>
  </si>
  <si>
    <t>Samanta Maurimootoo</t>
  </si>
  <si>
    <t>Royal Rd Nouvelle France</t>
  </si>
  <si>
    <t>Jotee Seetohul</t>
  </si>
  <si>
    <t>Schoenfield Riviere Du Rempart</t>
  </si>
  <si>
    <t>Cod: Rs 750</t>
  </si>
  <si>
    <t>Caroline Rd Vallees Des Pretes</t>
  </si>
  <si>
    <t>Cod: Rs 600</t>
  </si>
  <si>
    <t>Meneesha Mohabeer</t>
  </si>
  <si>
    <t>COD: Rs 1,190</t>
  </si>
  <si>
    <t>Highland Rose</t>
  </si>
  <si>
    <t>Morc Gowreesunkur, Petit Raffray, Port Louis</t>
  </si>
  <si>
    <t>Radwiyah Golamallee</t>
  </si>
  <si>
    <t>Cactus Lane, Boundary Road, Morcellement Ripailles, Pamplemousses</t>
  </si>
  <si>
    <t>Soomaroo Tanuja</t>
  </si>
  <si>
    <t>Vikas Building, Raj Kowlessur Lane, 7th Mile, Triolet</t>
  </si>
  <si>
    <t>Graziella Hippolyte</t>
  </si>
  <si>
    <t>Morcellement Desmarais, Saint Pierre</t>
  </si>
  <si>
    <t>Bhujun Usha Devi</t>
  </si>
  <si>
    <t>Oree Lane, Lattiff Ully Street, Gros Billot, New Grove</t>
  </si>
  <si>
    <t>Anoushee Chowdry-Naiko</t>
  </si>
  <si>
    <t>Kalimaye Road, Poudre D'or Hamlet</t>
  </si>
  <si>
    <t>Poudre D'or Hamlet</t>
  </si>
  <si>
    <t>Ruttun Bushra Umme Zainab</t>
  </si>
  <si>
    <t>Saulick Street, Gros Billot, New Grove</t>
  </si>
  <si>
    <t>Ayesha Rumjaun</t>
  </si>
  <si>
    <t>Royal Road, Morc St Andre</t>
  </si>
  <si>
    <t>Morc St Andre</t>
  </si>
  <si>
    <t>Maansi Aundoo</t>
  </si>
  <si>
    <t>Ernest Florent, Gandhi Avenue, Bel Air</t>
  </si>
  <si>
    <t>Urvashi Rangan</t>
  </si>
  <si>
    <t>Vela Murugan Avenue, La Source, Quatre-Bornes</t>
  </si>
  <si>
    <t>Quatre-Bornes</t>
  </si>
  <si>
    <t>Cheshta Ghoorbin</t>
  </si>
  <si>
    <t>Fond du Sac, First Road, Pamplemousses</t>
  </si>
  <si>
    <t>Ministry of Housing, Ebene Tower, Ebene</t>
  </si>
  <si>
    <t>Zainab Doomun</t>
  </si>
  <si>
    <t>RÃ©sidences Zil, Avenue des Hameaux, Mont Mascal, Villa 3, Petit Raffray</t>
  </si>
  <si>
    <t>Veena Khoobeea</t>
  </si>
  <si>
    <t>Varsha Sadaful</t>
  </si>
  <si>
    <t>Avenue Flamboyant, Morcellement Belle Terre, Highlands</t>
  </si>
  <si>
    <t>Sadick Meeakhan</t>
  </si>
  <si>
    <t>Avenue Crecerelle 1, Morcellement Raffray Guibies, Pailles</t>
  </si>
  <si>
    <t>58219919 / 57400812</t>
  </si>
  <si>
    <t>Bhavesh Seechurn</t>
  </si>
  <si>
    <t>Royal Road, Pamplemousses (Near Dynasty Shop)</t>
  </si>
  <si>
    <t>Ganachaud Road, Castel Eau Coulee</t>
  </si>
  <si>
    <t>Eau Coulee</t>
  </si>
  <si>
    <t>Toraub Abiir Haana</t>
  </si>
  <si>
    <t>Morc des Gersigny, Central Flacq</t>
  </si>
  <si>
    <t>Anastasia Soobiah</t>
  </si>
  <si>
    <t>B87 RÃ©sidence St-Jean, Quatre-Bornes</t>
  </si>
  <si>
    <t>Isna Gunness</t>
  </si>
  <si>
    <t>Royal Road, Medine, Camp de Masque</t>
  </si>
  <si>
    <t>Natasha Seegobin</t>
  </si>
  <si>
    <t>18 Avenue Malartic, Quatre-Bornes</t>
  </si>
  <si>
    <t>Khushboo Ujoodha</t>
  </si>
  <si>
    <t>Vinobha Rd, Lallmatie</t>
  </si>
  <si>
    <t>Bhavya Riddhi Ramkhelawon</t>
  </si>
  <si>
    <t>Branch Road, New Grove c/o Les Bisounours, Grand Port</t>
  </si>
  <si>
    <t>Narmeen Dulloo</t>
  </si>
  <si>
    <t>Hassen Raffa Avenue, Phoenix</t>
  </si>
  <si>
    <t>Haadiyah Yusrah Moolkeea</t>
  </si>
  <si>
    <t>Dahlia D21, Camp Levieux, Rose-Hill</t>
  </si>
  <si>
    <t>Mouhsinah Khoodoruth</t>
  </si>
  <si>
    <t>18a AbbÃ© Laval Street, Eau-CoulÃ©e, Curepipe</t>
  </si>
  <si>
    <t>Yecha Rhungapen-Veeramootoo</t>
  </si>
  <si>
    <t>Morcellement de Rosnay, Les Casernes, Curepipe</t>
  </si>
  <si>
    <t>Maeva Jean Baptiste</t>
  </si>
  <si>
    <t>Pavillon Cite CHA, Cap-Malheureux</t>
  </si>
  <si>
    <t>Mohammad Umar Ibne Nageeb Cader</t>
  </si>
  <si>
    <t>Royal Road, Rose-Belle / Lespoir road Calebasses (if tomorrow)</t>
  </si>
  <si>
    <t>Rose-Belle / Calebasses</t>
  </si>
  <si>
    <t>10 Route Bassin, Quatre-Bornes</t>
  </si>
  <si>
    <t>Mushirah Mohobuth Delawar</t>
  </si>
  <si>
    <t>Agathe Annise</t>
  </si>
  <si>
    <t>Gaby Lane, Palma Road, Quatre-Bornes</t>
  </si>
  <si>
    <t>Anusha Cooshna</t>
  </si>
  <si>
    <t>Royal Road, Tamarin</t>
  </si>
  <si>
    <t>Tamarin</t>
  </si>
  <si>
    <t>51 Avenue de la Faye, Belle Rose, Quatre-Bornes</t>
  </si>
  <si>
    <t>Divya Sookunah</t>
  </si>
  <si>
    <t>96 RÃ©sidence Sunsetville, La Caverne, Vacoas</t>
  </si>
  <si>
    <t>Yashee Dookhooah</t>
  </si>
  <si>
    <t>Tulsidas Lane, Camp Ithier, Flacq</t>
  </si>
  <si>
    <t>Shweta Babollall Shibchurn</t>
  </si>
  <si>
    <t>Narad Road, Petit Raffray</t>
  </si>
  <si>
    <t>Church lane, Plaine Magnien</t>
  </si>
  <si>
    <t xml:space="preserve">Tilesh Bahadoor RAGHU </t>
  </si>
  <si>
    <t>Royal Road, Fond du Sac</t>
  </si>
  <si>
    <t>Esha</t>
  </si>
  <si>
    <t>COD: Rs 4450</t>
  </si>
  <si>
    <t>Orient Lane, Le Hochet, Terre Rouge</t>
  </si>
  <si>
    <t>Cancelled - parcel already collected</t>
  </si>
  <si>
    <t>COD: 3650</t>
  </si>
  <si>
    <t>Nabeehah Jumon</t>
  </si>
  <si>
    <t>Macky lane, Bel-Air Riviere Seche, Flacq</t>
  </si>
  <si>
    <t>Shahana Ponnan</t>
  </si>
  <si>
    <t>SBM Tower, Place D'Armes, Port Louis</t>
  </si>
  <si>
    <t>Petit paquet, Montagne Blanche</t>
  </si>
  <si>
    <t>Lovnima Gungah</t>
  </si>
  <si>
    <t>5, Deux Bras Road, New Grove</t>
  </si>
  <si>
    <t>Fawziyya Sahebally Goomany</t>
  </si>
  <si>
    <t>41, Paul Taureau Street, Port Louis</t>
  </si>
  <si>
    <t>Khung Voon LSC LI KIM MUI (Jean Pierre)</t>
  </si>
  <si>
    <t>33, Saran Villa Street, Belle Etoile, Coromandel</t>
  </si>
  <si>
    <t>Manisha Sampath Burundayl</t>
  </si>
  <si>
    <t>Avenue Lemonier, Morcellement Belle Vue Phare, Albion</t>
  </si>
  <si>
    <t>Daneejah Saddul-Deenoo</t>
  </si>
  <si>
    <t>44, Nicholson Road, Vacoas</t>
  </si>
  <si>
    <t>Wendy Sellamuthu</t>
  </si>
  <si>
    <t>La Tour Koenig</t>
  </si>
  <si>
    <t>Summayya Saumtally</t>
  </si>
  <si>
    <t>Residence Paris Belle Epoque, Bernardin de St Pierre Street, Curepipe</t>
  </si>
  <si>
    <t>Faheka Joomabocus</t>
  </si>
  <si>
    <t>Riverside, Phoenix</t>
  </si>
  <si>
    <t>Bibi Zaheerah Banu Toorabally</t>
  </si>
  <si>
    <t>Royal Road, Petite Riviere</t>
  </si>
  <si>
    <t>Petite Riviere</t>
  </si>
  <si>
    <t>1, Phoenix Robinson Lane</t>
  </si>
  <si>
    <t>Noorreza Saalih Ahmad</t>
  </si>
  <si>
    <t>R27 Inkerman, Vallee Pitot</t>
  </si>
  <si>
    <t>Le Valentina Mall, Shop, Phoenix</t>
  </si>
  <si>
    <t>Preeta Ramessur</t>
  </si>
  <si>
    <t>Rampe le moirt, Mare D'Albert</t>
  </si>
  <si>
    <t>Subash Chandra Bose Street, La Clemence, Riviere Du Rempart</t>
  </si>
  <si>
    <t>C5, Cite St Luc, Avenue des Sapins, Forest Side</t>
  </si>
  <si>
    <t>Vyaporee</t>
  </si>
  <si>
    <t>COD: Rs 815</t>
  </si>
  <si>
    <t>Yusraa Meeajun</t>
  </si>
  <si>
    <t>block s6 - flat, Cite Martial  Port - Louis</t>
  </si>
  <si>
    <t>Returned to Seller - client not replying</t>
  </si>
  <si>
    <t>Vis a vis sbm,Royal Road, Port Louis</t>
  </si>
  <si>
    <t>Saadiyah Boolaky</t>
  </si>
  <si>
    <t>Morcellement Traffic Centre, Saint Pierre</t>
  </si>
  <si>
    <t>Yassirah Dauhoo</t>
  </si>
  <si>
    <t>Independence Lane, Pamplemousses</t>
  </si>
  <si>
    <t>Fateema Haadiyah Heerah</t>
  </si>
  <si>
    <t>Royal Road, Montagne Blanche, Port Louis</t>
  </si>
  <si>
    <t>22, Palma Road, Quatre-Bornes</t>
  </si>
  <si>
    <t>Bibi Taslima Taroo</t>
  </si>
  <si>
    <t>15 Avenue St Louis, Belle Rose, Quatre Bornes</t>
  </si>
  <si>
    <t>Aliyah Mowlah</t>
  </si>
  <si>
    <t>8 Colonel Draper Street, Beau Bassin</t>
  </si>
  <si>
    <t>Disha Mungla-Allock</t>
  </si>
  <si>
    <t>Shivala Rd, Le Hochet, Terre Rouge, Pamplemousses</t>
  </si>
  <si>
    <t>Devina Loganaden</t>
  </si>
  <si>
    <t>Plot No 43, Morcellement MDA, L'Avenir, St Pierre</t>
  </si>
  <si>
    <t>Ayesha Luximon</t>
  </si>
  <si>
    <t>Bhunjun Road, Surinam</t>
  </si>
  <si>
    <t>Shahana Rojoa</t>
  </si>
  <si>
    <t>Morc Cooperative, Clairfonds 2, Vacoas</t>
  </si>
  <si>
    <t>Avima Hurloll</t>
  </si>
  <si>
    <t>New Road, Roches Noires</t>
  </si>
  <si>
    <t>LaÃ¯llah Peeroo</t>
  </si>
  <si>
    <t>Dudhee Lane, Hollyrood No1, Vacoas</t>
  </si>
  <si>
    <t>Prishitha Sue Venkanah</t>
  </si>
  <si>
    <t>Cyber Tower 1, Orange Business, Ebene</t>
  </si>
  <si>
    <t>Tasnim Chady</t>
  </si>
  <si>
    <t>11, Avenue Ollier, Rose-Hill</t>
  </si>
  <si>
    <t>Andrew Wan Kut Kai</t>
  </si>
  <si>
    <t>9-15 Sir William Newton Street, 8th Floor, MCB Head Office, Port Louis</t>
  </si>
  <si>
    <t>Reeshika Ramsurun</t>
  </si>
  <si>
    <t>Biswa Lane, Plaine Magnien</t>
  </si>
  <si>
    <t>Vikash Nunkoo</t>
  </si>
  <si>
    <t>Independence Street, Pamplemousses</t>
  </si>
  <si>
    <t>Deoranee Bucktowar</t>
  </si>
  <si>
    <t>Belvedere Road, Congomah</t>
  </si>
  <si>
    <t>Congomah</t>
  </si>
  <si>
    <t>Auleear Bibi Aisha</t>
  </si>
  <si>
    <t>Jaguessur Lane, Plaine des Roches</t>
  </si>
  <si>
    <t>Shahana Shibchurn</t>
  </si>
  <si>
    <t>St Croix</t>
  </si>
  <si>
    <t>Disha Mungla</t>
  </si>
  <si>
    <t>Avenue Tulips, Quatre Bornes</t>
  </si>
  <si>
    <t>Nadia</t>
  </si>
  <si>
    <t>53 Karikal, Plaine Verte</t>
  </si>
  <si>
    <t>Sanjouna Beeharry</t>
  </si>
  <si>
    <t>Royal Road, Chamarel</t>
  </si>
  <si>
    <t>Chamarel</t>
  </si>
  <si>
    <t>Izdihaar</t>
  </si>
  <si>
    <t>Bon Air Branch, Triolet</t>
  </si>
  <si>
    <t>Gowmatee Reedoye</t>
  </si>
  <si>
    <t>Avenue Albatross, Montida</t>
  </si>
  <si>
    <t>Montida</t>
  </si>
  <si>
    <t>Raina Lutchman</t>
  </si>
  <si>
    <t>Jeetoo Hospital</t>
  </si>
  <si>
    <t>10, Frere Felix de Valois Street, Champ de Mars, ESSAR Building, Port Louis</t>
  </si>
  <si>
    <t>Morc La Vallee, Le Cornu, St Croix, Port Louis</t>
  </si>
  <si>
    <t>COD: 550</t>
  </si>
  <si>
    <t>COD: 900</t>
  </si>
  <si>
    <t>Amirah khoodoruth</t>
  </si>
  <si>
    <t>Morcellement Highland Rose, Highlands</t>
  </si>
  <si>
    <t>COD: 500</t>
  </si>
  <si>
    <t>Owadally Lane, Highlands, Phoenix</t>
  </si>
  <si>
    <t>Aniisha Mahomed Khan</t>
  </si>
  <si>
    <t>Anousha</t>
  </si>
  <si>
    <t>COD: 2750</t>
  </si>
  <si>
    <t xml:space="preserve">Bon Accueil State College, Royal Road, Bon Accueil </t>
  </si>
  <si>
    <t xml:space="preserve">Mme Mohit </t>
  </si>
  <si>
    <t>SSS Lane, Triolet</t>
  </si>
  <si>
    <t>Not billed</t>
  </si>
  <si>
    <t>Vibezone boutik</t>
  </si>
  <si>
    <t>Domah Taazleelah</t>
  </si>
  <si>
    <t>Arzeenah Nauthoo</t>
  </si>
  <si>
    <t>Seedhi Bhantoo</t>
  </si>
  <si>
    <t>Prisca Venkiah</t>
  </si>
  <si>
    <t>Royal Road Mahebourg</t>
  </si>
  <si>
    <t>Mahebourg, Mauritius</t>
  </si>
  <si>
    <t>Evaco Group Riviere Citron</t>
  </si>
  <si>
    <t>Beau Plan, Mauritius</t>
  </si>
  <si>
    <t>Siraz Hermance Marie Vanessa</t>
  </si>
  <si>
    <t>St Joseph</t>
  </si>
  <si>
    <t>Nazia Shaheen Sumodhee</t>
  </si>
  <si>
    <t>4, Rue Canal</t>
  </si>
  <si>
    <t>Port Louis, Mauritius</t>
  </si>
  <si>
    <t>Reshma Sultunti</t>
  </si>
  <si>
    <t>E 65 Rue de la Canelle</t>
  </si>
  <si>
    <t>Rosalba Ketsia</t>
  </si>
  <si>
    <t>48 Residence Hibiscus</t>
  </si>
  <si>
    <t>Flacq, Mauritius</t>
  </si>
  <si>
    <t>Camp Beton Road</t>
  </si>
  <si>
    <t>Zainab Ramjaun</t>
  </si>
  <si>
    <t>Midlands, Mauritius</t>
  </si>
  <si>
    <t>Naairah Cadersaib</t>
  </si>
  <si>
    <t>76, Arsenal Street</t>
  </si>
  <si>
    <t>Delivery @ office address (17/19, Cemetery Road, Roche Bois, Port Louis)</t>
  </si>
  <si>
    <t>Lachman Lakshana</t>
  </si>
  <si>
    <t>Kader Road Belveder</t>
  </si>
  <si>
    <t>Lallmatie, Mauritius</t>
  </si>
  <si>
    <t>Emambocus Sharmeen</t>
  </si>
  <si>
    <t>Kashmir Road</t>
  </si>
  <si>
    <t>Zafirah Syed</t>
  </si>
  <si>
    <t>Luxshmee Devi Ubheeram</t>
  </si>
  <si>
    <t>Ushka Seeroo</t>
  </si>
  <si>
    <t>Errigadoo Lane</t>
  </si>
  <si>
    <t>Midlands, Plaines Wilhems, Mauritius</t>
  </si>
  <si>
    <t>Khushi Dahoo</t>
  </si>
  <si>
    <t>Ebene, Mauritius</t>
  </si>
  <si>
    <t>Fawziyah Kurreemun</t>
  </si>
  <si>
    <t>School Road</t>
  </si>
  <si>
    <t>Muditaa Boyjoo</t>
  </si>
  <si>
    <t>Grand Bel Air, Mauritius</t>
  </si>
  <si>
    <t>Kishelle Dookhee</t>
  </si>
  <si>
    <t>53, Morcellement Lorette</t>
  </si>
  <si>
    <t>Beau-Vallon, Mahebourg, Mauritius</t>
  </si>
  <si>
    <t>Shahana Madarbaccus</t>
  </si>
  <si>
    <t>Bel Air Kashmir Rd</t>
  </si>
  <si>
    <t>Bel Air, Mauritius</t>
  </si>
  <si>
    <t>Ruheeta Aujgobee</t>
  </si>
  <si>
    <t>Eclosia Group</t>
  </si>
  <si>
    <t>Eclosia Head Office, Gentilly Moka</t>
  </si>
  <si>
    <t>Selvana Rose Vythalingum</t>
  </si>
  <si>
    <t>26 St Clement Street</t>
  </si>
  <si>
    <t>Curepipe, Mauritius</t>
  </si>
  <si>
    <t>Simita Seegoolam</t>
  </si>
  <si>
    <t>Near mosque</t>
  </si>
  <si>
    <t>Richa Gokhoola</t>
  </si>
  <si>
    <t>Ramnath Mandir Lane, Schoenfeld Road</t>
  </si>
  <si>
    <t>Mrs Bhavna Mohesh Kunnee</t>
  </si>
  <si>
    <t>Goordin Lane</t>
  </si>
  <si>
    <t>Mrs Sunita Chandanee Unuth</t>
  </si>
  <si>
    <t>Vibezone Boutik</t>
  </si>
  <si>
    <t>Before 14h at Rose Belle Hospital, After 16h at Grand Bois</t>
  </si>
  <si>
    <t>Royal Rd 8Eme Mille - Mcb Square</t>
  </si>
  <si>
    <t>Devina Ramnundun</t>
  </si>
  <si>
    <t>Caroline</t>
  </si>
  <si>
    <t>Melani</t>
  </si>
  <si>
    <t>Anesy</t>
  </si>
  <si>
    <t>Nadine</t>
  </si>
  <si>
    <t>Narvish</t>
  </si>
  <si>
    <t>Bonne Terre, Vacoas / At Sicom Tower, Ebene (After 16:30)</t>
  </si>
  <si>
    <t xml:space="preserve">Vacoas </t>
  </si>
  <si>
    <t>Le Grand Branch Road, Grand Bois</t>
  </si>
  <si>
    <t>Mont Roches</t>
  </si>
  <si>
    <t>Winner, St Paul</t>
  </si>
  <si>
    <t>Saint Paul</t>
  </si>
  <si>
    <t>Pave Road</t>
  </si>
  <si>
    <t>Anissah</t>
  </si>
  <si>
    <t>Koresha Oojageer</t>
  </si>
  <si>
    <t>8 Champ de lort Street, Port Louis</t>
  </si>
  <si>
    <t>SAROJINI BEDACEE</t>
  </si>
  <si>
    <t>Avenue Gerbera, Riche Mare, Central Flacq</t>
  </si>
  <si>
    <t>Greedhary Road, Barlow, Belle Vue Maurelle</t>
  </si>
  <si>
    <t>Belle Vue Maurelle</t>
  </si>
  <si>
    <t>Purmah Divya Singh</t>
  </si>
  <si>
    <t>Candos Hospital</t>
  </si>
  <si>
    <t>Neelavadee Chocalingum</t>
  </si>
  <si>
    <t>Candos Hospital, Vacoas</t>
  </si>
  <si>
    <t>Humaira Akbar</t>
  </si>
  <si>
    <t>Vishay Luchman</t>
  </si>
  <si>
    <t>Shivaranjali Virasami</t>
  </si>
  <si>
    <t>Footballground Road</t>
  </si>
  <si>
    <t>L'Esperance</t>
  </si>
  <si>
    <t>Nushruth Gokhool</t>
  </si>
  <si>
    <t>Jerika Koowaree</t>
  </si>
  <si>
    <t>3 Louis Larche Street</t>
  </si>
  <si>
    <t>Teesha Seechurn</t>
  </si>
  <si>
    <t>Airport</t>
  </si>
  <si>
    <t>Yashna Sahadew</t>
  </si>
  <si>
    <t>Jyoteesha Domun Auckel</t>
  </si>
  <si>
    <t>Lot 44, Morc Louis Regnaud, Deep River</t>
  </si>
  <si>
    <t>Olivia</t>
  </si>
  <si>
    <t>52542526 / 57733135</t>
  </si>
  <si>
    <t>Maeva Jaune</t>
  </si>
  <si>
    <t>Etowar Lane, Ecroignard</t>
  </si>
  <si>
    <t>51, Avenue de la Faye, Belle Rose</t>
  </si>
  <si>
    <t>257, Avenue des Herons, Morcellement Bismic, Flic en Flac</t>
  </si>
  <si>
    <t>10, Rashid Khan Street, Coromandel</t>
  </si>
  <si>
    <t>Sooben Lane, L'Escalier</t>
  </si>
  <si>
    <t>Royal Road, L'Escalier</t>
  </si>
  <si>
    <t>Solferino No5, Vacoas</t>
  </si>
  <si>
    <t>Riviere du Rempart, Mauritius</t>
  </si>
  <si>
    <t>L'Esperance Piton, Piton, Mauritius</t>
  </si>
  <si>
    <t>Rs 950</t>
  </si>
  <si>
    <t>Rs 699</t>
  </si>
  <si>
    <t>Rs 499</t>
  </si>
  <si>
    <t>rs 950</t>
  </si>
  <si>
    <t>RS 1500</t>
  </si>
  <si>
    <t>Pleine Des Roches</t>
  </si>
  <si>
    <t>Riviere Du Rampart</t>
  </si>
  <si>
    <t>Pamplemouses</t>
  </si>
  <si>
    <t>Troues Aux Biches</t>
  </si>
  <si>
    <t>Seeam</t>
  </si>
  <si>
    <t>Christophe</t>
  </si>
  <si>
    <t>Shameem</t>
  </si>
  <si>
    <t>Natasha</t>
  </si>
  <si>
    <t>Ramdass</t>
  </si>
  <si>
    <t>Anisha</t>
  </si>
  <si>
    <t>Preeya Dassaye</t>
  </si>
  <si>
    <t>COD:22OO</t>
  </si>
  <si>
    <t>COD: 1450</t>
  </si>
  <si>
    <t>Vallees Des Pretes</t>
  </si>
  <si>
    <t>Luna</t>
  </si>
  <si>
    <t>Raj</t>
  </si>
  <si>
    <t>Amina</t>
  </si>
  <si>
    <t>Azhar</t>
  </si>
  <si>
    <t>Mme Rajabalee</t>
  </si>
  <si>
    <t>4, Paliaca, Port Louis</t>
  </si>
  <si>
    <t>Rs 750</t>
  </si>
  <si>
    <t>Rs 550</t>
  </si>
  <si>
    <t>Client paid to me directly - they returned parcel to sender</t>
  </si>
  <si>
    <t>Shadeeda Beebeejaun</t>
  </si>
  <si>
    <t>Preshnee Ramchurn</t>
  </si>
  <si>
    <t>Shaynaz Ghannoo</t>
  </si>
  <si>
    <t>Veyshnavi Jaymungul</t>
  </si>
  <si>
    <t>Royal Road, L'Esperance, Quartier Militaire</t>
  </si>
  <si>
    <t>Shabnam Mohamed Hossen Hoolash</t>
  </si>
  <si>
    <t>Grande Retraite, Bon Accueil</t>
  </si>
  <si>
    <t>Britany</t>
  </si>
  <si>
    <t>Booteeahnako Veedhya</t>
  </si>
  <si>
    <t>Bel Air, Riviere Seche</t>
  </si>
  <si>
    <t>Nabeena Huzooree</t>
  </si>
  <si>
    <t>Anishta Doorga</t>
  </si>
  <si>
    <t>Tranquebar</t>
  </si>
  <si>
    <t>Leesha Seehaye</t>
  </si>
  <si>
    <t>Ernest Florent</t>
  </si>
  <si>
    <t>Yarchana Lokee</t>
  </si>
  <si>
    <t>Priyasha Oomajee</t>
  </si>
  <si>
    <t>Alfa Kadarkhan</t>
  </si>
  <si>
    <t>Reema Duval</t>
  </si>
  <si>
    <t>Humairaa Khadaroo</t>
  </si>
  <si>
    <t>Avneet Kaur Mothoree</t>
  </si>
  <si>
    <t>Ramduth Hemanshi</t>
  </si>
  <si>
    <t>Richa Furcy</t>
  </si>
  <si>
    <t>Trois Boutiques, Union Vale</t>
  </si>
  <si>
    <t>Manisha Betchoo</t>
  </si>
  <si>
    <t>Gayetree Arunachalam</t>
  </si>
  <si>
    <t>MANISHTA</t>
  </si>
  <si>
    <t>Savita</t>
  </si>
  <si>
    <t>Tribecca mall</t>
  </si>
  <si>
    <t>Premila Badaye</t>
  </si>
  <si>
    <t>RAJINI</t>
  </si>
  <si>
    <t>Vallee Des Pretres</t>
  </si>
  <si>
    <t>KRITESH</t>
  </si>
  <si>
    <t>Mitali Mourugan</t>
  </si>
  <si>
    <t>Assha</t>
  </si>
  <si>
    <t>Bilkiss Deemahomed</t>
  </si>
  <si>
    <t>Vhidoushi Tengurchittoo</t>
  </si>
  <si>
    <t>Nexsky building</t>
  </si>
  <si>
    <t>Royal Road, Riviere Du Rampart</t>
  </si>
  <si>
    <t>Sungaraligum Lane, 7eme Mille, Triolet</t>
  </si>
  <si>
    <t>Gunny Lane Avenue, Belle Rose, Quatre Bornes</t>
  </si>
  <si>
    <t>Mamoo Lane, Plaine Magnien</t>
  </si>
  <si>
    <t>Royal Road, Grande Retraite, Bon Accueil</t>
  </si>
  <si>
    <t>Rue Bourbon, behind bazar Adamson, Port Louis</t>
  </si>
  <si>
    <t>King's Road, Goodlands</t>
  </si>
  <si>
    <t>Avenue des Colombes, Mont Ida</t>
  </si>
  <si>
    <t>3, P11/Phase, Goodlands</t>
  </si>
  <si>
    <t>3 Prince Alfred Street, Tranquebar</t>
  </si>
  <si>
    <t>Gandhi Avenue, Ernest Florent</t>
  </si>
  <si>
    <t>Rue Des Professeurs, Ebene</t>
  </si>
  <si>
    <t>227 boundary road muslun lane no2, Rose Hill</t>
  </si>
  <si>
    <t>Ram Street, Midlands</t>
  </si>
  <si>
    <t>Shivalah Rd, Plaine Magnien</t>
  </si>
  <si>
    <t>Cite Malherbes, Curepipe</t>
  </si>
  <si>
    <t>Market road, Central Flacq</t>
  </si>
  <si>
    <t>Ripailles, L'Escalier Branch Rd</t>
  </si>
  <si>
    <t>Riviere Des Anguilles</t>
  </si>
  <si>
    <t>70 Morc VRS, La Barrack Road, Riviere Des Anguilles</t>
  </si>
  <si>
    <t>Le Bouchon Road, Trois Boutiques, Union Vale</t>
  </si>
  <si>
    <t>Poste De Flacq</t>
  </si>
  <si>
    <t>Camp Accasia Rd, Poste De Flacq</t>
  </si>
  <si>
    <t>Tamil temple road, Goodlands</t>
  </si>
  <si>
    <t>Rama Road, Chamouny</t>
  </si>
  <si>
    <t>Saint Piere</t>
  </si>
  <si>
    <t>Pope Hennessy St, Beau Bassin - Wastewater Management Authority</t>
  </si>
  <si>
    <t>Tribecca mall - Xti shop</t>
  </si>
  <si>
    <t>Hospital Road, Arsenal (Delivery before 10th Aug, 8:00 am and 15:00)</t>
  </si>
  <si>
    <t>Royal Road, Moka (Your Dream Motors)</t>
  </si>
  <si>
    <t>Chemin Camp La Serpe, Bel Air, Riviere Seche (Derriere Winners)</t>
  </si>
  <si>
    <t>Amira Mungroo (Deliver to Shaad Jeetoo)</t>
  </si>
  <si>
    <t>Forbach Road, Fond Du Sac (Urgent)</t>
  </si>
  <si>
    <t>Alma / L'Esperence Quartier Militaire</t>
  </si>
  <si>
    <t>Nirma Ubhee</t>
  </si>
  <si>
    <t>Royal Road, Bramsthan, Morcellment Mon Reve</t>
  </si>
  <si>
    <t>Mahomudally Bibi Ouzmah</t>
  </si>
  <si>
    <t>110, Morc VRS2, Ville Noire</t>
  </si>
  <si>
    <t>Latapie Road, Dodo Lane, Bon Accueil</t>
  </si>
  <si>
    <t>Vaibhavi Bhudoye Roopam</t>
  </si>
  <si>
    <t>Route Bassin, Jackson Lane, Quatre Bornes</t>
  </si>
  <si>
    <t>Raysha Damree / Rayhaan Ollite</t>
  </si>
  <si>
    <t>Nexsky Ebene, 7eme Etage, Regus</t>
  </si>
  <si>
    <t>59287570 / 57539804</t>
  </si>
  <si>
    <t>Karishma Lall</t>
  </si>
  <si>
    <t>Tagore Lane, Roches Noires</t>
  </si>
  <si>
    <t>34 Maharatta Street, Port Louis, Mauritius</t>
  </si>
  <si>
    <t>Narmeen Jahaleea</t>
  </si>
  <si>
    <t>Royal Road, Bel Air Riviere Seche, Mauritius</t>
  </si>
  <si>
    <t>Morcellement Traffic Centre</t>
  </si>
  <si>
    <t>Emma Taikie</t>
  </si>
  <si>
    <t>Gaz Carbonique, 4 Willoughby Road, Phoenix</t>
  </si>
  <si>
    <t>4 Willoughby Road</t>
  </si>
  <si>
    <t>Tanusha Devi Ramdhany</t>
  </si>
  <si>
    <t>Rivalland Road</t>
  </si>
  <si>
    <t>Shanyah Nunkoo</t>
  </si>
  <si>
    <t>Udhin Tashveena</t>
  </si>
  <si>
    <t>Avenue Mahant Kabir</t>
  </si>
  <si>
    <t>113, Avenue Ollier, Rose Hill</t>
  </si>
  <si>
    <t>Avenue Ollier</t>
  </si>
  <si>
    <t>Avantika Gheerdharry</t>
  </si>
  <si>
    <t>Gros Cailloux</t>
  </si>
  <si>
    <t>Wardah Mahomedally</t>
  </si>
  <si>
    <t>37 Abbe Des Rouledes, Plaine-Verte, Port-Louis, Mauritius</t>
  </si>
  <si>
    <t>Azhar Eathally</t>
  </si>
  <si>
    <t>Avenue Des Corbijeaux, Mont Ida, Mauritius</t>
  </si>
  <si>
    <t>Fatemah Peerbux</t>
  </si>
  <si>
    <t>Roche Brunes</t>
  </si>
  <si>
    <t>Thomas Anne Marie Elsa</t>
  </si>
  <si>
    <t>Sophie Herbu</t>
  </si>
  <si>
    <t>Morcellement Jeeraz, Maison Blanche, Pamplemousses, Mauritius</t>
  </si>
  <si>
    <t>Kendy Ng</t>
  </si>
  <si>
    <t>Closel Road, Emirates Swimming, Phoenix, Mauritius</t>
  </si>
  <si>
    <t>Shahine Peermamode</t>
  </si>
  <si>
    <t>27, Morcellement Bellouguet, Brown Sequard Street, Curepipe, Mauritius</t>
  </si>
  <si>
    <t>Maneisha Appadoo</t>
  </si>
  <si>
    <t>Mosque Road, Rose-Belle, Mauritius</t>
  </si>
  <si>
    <t>Sandeshna Kowlessur</t>
  </si>
  <si>
    <t>Royal Road, Camp De Masque Pave, 40401, Flacq, Mauritius</t>
  </si>
  <si>
    <t>Cemetery Road</t>
  </si>
  <si>
    <t>Moncellement Currumthalee Glen Park, Vacoas, Mauritius</t>
  </si>
  <si>
    <t>Saabirah Toorabally</t>
  </si>
  <si>
    <t>Morcellement Jhuboo</t>
  </si>
  <si>
    <t>Mont choisy</t>
  </si>
  <si>
    <t>Hrishti Jerkoo</t>
  </si>
  <si>
    <t>Terre rouge</t>
  </si>
  <si>
    <t>Rekha Obhymaun</t>
  </si>
  <si>
    <t>Bois Pignolet</t>
  </si>
  <si>
    <t>Seemita Mauracheea</t>
  </si>
  <si>
    <t>Alison Brasse</t>
  </si>
  <si>
    <t>Rivalland Road, Creve Coeur</t>
  </si>
  <si>
    <t>Allee Mangues, Gros Cailloux</t>
  </si>
  <si>
    <t>Allee Mangues</t>
  </si>
  <si>
    <t>Shivala Road, Montaigne Blanche</t>
  </si>
  <si>
    <t>Montaigne Blanche</t>
  </si>
  <si>
    <t>Shivala Road, Triolet</t>
  </si>
  <si>
    <t>Coastal Road, Point Aux Canonier, Grand Baie</t>
  </si>
  <si>
    <t>Point Aux Canonier</t>
  </si>
  <si>
    <t>Jeetoo Meenakshee</t>
  </si>
  <si>
    <t>Virginie</t>
  </si>
  <si>
    <t>Reshmee Hurry</t>
  </si>
  <si>
    <t>Royal Road, Riviere Des Anguilles</t>
  </si>
  <si>
    <t>Bois D'Oiseau Road, Plaine Magnien</t>
  </si>
  <si>
    <t>5C, Avenue Mahant Kabir, Phoenix</t>
  </si>
  <si>
    <t>Smf Quarters, Vacoas, Mauritius</t>
  </si>
  <si>
    <t>31, Domaine Du Levant, Roches Noires, Mauritius</t>
  </si>
  <si>
    <t>Dorade Lane, Saint Martin, Baie Du Cap, Mauritius</t>
  </si>
  <si>
    <t>Lot 39 Morcellement Jardin De Bougainvilliers, Pointe Aux Sables, Mauritius</t>
  </si>
  <si>
    <t>Morcellement Jhuboo, Mont Choisy</t>
  </si>
  <si>
    <t>Royal Road Bois Pignolet, Terre Rouge</t>
  </si>
  <si>
    <t>Railway Iii Street, Bois Pignolet, Terre Rouge</t>
  </si>
  <si>
    <t>Bois D'Oiseau Road</t>
  </si>
  <si>
    <t>Royal Road Bois Pignolet</t>
  </si>
  <si>
    <t>Varusha Veeramootoo (Andrew Canarapen)</t>
  </si>
  <si>
    <t>Henry Koenig Street, Curepipe</t>
  </si>
  <si>
    <t xml:space="preserve">Danielle </t>
  </si>
  <si>
    <t>Gobinden Lane, Allée Brillant, Floréal</t>
  </si>
  <si>
    <t>Allée Brillant</t>
  </si>
  <si>
    <t>FCC</t>
  </si>
  <si>
    <t>Clara Yuzna</t>
  </si>
  <si>
    <t>Veena Ramsahye</t>
  </si>
  <si>
    <t>Royal Road, Pointe aux Piments (After social welfare centre)</t>
  </si>
  <si>
    <t>Khushi Mudhoo</t>
  </si>
  <si>
    <t>Melle Jeanne Road, Melville, Goodlands</t>
  </si>
  <si>
    <t>Bhawna Narain</t>
  </si>
  <si>
    <t>Ebene - Sicom Tower</t>
  </si>
  <si>
    <t>Murdhen Indranee</t>
  </si>
  <si>
    <t>Avenue Soobiah, Reduit, Near Tamil League</t>
  </si>
  <si>
    <t>Keshika Khadun</t>
  </si>
  <si>
    <t>Morcellement VRS 143 Grand Bois</t>
  </si>
  <si>
    <t>Yashiirah Nuzooa</t>
  </si>
  <si>
    <t>Petite Paquet, Montagne Blanche</t>
  </si>
  <si>
    <t>59238728 / 57524648</t>
  </si>
  <si>
    <t>Yogini Armon</t>
  </si>
  <si>
    <t>Bord Cascades, Henrietta, Vacoas</t>
  </si>
  <si>
    <t>Neeshti Reetoo</t>
  </si>
  <si>
    <t>178, Bhageerutty Street, Curepipe</t>
  </si>
  <si>
    <t>Parvinita Sharma Joottun</t>
  </si>
  <si>
    <t>Bheemuch Chitrakshi Devi</t>
  </si>
  <si>
    <t>Royal Road, Riche Terre</t>
  </si>
  <si>
    <t>Royal Road, Notre Dame</t>
  </si>
  <si>
    <t>Caderbavah, L’ane L’escalier</t>
  </si>
  <si>
    <t>Vima</t>
  </si>
  <si>
    <t>Batiment Catalyst, Ebene</t>
  </si>
  <si>
    <t>Teeshta Bissessur</t>
  </si>
  <si>
    <t>Ramkelawon St, Deux Bras Rd, New Grove</t>
  </si>
  <si>
    <t>Tanisha Beesoon</t>
  </si>
  <si>
    <t>River Side Street, Petit Bel Air, Mahebourg</t>
  </si>
  <si>
    <t>Uzmanaz Zakiya Mahamed Hussain</t>
  </si>
  <si>
    <t>Royal Road, Grand Retraite</t>
  </si>
  <si>
    <t>Mrs Rashmee Bhaugeerutty</t>
  </si>
  <si>
    <t>Vacoas Popular Multi Purpose Cooperative Society Ltd, Morc Coop, Bonne Terre, Vacoas</t>
  </si>
  <si>
    <t>Emamally ZAYNAH</t>
  </si>
  <si>
    <t>Tres bon 1, Vacoas</t>
  </si>
  <si>
    <t>Nazaahah Oozeer</t>
  </si>
  <si>
    <t>101, Morc Lenoir, Petit Camp, Phoenix</t>
  </si>
  <si>
    <t>Sakshi Pariag</t>
  </si>
  <si>
    <t>Marie Celine Coret Dorcy</t>
  </si>
  <si>
    <t>Morcellement Petite Bretagne, Albion</t>
  </si>
  <si>
    <t>Yashna Ballgobin</t>
  </si>
  <si>
    <t>Basalt Street, Deelawar Lane, Terre Rouge</t>
  </si>
  <si>
    <t>Joomun Wazifah</t>
  </si>
  <si>
    <t>17 Avenue Tranquille, Vacoas (afternoon)</t>
  </si>
  <si>
    <t>—</t>
  </si>
  <si>
    <t>Wardah Jumun</t>
  </si>
  <si>
    <t>Bijouterie Etoile Dor, Royal Road, Plaine Magnien</t>
  </si>
  <si>
    <t>Hansinee Ramdhany</t>
  </si>
  <si>
    <t>Nightingale Avenue, Lallmatie</t>
  </si>
  <si>
    <t>Yomela Mootien</t>
  </si>
  <si>
    <t>T21, Quartier des Terminalias, Labourdonnais, Mapou</t>
  </si>
  <si>
    <t>Kshanika Khirodhur</t>
  </si>
  <si>
    <t>12, Khirodhur Street, St Louis, Surinam</t>
  </si>
  <si>
    <t>Deliver at workplace (Health Centre, Rose Hill)</t>
  </si>
  <si>
    <t>Amisha Gunputh</t>
  </si>
  <si>
    <t>Grannum Road, Vacoas</t>
  </si>
  <si>
    <t>Old Market Road, Rivière du Rempart (near Courts Mammouth)</t>
  </si>
  <si>
    <t>Sivanee Muruvan</t>
  </si>
  <si>
    <t>Rue Couvent de Lorette, Curepipe</t>
  </si>
  <si>
    <t>Hadiyah Santoo</t>
  </si>
  <si>
    <t>Lotus Street, Plaine Magnien</t>
  </si>
  <si>
    <t>Deliver 8:30–15:00 at DHL Plaine Magnien. After 16:30 deliver at Lotus Street</t>
  </si>
  <si>
    <t>Royal Road Isidore-Rose, Quatre Cocos</t>
  </si>
  <si>
    <t>Noosayah Joomun</t>
  </si>
  <si>
    <t>Highlands Road, Phoenix</t>
  </si>
  <si>
    <t>Deeya Mungur</t>
  </si>
  <si>
    <t>18 Martindale Street, Beau Bassin</t>
  </si>
  <si>
    <t>Stephanie How</t>
  </si>
  <si>
    <t>C/O Rey &amp; Lenferna Ltd, Royal Road, Bell Village</t>
  </si>
  <si>
    <t>Bell Village</t>
  </si>
  <si>
    <t>Danalutchmee Ballasoupramanien</t>
  </si>
  <si>
    <t>51, Dr Reid, Beau-Bassin</t>
  </si>
  <si>
    <t>Zakiyyah Doomun Khan</t>
  </si>
  <si>
    <t>26 A Remy Ollier, Phoenix</t>
  </si>
  <si>
    <t>Shriya Dheereess</t>
  </si>
  <si>
    <t>P 12 B Chemin la Gare, Poste de Flacq</t>
  </si>
  <si>
    <t>Poste de Flacq</t>
  </si>
  <si>
    <t>Faezah Nauzeer</t>
  </si>
  <si>
    <t>COD 875RS</t>
  </si>
  <si>
    <t>26, Impasse Gorah Issac, Port Louis</t>
  </si>
  <si>
    <t>Unpaid rs 850/-</t>
  </si>
  <si>
    <t>PREMILA BADAYE</t>
  </si>
  <si>
    <t>CHEMIN GRENIER</t>
  </si>
  <si>
    <t>Nushreen</t>
  </si>
  <si>
    <t>L'Avenir, Flacq</t>
  </si>
  <si>
    <t>Neha Puttur</t>
  </si>
  <si>
    <t>Dream Price, Triolet</t>
  </si>
  <si>
    <t>Yus Islam</t>
  </si>
  <si>
    <t>Row Labels</t>
  </si>
  <si>
    <t>Grand Total</t>
  </si>
  <si>
    <t>Count of Name</t>
  </si>
  <si>
    <t>Apr</t>
  </si>
  <si>
    <t>May</t>
  </si>
  <si>
    <t>Jun</t>
  </si>
  <si>
    <t>Jul</t>
  </si>
  <si>
    <t>Aug</t>
  </si>
  <si>
    <t>Grand Bel Air</t>
  </si>
  <si>
    <t>La Rosa</t>
  </si>
  <si>
    <t>Alma</t>
  </si>
  <si>
    <t>Ripailles</t>
  </si>
  <si>
    <t>Union Vale</t>
  </si>
  <si>
    <t>Morcellement Saint Andre</t>
  </si>
  <si>
    <t>St Hubert</t>
  </si>
  <si>
    <t>Melrose</t>
  </si>
  <si>
    <t>Morcellement Saint André</t>
  </si>
  <si>
    <t>Trou D’Eau Douce</t>
  </si>
  <si>
    <t>Beau Vallon</t>
  </si>
  <si>
    <t>Mrs Hansa</t>
  </si>
  <si>
    <t>Remy Ollier St. Port Louis (Newton Tower bldg parking side)</t>
  </si>
  <si>
    <t>Vis a Vis SBM, Port louis</t>
  </si>
  <si>
    <t>Special Notes</t>
  </si>
  <si>
    <t>Emma Bhawah</t>
  </si>
  <si>
    <t>Allee Tamarin Gandhi Lane, Bambous, Mauritius</t>
  </si>
  <si>
    <t>5751 9225</t>
  </si>
  <si>
    <t>Market Lane, Rose Belle, Mauritius</t>
  </si>
  <si>
    <t>5928 3079</t>
  </si>
  <si>
    <t>Please call beforehand. I might either be at Ebene or Rose Belle</t>
  </si>
  <si>
    <t>Anwar E Qouba Mosque Rd, Camp Fouquereaux, Phoenix, Mauritius</t>
  </si>
  <si>
    <t>5927 2041</t>
  </si>
  <si>
    <t>Sharfaa Auhammud</t>
  </si>
  <si>
    <t>Camishi Lane, Camp Fouquereaux, St Antoine, Mauritius</t>
  </si>
  <si>
    <t>St Antoine</t>
  </si>
  <si>
    <t>5829 8331</t>
  </si>
  <si>
    <t>Bibi Sahanah Shibchurn</t>
  </si>
  <si>
    <t>51 Roshan Lane, Morcellement La Vallée, Le Cornu, St Croix, Port Louis</t>
  </si>
  <si>
    <t>St Croix (PL)</t>
  </si>
  <si>
    <t>5758 8028</t>
  </si>
  <si>
    <t>5 Dr Bour Street, Rose-Hill, Mauritius</t>
  </si>
  <si>
    <t>5800 2834</t>
  </si>
  <si>
    <t>Shamnaz Gurreebat</t>
  </si>
  <si>
    <t>Bonnair Road, Triolet, Mauritius</t>
  </si>
  <si>
    <t>5833 8876</t>
  </si>
  <si>
    <t>Nithisha Nirsimloo</t>
  </si>
  <si>
    <t>Le Ravin Riverside, B5, Moka, Mauritius</t>
  </si>
  <si>
    <t>5982 7315</t>
  </si>
  <si>
    <t>Order needed ASAP please, thanks.</t>
  </si>
  <si>
    <t>Khaoula Baroudi</t>
  </si>
  <si>
    <t>31 Frederick Bonnefin, Forest Side, Mauritius</t>
  </si>
  <si>
    <t>5936 2930</t>
  </si>
  <si>
    <t>Heshma Jogoosing</t>
  </si>
  <si>
    <t>Melle Jeane Road, Goodlands, Mauritius</t>
  </si>
  <si>
    <t>5702 5491</t>
  </si>
  <si>
    <t>Diana Appadoo</t>
  </si>
  <si>
    <t>Lot No. 3, Morc. Residence Grove, Mare D'Albert, Mauritius</t>
  </si>
  <si>
    <t>5784 0163</t>
  </si>
  <si>
    <t>Jameela HossenMohamed</t>
  </si>
  <si>
    <t>Joseph Legris, Terre Rouge, Port Louis, Mauritius</t>
  </si>
  <si>
    <t>Terre Rouge (PL)</t>
  </si>
  <si>
    <t>5506 5606</t>
  </si>
  <si>
    <t>Shanya BinMohammed</t>
  </si>
  <si>
    <t>Résidence Agathe, Block E08, Melrose</t>
  </si>
  <si>
    <t>5829 3142</t>
  </si>
  <si>
    <t>Drishtee Bhujun</t>
  </si>
  <si>
    <t>Technotronics Ltd, Qunize Cantons, Vacoas Square Shopping Mall</t>
  </si>
  <si>
    <t>5860 5212</t>
  </si>
  <si>
    <t>4th Floor, Harbour Front Building, Port Louis, Mauritius</t>
  </si>
  <si>
    <t>5494 9449</t>
  </si>
  <si>
    <t>Sandrine Mahier</t>
  </si>
  <si>
    <t>Villa Tuscane, Balisage Lane, Calodyne</t>
  </si>
  <si>
    <t>Calodyne</t>
  </si>
  <si>
    <t>Zahrah Sundhoo</t>
  </si>
  <si>
    <t>Azzah Boutique</t>
  </si>
  <si>
    <t>Tirvengadum Lane, Rose Hill</t>
  </si>
  <si>
    <t>Soobhujhun Yootika</t>
  </si>
  <si>
    <t>Ameena Ochatoya</t>
  </si>
  <si>
    <t>Yakshini Digumber</t>
  </si>
  <si>
    <t>Zaynah Nujjoo</t>
  </si>
  <si>
    <t>Royal Road, Grand Baie</t>
  </si>
  <si>
    <t>Gloria Hart</t>
  </si>
  <si>
    <t>Tejeshwari Laxmi Devi Reesaul</t>
  </si>
  <si>
    <t>Mrs Beeharry</t>
  </si>
  <si>
    <t>Yasmine Ramjaun</t>
  </si>
  <si>
    <t>Tasleema Neerooa</t>
  </si>
  <si>
    <t>Triolet (Pin Provided)</t>
  </si>
  <si>
    <t>Amirah Nain</t>
  </si>
  <si>
    <t>Zuhayr Bhugel</t>
  </si>
  <si>
    <t>Kings Road, Goodlands</t>
  </si>
  <si>
    <t>NHDC F12 Montagne Blanche, Montagne Blanche</t>
  </si>
  <si>
    <t>B3 Arab Lane, Camp Yoloff, Port Louis</t>
  </si>
  <si>
    <t>18 Nahaboo Solim Street, Beau Bassin</t>
  </si>
  <si>
    <t>Morcellement Tagore, L’Escalier</t>
  </si>
  <si>
    <t>Ebene (near DHL)</t>
  </si>
  <si>
    <t>Swami Dayanand Road, Petit Raffray</t>
  </si>
  <si>
    <t>Téanna Diveshnee Chelumbrum</t>
  </si>
  <si>
    <t>Victoria Branch Road, Pamplemousses</t>
  </si>
  <si>
    <t>Royal Road, Tyack, Rivière des Anguilles</t>
  </si>
  <si>
    <t>Tyack / RDA</t>
  </si>
  <si>
    <t>Port Louis: Morning – Dispensaire Vallée des Prêtres (until 11:30) Afternoon – Dispensaire Bouloux, Cassis</t>
  </si>
  <si>
    <t>Port Louis / Cassis</t>
  </si>
  <si>
    <t>Orchard Centre, Quatre Bornes</t>
  </si>
  <si>
    <t>Amiirah Khoodoruth</t>
  </si>
  <si>
    <t xml:space="preserve">Saira </t>
  </si>
  <si>
    <t xml:space="preserve">Triolet </t>
  </si>
  <si>
    <t xml:space="preserve">Zakkiyah </t>
  </si>
  <si>
    <t xml:space="preserve">Terre rouge </t>
  </si>
  <si>
    <t>Wall Street, 7 Exchange Square, Ebene</t>
  </si>
  <si>
    <t>Amina Saadia Toraubally</t>
  </si>
  <si>
    <t>119 Ave Ollier, Rose Hill</t>
  </si>
  <si>
    <t>Reetisha Suroop</t>
  </si>
  <si>
    <t>E6 Cité Trois Boutiques</t>
  </si>
  <si>
    <t>Zikrah Boodhoo</t>
  </si>
  <si>
    <t>Royal Road, Upper Vale</t>
  </si>
  <si>
    <t>Tandra Somnac</t>
  </si>
  <si>
    <t>3 Rue Madame Mont Roches, Beau Bassin</t>
  </si>
  <si>
    <t>Ooushna Rangasamy</t>
  </si>
  <si>
    <t>K24 Rue Saponnière, La Tour Koenig</t>
  </si>
  <si>
    <t>57096825 / 58046102</t>
  </si>
  <si>
    <t>Rati Saulick</t>
  </si>
  <si>
    <t>School Lane, Morcellement St André, Pamplemousses</t>
  </si>
  <si>
    <t>Amnah</t>
  </si>
  <si>
    <t>Nelson Mandela Lane, Terre Rouge</t>
  </si>
  <si>
    <t>Farhana</t>
  </si>
  <si>
    <t>Buckingham vis-à-vis SBM, Rose Hill</t>
  </si>
  <si>
    <t>Noorianah Lollmahamod Roojee</t>
  </si>
  <si>
    <t>Avenue des Cygnes, Mont Ida</t>
  </si>
  <si>
    <t>Mrs Rajhub Azhaar</t>
  </si>
  <si>
    <t>Boodhun Street, Rose Hill</t>
  </si>
  <si>
    <t>Wardah Gunnoo</t>
  </si>
  <si>
    <t>60 La Paix Street, Port Louis</t>
  </si>
  <si>
    <t>Deersynee Mootyaloo</t>
  </si>
  <si>
    <t>Camy Lane, Surinam</t>
  </si>
  <si>
    <t>Kriti Moorgawa</t>
  </si>
  <si>
    <t>Shivala Lane, Rose Belle</t>
  </si>
  <si>
    <t>Preety Woosye</t>
  </si>
  <si>
    <t>Dr Edgar Millien Govt School, Souillac Street, La Butte, PL</t>
  </si>
  <si>
    <t>Hayfa Sambon</t>
  </si>
  <si>
    <t>Royal Road, Morcellement St André</t>
  </si>
  <si>
    <t>Municipality of Vacoas-Phoenix, Vacoas</t>
  </si>
  <si>
    <t>Vacoas Popular Multi Purpose Coop, Morc Coop, Bonne Terre</t>
  </si>
  <si>
    <t>Zohra Jeeroburkan</t>
  </si>
  <si>
    <t>Route du Jardin, Suzor Street, Curepipe</t>
  </si>
  <si>
    <t>Soodhakar Meetun</t>
  </si>
  <si>
    <t>Madiha</t>
  </si>
  <si>
    <t>9eme Mille Cremation Road, Triolet</t>
  </si>
  <si>
    <t>Zaynah Atchia</t>
  </si>
  <si>
    <t>Jemmingham Street, WMA Building, Curepipe</t>
  </si>
  <si>
    <t>Jasbeer Abdool</t>
  </si>
  <si>
    <t>New Trunk Road, Plaine Lauzun, Port Louis</t>
  </si>
  <si>
    <t>NABIIHAH - May's Shop</t>
  </si>
  <si>
    <t xml:space="preserve">Medha Bismohun </t>
  </si>
  <si>
    <t>3rd Lane, Lalljee Street, Rosebelle, Mauritius</t>
  </si>
  <si>
    <t>SHIVANEE - NABIIHAH - May's Shop</t>
  </si>
  <si>
    <t>CHEMIN GRENIER, Mauritius</t>
  </si>
  <si>
    <t>PRATEEMAH - NABIIHAH - May's Shop</t>
  </si>
  <si>
    <t>MUFIDA - NABIIHAH - May's Shop</t>
  </si>
  <si>
    <t>NEELAM BEEHARY - NABIIHAH - May's Shop</t>
  </si>
  <si>
    <t>SURINAM/RIV DES ANGUILLES, Mauritius</t>
  </si>
  <si>
    <t>CR - NABIIHAH - May's Shop</t>
  </si>
  <si>
    <t>RIV DES ANGUILLES, Mauritius</t>
  </si>
  <si>
    <t>AMISTA - NABIIHAH - May's Shop</t>
  </si>
  <si>
    <t>BRITANNIA, Mauritius</t>
  </si>
  <si>
    <t>SHREYA - NABIIHAH - May's Shop</t>
  </si>
  <si>
    <t>TROIS BOUTIQUE UNION VALE, Mauritius</t>
  </si>
  <si>
    <t>RADS DEVIKA - NABIIHAH - May's Shop</t>
  </si>
  <si>
    <t>TROIS BOUTIQUE , Mauritius</t>
  </si>
  <si>
    <t>ASH - NABIIHAH - May's Shop</t>
  </si>
  <si>
    <t>PLAINE MAGNIEN, Mauritius</t>
  </si>
  <si>
    <t>ALYAA - NABIIHAH - May's Shop</t>
  </si>
  <si>
    <t>IZAH KHAN/MEHSAR - NABIIHAH - May's Shop</t>
  </si>
  <si>
    <t>MAHEBOURG, Mauritius</t>
  </si>
  <si>
    <t>SWAFIYA - NABIIHAH - May's Shop</t>
  </si>
  <si>
    <t>SAMIYA - NABIIHAH - May's Shop</t>
  </si>
  <si>
    <t>SUMMERTIME - NABIIHAH - May's Shop</t>
  </si>
  <si>
    <t>SHANTI DEENOO - NABIIHAH - May's Shop</t>
  </si>
  <si>
    <t>MALINEE - NABIIHAH - May's Shop</t>
  </si>
  <si>
    <t>NEW GROVE, Mauritius</t>
  </si>
  <si>
    <t>ROUGE  - NABIIHAH - May's Shop</t>
  </si>
  <si>
    <t>ROSEBELLE, Mauritius</t>
  </si>
  <si>
    <t>KAMINI - NABIIHAH - May's Shop</t>
  </si>
  <si>
    <t>GRAND BOIS, Mauritius</t>
  </si>
  <si>
    <t>SHAHEEN - NABIIHAH - May's Shop</t>
  </si>
  <si>
    <t>GRAND BOIS OLD SAVANNE RD, Mauritius</t>
  </si>
  <si>
    <t>JENNIFEER - NABIIHAH - May's Shop</t>
  </si>
  <si>
    <t>BOIS CHERI MOKIA, Mauritius</t>
  </si>
  <si>
    <t>NICE &amp; TASTY - NABIIHAH - May's Shop</t>
  </si>
  <si>
    <t>NOUVELLE FRANCE, Mauritius</t>
  </si>
  <si>
    <t>RESHMA - NABIIHAH - May's Shop</t>
  </si>
  <si>
    <t>DAY JOY  - NABIIHAH - May's Shop</t>
  </si>
  <si>
    <t>CUREPIPE, Mauritius</t>
  </si>
  <si>
    <t>ADRIANA - NABIIHAH - May's Shop</t>
  </si>
  <si>
    <t>ZARINA RAZBULLY - NABIIHAH - May's Shop</t>
  </si>
  <si>
    <t>YASMIN - NABIIHAH - May's Shop</t>
  </si>
  <si>
    <t>EAU COULEE, Mauritius</t>
  </si>
  <si>
    <t>JENITA - NABIIHAH - May's Shop</t>
  </si>
  <si>
    <t>KAVITA - NABIIHAH - May's Shop</t>
  </si>
  <si>
    <t>VACOAS, Mauritius</t>
  </si>
  <si>
    <t>PRITISHA - NABIIHAH - May's Shop</t>
  </si>
  <si>
    <t>KOOMANEE - NABIIHAH - May's Shop</t>
  </si>
  <si>
    <t>WASILA - NABIIHAH - May's Shop</t>
  </si>
  <si>
    <t>SAVI - NABIIHAH - May's Shop</t>
  </si>
  <si>
    <t>VACOAS LA CAVERNE, Mauritius</t>
  </si>
  <si>
    <t>REKHA - NABIIHAH - May's Shop</t>
  </si>
  <si>
    <t>PREMILLA - NABIIHAH - May's Shop</t>
  </si>
  <si>
    <t>BEAU SONGES, Mauritius</t>
  </si>
  <si>
    <t>NORMELA - NABIIHAH - May's Shop</t>
  </si>
  <si>
    <t>QBORNES, Mauritius</t>
  </si>
  <si>
    <t>NAWMEE - NABIIHAH - May's Shop</t>
  </si>
  <si>
    <t>NH SNACKS - NABIIHAH - May's Shop</t>
  </si>
  <si>
    <t>ROSEHILL, Mauritius</t>
  </si>
  <si>
    <t>CRESTA - NABIIHAH - May's Shop</t>
  </si>
  <si>
    <t>PRIYA DALLENA - NABIIHAH - May's Shop</t>
  </si>
  <si>
    <t>ROSEHILL, 529 SEENEEVASEN AVE TREFLES ROSEHILL, Mauritius</t>
  </si>
  <si>
    <t>NAJAAH - NABIIHAH - May's Shop</t>
  </si>
  <si>
    <t>EBENE, Mauritius</t>
  </si>
  <si>
    <t>JEENA - NABIIHAH - May's Shop</t>
  </si>
  <si>
    <t>PRISHA - NABIIHAH - May's Shop</t>
  </si>
  <si>
    <t>SHALINI - NABIIHAH - May's Shop</t>
  </si>
  <si>
    <t>REDUIT, Mauritius</t>
  </si>
  <si>
    <t>WESH - NABIIHAH - May's Shop</t>
  </si>
  <si>
    <t>ST PIERRE, Mauritius</t>
  </si>
  <si>
    <t>ADVANCE DERMA - NABIIHAH - May's Shop</t>
  </si>
  <si>
    <t>TANOOJA - NABIIHAH - May's Shop</t>
  </si>
  <si>
    <t>MOKA, MONTAGE ORY LE BOCAGE MOKA, Mauritius</t>
  </si>
  <si>
    <t>THANS - NABIIHAH - May's Shop</t>
  </si>
  <si>
    <t>BEAU BASSIN, 5,REMY OLLIER ST, BEAU BASSIN, Mauritius</t>
  </si>
  <si>
    <t>JOSH - NABIIHAH - May's Shop</t>
  </si>
  <si>
    <t>BEAU BASSIN, Mauritius</t>
  </si>
  <si>
    <t>MAMTA - NABIIHAH - May's Shop</t>
  </si>
  <si>
    <t>COROMANDEL, Mauritius</t>
  </si>
  <si>
    <t>CHICADEE/AYMAN - NABIIHAH - May's Shop</t>
  </si>
  <si>
    <t>SHARMILA - NABIIHAH - May's Shop</t>
  </si>
  <si>
    <t>POINTE AUX SABLES, Mauritius</t>
  </si>
  <si>
    <t>DEVINE LOTUS - NABIIHAH - May's Shop</t>
  </si>
  <si>
    <t>PAILLES, GUIBIES RD, PAILLES, Mauritius</t>
  </si>
  <si>
    <t>SIA-RS - NABIIHAH - May's Shop</t>
  </si>
  <si>
    <t>PAILLES, Mauritius</t>
  </si>
  <si>
    <t>SHAHTAJ - NABIIHAH - May's Shop</t>
  </si>
  <si>
    <t>HAYRON - NABIIHAH - May's Shop</t>
  </si>
  <si>
    <t>BEL VILLAGE /(ST CROIX after 4.30), Mauritius</t>
  </si>
  <si>
    <t>ANNE - NABIIHAH - May's Shop</t>
  </si>
  <si>
    <t>CASSIS, Mauritius</t>
  </si>
  <si>
    <t>KETTY - NABIIHAH - May's Shop</t>
  </si>
  <si>
    <t>KARISHMA - NABIIHAH - May's Shop</t>
  </si>
  <si>
    <t>MER ROUGE, Mauritius</t>
  </si>
  <si>
    <t>ANNICK  - NABIIHAH - May's Shop</t>
  </si>
  <si>
    <t>PAMPLEMOUSSE, Mauritius</t>
  </si>
  <si>
    <t>KD - NABIIHAH - May's Shop</t>
  </si>
  <si>
    <t>BALACLAVA, WESTIN HOTEL BALACLAVA, Mauritius</t>
  </si>
  <si>
    <t>ARASI - NABIIHAH - May's Shop</t>
  </si>
  <si>
    <t>TRIOLET, PRINCE OF Wales st TRIOLET, Mauritius</t>
  </si>
  <si>
    <t>SHEILA SEPAUL - NABIIHAH - May's Shop</t>
  </si>
  <si>
    <t>TROLET, ROYAL RD 8TH MIL, TROLET (NEAR NIC), Mauritius</t>
  </si>
  <si>
    <t>KAYLA - NABIIHAH - May's Shop</t>
  </si>
  <si>
    <t>TROLET, shiv prakash mandir lane TRIOLET, Mauritius</t>
  </si>
  <si>
    <t>JESS JESS - NABIIHAH - May's Shop</t>
  </si>
  <si>
    <t>PLAINE DES PAPAYES, Mauritius</t>
  </si>
  <si>
    <t>MOONSAMY - NABIIHAH - May's Shop</t>
  </si>
  <si>
    <t>GRAND BAY, Mauritius</t>
  </si>
  <si>
    <t>HAPPINESS - NABIIHAH - May's Shop</t>
  </si>
  <si>
    <t>SNEHA - NABIIHAH - May's Shop</t>
  </si>
  <si>
    <t>UPPER VALE, Mauritius</t>
  </si>
  <si>
    <t>TANYA - NABIIHAH - May's Shop</t>
  </si>
  <si>
    <t>PETIT RAFFRAY, Mauritius</t>
  </si>
  <si>
    <t>MALIKA - NABIIHAH - May's Shop</t>
  </si>
  <si>
    <t>L'ESPERENCE TREBUCHET, Mauritius</t>
  </si>
  <si>
    <t>MEENAXI - NABIIHAH - May's Shop</t>
  </si>
  <si>
    <t>ESPERENCE PITON, Mauritius</t>
  </si>
  <si>
    <t>MALINI - NABIIHAH - May's Shop</t>
  </si>
  <si>
    <t>RIV DU REMPART, Mauritius</t>
  </si>
  <si>
    <t>BHAVNA - NABIIHAH - May's Shop</t>
  </si>
  <si>
    <t>GOODLAND, Mauritius</t>
  </si>
  <si>
    <t>PARDESI - NABIIHAH - May's Shop</t>
  </si>
  <si>
    <t>BRISEE VERDIER, Mauritius</t>
  </si>
  <si>
    <t>ASHWINA - NABIIHAH - May's Shop</t>
  </si>
  <si>
    <t>BON ACCEUIL, Mauritius</t>
  </si>
  <si>
    <t>BEB - NABIIHAH - May's Shop</t>
  </si>
  <si>
    <t>CENTRAL FLACQ, Mauritius</t>
  </si>
  <si>
    <t>NATASHA - NABIIHAH - May's Shop</t>
  </si>
  <si>
    <t>FLACQ, Mauritius</t>
  </si>
  <si>
    <t>JURRY - NABIIHAH - May's Shop</t>
  </si>
  <si>
    <t>BEL AIR RIVIER SECHE, Mauritius</t>
  </si>
  <si>
    <t>SHILPA - NABIIHAH - May's Shop</t>
  </si>
  <si>
    <t>BEL AIR, Mauritius</t>
  </si>
  <si>
    <t>SHAKILA - NABIIHAH - May's Shop</t>
  </si>
  <si>
    <t>MAGESHWARY - NABIIHAH - May's Shop</t>
  </si>
  <si>
    <t>TAGORE RD ST JULLIEN VILLAGE, Mauritius</t>
  </si>
  <si>
    <t>AFSHA - NABIIHAH - May's Shop</t>
  </si>
  <si>
    <t>QUARTIER MILITAIRE, Mauritius</t>
  </si>
  <si>
    <t>THAT’S GIRL/MINOO - NABIIHAH - May's Shop</t>
  </si>
  <si>
    <t>ALMA, VERDUN, Mauritius</t>
  </si>
  <si>
    <t>BAL - NABIIHAH - May's Shop</t>
  </si>
  <si>
    <t>RIVIERE NOIRE ROYAL RD, Mauritius</t>
  </si>
  <si>
    <t>YANA - NABIIHAH - May's Shop</t>
  </si>
  <si>
    <t>FLIC EN FLAC, Mauritius</t>
  </si>
  <si>
    <t>SYLVETTE - NABIIHAH - May's Shop</t>
  </si>
  <si>
    <t>Natasha Greedharry</t>
  </si>
  <si>
    <t>13 Malcom de Chazal St, Beau Vallon, Mahebourg</t>
  </si>
  <si>
    <t>Tanushree Dowlut-Gopaul</t>
  </si>
  <si>
    <t>Sharp Shooter Lane, Mgr Leen Avenue, Bassin</t>
  </si>
  <si>
    <t>Bassin</t>
  </si>
  <si>
    <t>Marie Amelie Ariana Labonne</t>
  </si>
  <si>
    <t>Le Reef Shop Ltd, Royal Road, La Gaulette</t>
  </si>
  <si>
    <t>3 Prince Alfred, Tranquebar, Port Louis</t>
  </si>
  <si>
    <t>Mr. Hosenbocus Mohamed Farhaz</t>
  </si>
  <si>
    <t>Camp Mapou Road, Henrietta, Vacoas</t>
  </si>
  <si>
    <t>Centre</t>
  </si>
  <si>
    <t>59753479 / 59760666</t>
  </si>
  <si>
    <t>Yeshna Sookun</t>
  </si>
  <si>
    <t>Gandhi Bhawan Street, Roches Noires</t>
  </si>
  <si>
    <t>Anisha Puran</t>
  </si>
  <si>
    <t>Royal Road, Caroline, Bel Air Rivière Seche</t>
  </si>
  <si>
    <t>Bel Air R. Seche</t>
  </si>
  <si>
    <t>Cheronah Aumeer</t>
  </si>
  <si>
    <t>Sskidz Clothing, Curepipe Centre, Curepipe</t>
  </si>
  <si>
    <t>Dushila Prehagg</t>
  </si>
  <si>
    <t>Maurel Road, Rivière du Rempart</t>
  </si>
  <si>
    <t>R. du Rempart</t>
  </si>
  <si>
    <t>Hansika Moneeram</t>
  </si>
  <si>
    <t>Caroline Chemin La Pompe, Bel Air</t>
  </si>
  <si>
    <t>Kulsid Andoo</t>
  </si>
  <si>
    <t>13, Manganlall Desai, Beau Bassin</t>
  </si>
  <si>
    <t>Mishna Lokhun</t>
  </si>
  <si>
    <t>Cremation Road, Tyack</t>
  </si>
  <si>
    <t>Naiimah Kinoo</t>
  </si>
  <si>
    <t>Perrier Road, Glen Park, Vacoas</t>
  </si>
  <si>
    <t>Naseelah Hossen</t>
  </si>
  <si>
    <t>St Antoine Camp Fouquereaux, C/O H Dursun Store, Phoenix</t>
  </si>
  <si>
    <t>Balance Road, Plaine Magnien</t>
  </si>
  <si>
    <t>Saint Ursule Road, Centre De Flacq</t>
  </si>
  <si>
    <t>Purdasy Firdaus</t>
  </si>
  <si>
    <t>Avenue de Palmier, Camp Diable</t>
  </si>
  <si>
    <t>Roushmine Auckburally</t>
  </si>
  <si>
    <t>26, Koenig Lane, Phoenix</t>
  </si>
  <si>
    <t>Seethamah Nussaibah</t>
  </si>
  <si>
    <t>Vingta Lane No.1, Vacoas-Phoenix, Vacoas</t>
  </si>
  <si>
    <t>Shivam Baboolall</t>
  </si>
  <si>
    <t>Yashni Keesoondoyal</t>
  </si>
  <si>
    <t>Royal Rd, Quatre-Cocos, Flacq</t>
  </si>
  <si>
    <t>Akhmez Herburrun</t>
  </si>
  <si>
    <t>Chaaya Sobhee</t>
  </si>
  <si>
    <t>7a, Mayer Street, Port Louis</t>
  </si>
  <si>
    <t>Sherna Guness</t>
  </si>
  <si>
    <t>Adrien Sauzier, Floreal</t>
  </si>
  <si>
    <t>Sooraiya Motala</t>
  </si>
  <si>
    <t>57824277 / 57608743</t>
  </si>
  <si>
    <t>Nitasha Ittoo Ramgoolam</t>
  </si>
  <si>
    <t>Mosque Rd, Tyack</t>
  </si>
  <si>
    <t>Ramkaun Pratima Devi</t>
  </si>
  <si>
    <t>Maheswar Nagri Road, 9th Mile, Triolet</t>
  </si>
  <si>
    <t>Manisha Margodon</t>
  </si>
  <si>
    <t>Emrith Sabeena</t>
  </si>
  <si>
    <t>Mosque Road, 7th Mile, Triolet</t>
  </si>
  <si>
    <t>Sandhya Ramkhelawon</t>
  </si>
  <si>
    <t>Royal Road, Mont Ida (Next to Post office)</t>
  </si>
  <si>
    <t>Hospital SSRN, PAMPLEMOUSSES</t>
  </si>
  <si>
    <t>PAMPLEMOUSSES</t>
  </si>
  <si>
    <t>QUATRE BORNES</t>
  </si>
  <si>
    <t>Mrs ANOOP PREMA DEVI</t>
  </si>
  <si>
    <t>ROTIN LANE, PALMA ROAD, QUATRE BORNES</t>
  </si>
  <si>
    <t>Amrita Gopaul</t>
  </si>
  <si>
    <t>Carreau Lalliane, Seegum Lane, Vacoas</t>
  </si>
  <si>
    <t>Orchard Centre, Quatre Bornes - Pick up</t>
  </si>
  <si>
    <t>Orchard Centre, Quatre Bornes - Drop</t>
  </si>
  <si>
    <t>Mrs Arzam Khan Bibi Sahimah</t>
  </si>
  <si>
    <t>Sep</t>
  </si>
  <si>
    <t>BALACLAVA</t>
  </si>
  <si>
    <t>ALMA</t>
  </si>
  <si>
    <t>BEAU SONGES</t>
  </si>
  <si>
    <t>BEL AIR RIVIER SECHE</t>
  </si>
  <si>
    <t>BEL VILLAGE /(ST CROIX after 4.30)</t>
  </si>
  <si>
    <t>BOIS CHERI MOKIA</t>
  </si>
  <si>
    <t>BON ACCEUIL</t>
  </si>
  <si>
    <t>BRISEE VERDIER</t>
  </si>
  <si>
    <t>CASSIS</t>
  </si>
  <si>
    <t>CENTRAL FLACQ</t>
  </si>
  <si>
    <t>COROMANDEL</t>
  </si>
  <si>
    <t>CUREPIPE</t>
  </si>
  <si>
    <t>EAU COULEE</t>
  </si>
  <si>
    <t>EBENE</t>
  </si>
  <si>
    <t>ESPERENCE PITON</t>
  </si>
  <si>
    <t>FLACQ</t>
  </si>
  <si>
    <t>FLIC EN FLAC</t>
  </si>
  <si>
    <t>GOODLAND</t>
  </si>
  <si>
    <t>GRAND BAY</t>
  </si>
  <si>
    <t>GRAND BOIS OLD SAVANNE RD</t>
  </si>
  <si>
    <t>GRAND BOIS</t>
  </si>
  <si>
    <t>L'ESPERENCE TREBUCHET</t>
  </si>
  <si>
    <t>MAHEBOURG</t>
  </si>
  <si>
    <t>MER ROUGE</t>
  </si>
  <si>
    <t>MOKA, MONTAGE ORY LE BOCAGE MOKA</t>
  </si>
  <si>
    <t>NEW GROVE</t>
  </si>
  <si>
    <t>NOUVELLE FRANCE</t>
  </si>
  <si>
    <t>PAILLES, GUIBIES RD, PAILLES</t>
  </si>
  <si>
    <t>PAILLES</t>
  </si>
  <si>
    <t>PAMPLEMOUSSE</t>
  </si>
  <si>
    <t>PETIT RAFFRAY</t>
  </si>
  <si>
    <t>PLAINE DES PAPAYES</t>
  </si>
  <si>
    <t>PLAINE MAGNIEN</t>
  </si>
  <si>
    <t>POINTE AUX SABLES</t>
  </si>
  <si>
    <t>QBORNES</t>
  </si>
  <si>
    <t>QUARTIER MILITAIRE</t>
  </si>
  <si>
    <t>REDUIT</t>
  </si>
  <si>
    <t>RIV DES ANGUILLES</t>
  </si>
  <si>
    <t>RIV DU REMPART</t>
  </si>
  <si>
    <t>RIVIERE NOIRE ROYAL RD</t>
  </si>
  <si>
    <t>ROSEBELLE</t>
  </si>
  <si>
    <t>ROSEHILL, 529 SEENEEVASEN AVE TREFLES ROSEHILL</t>
  </si>
  <si>
    <t>ROSEHILL</t>
  </si>
  <si>
    <t>ST PIERRE</t>
  </si>
  <si>
    <t>SURINAM/RIV DES ANGUILLES</t>
  </si>
  <si>
    <t>TAGORE RD ST JULLIEN VILLAGE</t>
  </si>
  <si>
    <t>TRIOLET, PRINCE OF Wales st TRIOLET</t>
  </si>
  <si>
    <t xml:space="preserve">TROIS BOUTIQUE </t>
  </si>
  <si>
    <t>TROIS BOUTIQUE UNION VALE</t>
  </si>
  <si>
    <t>TROLET, ROYAL RD 8TH MIL, TROLET (NEAR NIC)</t>
  </si>
  <si>
    <t>TROLET, shiv prakash mandir lane TRIOLET</t>
  </si>
  <si>
    <t>UPPER VALE</t>
  </si>
  <si>
    <t>VACOAS LA CAVERNE</t>
  </si>
  <si>
    <t>VACOAS</t>
  </si>
  <si>
    <t>Ramphul Shaivi</t>
  </si>
  <si>
    <t>Branch Road, Roches Noires</t>
  </si>
  <si>
    <t>Bushra Rittun</t>
  </si>
  <si>
    <t>Mushirah Meer-Hossen</t>
  </si>
  <si>
    <t>Plaines Des Roches, Royal Road, Riviere Du Rempart</t>
  </si>
  <si>
    <t>Sekina Jhimlah</t>
  </si>
  <si>
    <t>Moka / Roche Terre</t>
  </si>
  <si>
    <t>Khadaroo Rawsiya</t>
  </si>
  <si>
    <t>Royal Road, Camp Fouquereaux</t>
  </si>
  <si>
    <t>59144644 / 57061863</t>
  </si>
  <si>
    <t>Umme Farheena Kheedeer</t>
  </si>
  <si>
    <t>72 Lisley Geoffroy, Curepipe</t>
  </si>
  <si>
    <t>Neema Jugee</t>
  </si>
  <si>
    <t>Amanda Lagaule-Tsa Kwet Shin</t>
  </si>
  <si>
    <t>Corner Dupont &amp; Arrighi Street, Beau Bassin</t>
  </si>
  <si>
    <t>Mrs. Yashvini Issur</t>
  </si>
  <si>
    <t>Darshina Balloo</t>
  </si>
  <si>
    <t>Royal Road, Mare D'Albert</t>
  </si>
  <si>
    <t>Raffaut Annais</t>
  </si>
  <si>
    <t>Apt B03, Mont Gout, Pamplemousses</t>
  </si>
  <si>
    <t>Zahraa Lotun</t>
  </si>
  <si>
    <t>Misque Rd, Clairefond, Phoenix</t>
  </si>
  <si>
    <t>Shameera B Khodabocus</t>
  </si>
  <si>
    <t>Parisot Road, Jeetoo Lane, Mesnil, Phoenix</t>
  </si>
  <si>
    <t>Hesnah Badaree</t>
  </si>
  <si>
    <t>Sharmeen Oozeer</t>
  </si>
  <si>
    <t>Ebene Tower, Ebene</t>
  </si>
  <si>
    <t>Aisha Allyhosain Daureeawoo</t>
  </si>
  <si>
    <t>Bibi Nusayhah Mosaheb</t>
  </si>
  <si>
    <t>Church Road, Notre Dame</t>
  </si>
  <si>
    <t>Diksha Dabeeah</t>
  </si>
  <si>
    <t>Royal Road, Laventure</t>
  </si>
  <si>
    <t>Laventure</t>
  </si>
  <si>
    <t>Rishi Dayanand Street No. 2, Mahebourg</t>
  </si>
  <si>
    <t>Atish Purrahoo</t>
  </si>
  <si>
    <t>Innowear Ltd, Lockman Street, Mare d'Albert, Business Premises</t>
  </si>
  <si>
    <t>Ounisha Mungur Jowaheer</t>
  </si>
  <si>
    <t>22 Avenue des Flammants, Sodnac, Quatre-Bornes</t>
  </si>
  <si>
    <t>Moushtaq Mauderbacus Ahmad</t>
  </si>
  <si>
    <t>Royal Road, Bel-Air Rivière Sèche</t>
  </si>
  <si>
    <t>113 Avenue Ollier, Quatre Bornes</t>
  </si>
  <si>
    <t>Remy Ollier, Bonne Terre, Vacoas, Impasse Argentine 2</t>
  </si>
  <si>
    <t>Camp Le Juge, Curepipe</t>
  </si>
  <si>
    <t>Akifa Jowata</t>
  </si>
  <si>
    <t>25, Mamelon Vert, Vallée Pitot, Port Louis</t>
  </si>
  <si>
    <t>Vallée Pitot</t>
  </si>
  <si>
    <t>Houmerah Mungur</t>
  </si>
  <si>
    <t>Mungur Lane, Camp Diable</t>
  </si>
  <si>
    <t>11 rue Martindale, Beau Bassin</t>
  </si>
  <si>
    <t>Arlmeela Mareemootoo</t>
  </si>
  <si>
    <t>31 Farquhar Street, Rose Hill</t>
  </si>
  <si>
    <t>Divikshay Segobind</t>
  </si>
  <si>
    <t>Royal Road, Long Mountain</t>
  </si>
  <si>
    <t>Ayesha Shaik Hassen</t>
  </si>
  <si>
    <t>Brisée Verdière</t>
  </si>
  <si>
    <t>Timira Needhi Radhakeesoon</t>
  </si>
  <si>
    <t>Priyanka Soodhoo</t>
  </si>
  <si>
    <t>Sagar Lane, Camp Caval, Curepipe</t>
  </si>
  <si>
    <t>Zaahid Rujub</t>
  </si>
  <si>
    <t>Royal Road, Plaine des Papayes</t>
  </si>
  <si>
    <t>Massooda Bahadoor</t>
  </si>
  <si>
    <t>Route Royal, Curepipe (Amigos)</t>
  </si>
  <si>
    <t>Heetun Wahedah</t>
  </si>
  <si>
    <t>Avenue Cardinal 4, Pailles</t>
  </si>
  <si>
    <t>Neeloofur Omarjee</t>
  </si>
  <si>
    <t>Omarjee Shop - 26 Arcade Salaffa, Curepipe</t>
  </si>
  <si>
    <t>Khevna Lahoora</t>
  </si>
  <si>
    <t>Sangmitra Seetul Raggoo</t>
  </si>
  <si>
    <t>La Fourche Lane, Petite Rivière</t>
  </si>
  <si>
    <t>Ejaaz Eadally</t>
  </si>
  <si>
    <t>Seeboruth Yeshvi</t>
  </si>
  <si>
    <t>Avenue Mont Ida, Royal Road</t>
  </si>
  <si>
    <t>Drishtee Cheetoo</t>
  </si>
  <si>
    <t>Andre Petit Lane, Mare d’Albert</t>
  </si>
  <si>
    <t>Office: Vivea Business Park, Moka, Les Fascines Bldg B / Home: Community Centre Road, Roche Terre</t>
  </si>
  <si>
    <t>Alternate contact mother</t>
  </si>
  <si>
    <t>22 Edward Street, Valley-Pitot, Port-Louis</t>
  </si>
  <si>
    <t>Delivery only weekdays</t>
  </si>
  <si>
    <t>Route Royale Visitation (Opposite Visitation Church), Vacoas</t>
  </si>
  <si>
    <t>Royal Road, Caroline Bel Air, Riviere Seche</t>
  </si>
  <si>
    <t>Bel Air Rivière Sèche</t>
  </si>
  <si>
    <t>Mare d’Albert</t>
  </si>
  <si>
    <t>57733090 / 57733090</t>
  </si>
  <si>
    <t>Deliver before 3pm (workplace)</t>
  </si>
  <si>
    <t>Deloitte House, Ébène (opp. Standard Chartered Tower)</t>
  </si>
  <si>
    <t>Ébène</t>
  </si>
  <si>
    <t>Deliver Thu 4th / Fri 5th, 12–13h</t>
  </si>
  <si>
    <t>(2 parcels)</t>
  </si>
  <si>
    <t>Petite Rivière</t>
  </si>
  <si>
    <t>If no one home, deliver at Tribeca Mall</t>
  </si>
  <si>
    <t>Clinique Darne, Floreal</t>
  </si>
  <si>
    <t>Orchard Center, Quatre Bornes</t>
  </si>
  <si>
    <t>Sailen Sadian (Keshinee Mootialloo)</t>
  </si>
  <si>
    <t>5 Pere Farelly Lane, Quatre Bornes (Nearby St Esprit College)</t>
  </si>
  <si>
    <t>Darné (Deliver 10:00–17:00 (Fri 9–12 or 14–15 at Darné))</t>
  </si>
  <si>
    <t>Darné</t>
  </si>
  <si>
    <t>Rogers House, Port Louis (10:00–16:00) / 50 Avenue Le Conte de Lisle, Rose Hill (after 16:00)</t>
  </si>
  <si>
    <t>Port Louis / Plaines Wilhems</t>
  </si>
  <si>
    <t>Port Louis / Rose Hill</t>
  </si>
  <si>
    <t>Govindasamy Daamini</t>
  </si>
  <si>
    <t>Mosque Road, Souillac</t>
  </si>
  <si>
    <t>Mont Gout</t>
  </si>
  <si>
    <t>Deliver at Lolo Hyper, Consigne</t>
  </si>
  <si>
    <t>Umayraa Boodhoo</t>
  </si>
  <si>
    <t>18 Perimbe, Port Louis</t>
  </si>
  <si>
    <t>Triton Karen</t>
  </si>
  <si>
    <t>55 Avenue Dr. Piarroux, Camp-Levieux, Rose Hill</t>
  </si>
  <si>
    <t>Glen Park, Vacoas (weekend) / Orchard Center, Quatre Bornes (Mon)</t>
  </si>
  <si>
    <t>Vacoas / Q. Bornes</t>
  </si>
  <si>
    <t>Tarushi Boodhna</t>
  </si>
  <si>
    <t>Boodhna Lane, Floreal</t>
  </si>
  <si>
    <t>Chemin 20 Pieds, Grand Baie</t>
  </si>
  <si>
    <t>34 Dr. Henry Seneque, Belle Village, Port Louis</t>
  </si>
  <si>
    <t>Belle Village</t>
  </si>
  <si>
    <t>Earally Rukhsaar</t>
  </si>
  <si>
    <t>Sir Celicourt Antelme Street, after Bloc Les Colonies, Forest Side</t>
  </si>
  <si>
    <t>Urvashi Bundhoo</t>
  </si>
  <si>
    <t>Royal Road, Bramsthan</t>
  </si>
  <si>
    <t>Asma Ghanty</t>
  </si>
  <si>
    <t>Impasse Hirondelle, Quinze Cantons, Vacoas</t>
  </si>
  <si>
    <t>Faraha Ganga</t>
  </si>
  <si>
    <t>Martine Road, Montagne Blanche</t>
  </si>
  <si>
    <t>Julie Robertson</t>
  </si>
  <si>
    <t>Mariamen Temple Road, Lallmatie</t>
  </si>
  <si>
    <t>Hanselie René</t>
  </si>
  <si>
    <t>29, Édouard Nairac, Chebel, Beau Bassin</t>
  </si>
  <si>
    <t>Kawsar Subratty</t>
  </si>
  <si>
    <t>Temple Road 1, Amaury</t>
  </si>
  <si>
    <t>57824294 / 57964791</t>
  </si>
  <si>
    <t>Dasambal Perianen</t>
  </si>
  <si>
    <t>12 Dr Castel, Rose Hill</t>
  </si>
  <si>
    <t>Oodally Haajra Bibi Umaira</t>
  </si>
  <si>
    <t>Avenue Victoire, Bel Air, Riviere Seche</t>
  </si>
  <si>
    <t>Swati Mungur</t>
  </si>
  <si>
    <t>Royal Road, Roche Terre (Grand Gaube)</t>
  </si>
  <si>
    <t>Annick Mootooveeren</t>
  </si>
  <si>
    <t>Canton Nancy</t>
  </si>
  <si>
    <t>Mrs. Sahida Rojee</t>
  </si>
  <si>
    <t>54 Alma P Louis, Vallee Pitot</t>
  </si>
  <si>
    <t>59153632 / 57800614</t>
  </si>
  <si>
    <t>Keshni</t>
  </si>
  <si>
    <t>26 Impasse Gorah Issac, Port Louis</t>
  </si>
  <si>
    <t>Reena Kauroo</t>
  </si>
  <si>
    <t xml:space="preserve"> La Marie Rd, Glen Park, Vacoas.vis a vis quinquaillerie ANSV</t>
  </si>
  <si>
    <t>Vis-à-vis DHL, Port Louis (near MRA building) - Mon–Fri - 9:30–11:30, 13:30–15:30</t>
  </si>
  <si>
    <t>Aminou Golamhossen</t>
  </si>
  <si>
    <t>Mosque Road, Riche Mare, Centre De Flacq</t>
  </si>
  <si>
    <t>Sehyogeeta Beechook</t>
  </si>
  <si>
    <t>Mongelard Road, Rose-Belle</t>
  </si>
  <si>
    <t>Sarah Serajuddy</t>
  </si>
  <si>
    <t>Belmont View, Montee Bastille, Trou d’Eau Douce</t>
  </si>
  <si>
    <t>Trou d’Eau Douce</t>
  </si>
  <si>
    <t>Medha Pirthee</t>
  </si>
  <si>
    <t>School Lane, La Rosa, New Grove</t>
  </si>
  <si>
    <t>Aznah Damree</t>
  </si>
  <si>
    <t>Ave Eucalyptus Domaine Du Moulin</t>
  </si>
  <si>
    <t>Hiteesha Mohabeer</t>
  </si>
  <si>
    <t>Royal Road, Mare Tabac</t>
  </si>
  <si>
    <t>Aïsha Suhaylah Hosany</t>
  </si>
  <si>
    <t>Clairfonds Lane No.2, Morc Cooperative, Solferino</t>
  </si>
  <si>
    <t>Manisha Lokhun Gunputh (Profel Ltd)</t>
  </si>
  <si>
    <t>Rajoo Road, Quartier Militaire</t>
  </si>
  <si>
    <t>Eathally Shaheen (c/o Madarbukus Shameem)</t>
  </si>
  <si>
    <t>68, Avenue Antelmes</t>
  </si>
  <si>
    <t>Indiana Katy Nicole Chelmiah</t>
  </si>
  <si>
    <t>10 Ave Dr Leclezio</t>
  </si>
  <si>
    <t>Hannaa Sesoof</t>
  </si>
  <si>
    <t>Église St Thérèse</t>
  </si>
  <si>
    <t>Roukshar Bhoondoo</t>
  </si>
  <si>
    <t>La Caverne No.1</t>
  </si>
  <si>
    <t>Shaad Elaheebocus</t>
  </si>
  <si>
    <t>Bosquet Road</t>
  </si>
  <si>
    <t>Shelena Sauhoboa</t>
  </si>
  <si>
    <t>Residence CIM, No 24</t>
  </si>
  <si>
    <t>68, Sadally Road</t>
  </si>
  <si>
    <t>Ragini Soopramanien</t>
  </si>
  <si>
    <t>Royal Road, St Julien Village</t>
  </si>
  <si>
    <t>Poonam Bissoonauthsing</t>
  </si>
  <si>
    <t>Chummun Lane</t>
  </si>
  <si>
    <t>Neelam Seechurun</t>
  </si>
  <si>
    <t>Madoo Lane</t>
  </si>
  <si>
    <t>Riviere des Creoles</t>
  </si>
  <si>
    <t>Liana Soomaroo</t>
  </si>
  <si>
    <t>Royal Road, 8ème Mille</t>
  </si>
  <si>
    <t>Gukhool Bibi Hafsah</t>
  </si>
  <si>
    <t>Oree Lane</t>
  </si>
  <si>
    <t>58835142 / 58382462</t>
  </si>
  <si>
    <t>Delivery for Akhmez Herburrun</t>
  </si>
  <si>
    <t>1st Floor, MCBQ iQ, Royal Road</t>
  </si>
  <si>
    <t>Wahida Bolaky</t>
  </si>
  <si>
    <t>Padaruth Lane</t>
  </si>
  <si>
    <t>21 Gaston Martin Street</t>
  </si>
  <si>
    <t>Oozir Zaahirah Bibi</t>
  </si>
  <si>
    <t>Mahant Kabir Rd, Closel</t>
  </si>
  <si>
    <t>27, Morcellement Bellouguet, Brown Sequard Street</t>
  </si>
  <si>
    <t>Yusriyya Aubeeluck</t>
  </si>
  <si>
    <t>23 Lenepveu St</t>
  </si>
  <si>
    <t>Rutaibah Teemul</t>
  </si>
  <si>
    <t>Lot No 92, Morcellement Deep River, Pont Lardier</t>
  </si>
  <si>
    <t>Shrishti Bonomally</t>
  </si>
  <si>
    <t>Avenue Flamants, Lot 201, Morcellement Safeland</t>
  </si>
  <si>
    <t>Municipality of Vacoas-Phoenix</t>
  </si>
  <si>
    <t>Madhuri Rajcoomar</t>
  </si>
  <si>
    <t>E.A.L Man Hin &amp; Sons Ltd, 31 Brabant Street</t>
  </si>
  <si>
    <t>Azza</t>
  </si>
  <si>
    <t>Feel Villa, Chemin 20 Pied</t>
  </si>
  <si>
    <t>La Source</t>
  </si>
  <si>
    <t>Ramana Lane, Riche Mare</t>
  </si>
  <si>
    <t>Medha Ramsurrun</t>
  </si>
  <si>
    <t>Tamil temple road</t>
  </si>
  <si>
    <t>57909888 / 58365081</t>
  </si>
  <si>
    <t>Mahatma Gandhi Lane, Morc Foolee</t>
  </si>
  <si>
    <t>Mrs Khalida Sohun</t>
  </si>
  <si>
    <t>Coorperative road</t>
  </si>
  <si>
    <t>14 Eagle Street, Morcellement La Confiance</t>
  </si>
  <si>
    <t>Sharvana Rughoo</t>
  </si>
  <si>
    <t>163 Royal Road, Paillotte Candos</t>
  </si>
  <si>
    <t>Ramsurn Soodevi</t>
  </si>
  <si>
    <t>Govindan Lane, Gebert Road</t>
  </si>
  <si>
    <t>Roksana</t>
  </si>
  <si>
    <t>Petite Bel Air, Mahebourg</t>
  </si>
  <si>
    <t>Lakshna Soondur</t>
  </si>
  <si>
    <t>Jugdambi Road</t>
  </si>
  <si>
    <t>Junayd Kurreembukus</t>
  </si>
  <si>
    <t>Le Kafé</t>
  </si>
  <si>
    <t>Nélia Rujbally</t>
  </si>
  <si>
    <t>Quickens</t>
  </si>
  <si>
    <t>Prasheetah Lungtoo</t>
  </si>
  <si>
    <t>Chinniah Rd</t>
  </si>
  <si>
    <t>Maladevi Dhunoo</t>
  </si>
  <si>
    <t>Ruisseau Rose</t>
  </si>
  <si>
    <t>Raleeb Beeharry</t>
  </si>
  <si>
    <t>Grewals Lane</t>
  </si>
  <si>
    <t>Diksha Ramtohul</t>
  </si>
  <si>
    <t>Sparrow Lane</t>
  </si>
  <si>
    <t>Rouna Avala Gurayya</t>
  </si>
  <si>
    <t>Radhakissoon Road</t>
  </si>
  <si>
    <t>Boulet Rouge, Centre de Flacq</t>
  </si>
  <si>
    <t>Bhumisha Bundhoo</t>
  </si>
  <si>
    <t>Brinda Levaillant</t>
  </si>
  <si>
    <t>Route Palma</t>
  </si>
  <si>
    <t>Ashna Buldan</t>
  </si>
  <si>
    <t>Latapie Road</t>
  </si>
  <si>
    <t>59230444 / 57823090</t>
  </si>
  <si>
    <t>Dameshwaree Heerah</t>
  </si>
  <si>
    <t>St Julien d'Hotman</t>
  </si>
  <si>
    <t>Remy Ollier</t>
  </si>
  <si>
    <t>7 Exchange Square Building, Wall Street</t>
  </si>
  <si>
    <t>Nuzhah Parahoo</t>
  </si>
  <si>
    <t>L'agrement</t>
  </si>
  <si>
    <t>Nab Makeup, 10 Route Bassin</t>
  </si>
  <si>
    <t>Doreena Maroothanadan</t>
  </si>
  <si>
    <t>Mont Fertile</t>
  </si>
  <si>
    <t>Rushaa Beharry</t>
  </si>
  <si>
    <t>A4, Comets Lane</t>
  </si>
  <si>
    <t>Av Cardinaux, Seaview Terrace</t>
  </si>
  <si>
    <t xml:space="preserve">Spicy Bites </t>
  </si>
  <si>
    <t>Nussaibah Seethamah</t>
  </si>
  <si>
    <t>Vingta Lane No.1 , Vacoas</t>
  </si>
  <si>
    <t>Belvedere Road, Brisée Verdire</t>
  </si>
  <si>
    <t>Brisée Verdire</t>
  </si>
  <si>
    <t>Workshop17 The Precinct, The Vale</t>
  </si>
  <si>
    <t>Jyotsnee Danny</t>
  </si>
  <si>
    <t>Subhasni Ramtohul</t>
  </si>
  <si>
    <t>Spicy Bites</t>
  </si>
  <si>
    <t>Prista Chellaya</t>
  </si>
  <si>
    <t>Pleine Magnien</t>
  </si>
  <si>
    <t>52813256 / 58892768</t>
  </si>
  <si>
    <t xml:space="preserve">Punam Madhow </t>
  </si>
  <si>
    <t>4Bords Raod, Bon Acceuil</t>
  </si>
  <si>
    <t>Bon Acceuil</t>
  </si>
  <si>
    <t>Laksh Ramtohul</t>
  </si>
  <si>
    <t>Ave De Colombre, Mont Ida</t>
  </si>
  <si>
    <t>Toshna Mudhoo Dookee</t>
  </si>
  <si>
    <t>Shamneez Hosany</t>
  </si>
  <si>
    <t>Mosque Road, Rose Belle</t>
  </si>
  <si>
    <t>Jessika Approo</t>
  </si>
  <si>
    <t>Liovanni Lutchmanen</t>
  </si>
  <si>
    <t>Anusha Seecharn</t>
  </si>
  <si>
    <t>Bholah Wardah</t>
  </si>
  <si>
    <t>Isidora Geoffroy</t>
  </si>
  <si>
    <t>Baie du Cap</t>
  </si>
  <si>
    <t>Nooshika Jodha</t>
  </si>
  <si>
    <t>Waffiyah Mooradhun</t>
  </si>
  <si>
    <t>Morcellement St André</t>
  </si>
  <si>
    <t>Prema Nuckcheddee</t>
  </si>
  <si>
    <t>Castel, Vacoas</t>
  </si>
  <si>
    <t>Christina Curpen Totah</t>
  </si>
  <si>
    <t>Queen Victoria</t>
  </si>
  <si>
    <t>Hashwinee Seeneevassen</t>
  </si>
  <si>
    <t>Zainab Dowlut</t>
  </si>
  <si>
    <t>Avenue Bengali 2</t>
  </si>
  <si>
    <t>Beebee Nafeesah Mohseen Roojee</t>
  </si>
  <si>
    <t>Suhaylah Duymun</t>
  </si>
  <si>
    <t>Zameelah Mahaboob</t>
  </si>
  <si>
    <t>Yumnah Mangalkhan</t>
  </si>
  <si>
    <t>Husnoo Benazir</t>
  </si>
  <si>
    <t>Chattargoon Lane, L’Escalier</t>
  </si>
  <si>
    <t>Old Grand Port Road, Quartier Militaire</t>
  </si>
  <si>
    <t>Royal Road, Baie du Cap</t>
  </si>
  <si>
    <t>Vaudagne Road, Bambous</t>
  </si>
  <si>
    <t>SSR Street, Pamplemousses</t>
  </si>
  <si>
    <t>Residence CIM, No 24, Rivière du Rempart</t>
  </si>
  <si>
    <t>Allée Brillant, Castel, Vacoas</t>
  </si>
  <si>
    <t>Morcellement La Vallée, Le Cornu, St Croix</t>
  </si>
  <si>
    <t>Royal Road, Queen Victoria</t>
  </si>
  <si>
    <t>48c Rempart Road, Glen Park</t>
  </si>
  <si>
    <t>64 Royal Road, Beau Bassin</t>
  </si>
  <si>
    <t>Maternelle Road, Caroline</t>
  </si>
  <si>
    <t>1 Boulevard Pitot Street, Port Louis</t>
  </si>
  <si>
    <t>Manganlall Desai Street, Beau Bassin (near Vele Govinden Govt School)</t>
  </si>
  <si>
    <t>6A Toureau Lane, Stanley, Rose Hill</t>
  </si>
  <si>
    <t>Shadiyah Munglah</t>
  </si>
  <si>
    <t>The Cubicle, Phoenix (Workplace)</t>
  </si>
  <si>
    <t>Deliver between 8:30–17:00 (workplace only)</t>
  </si>
  <si>
    <t>Allée Tamarin, Gandhi Lane, Bambous</t>
  </si>
  <si>
    <t>Zaynah Joomun</t>
  </si>
  <si>
    <t>58071630 / 55366046</t>
  </si>
  <si>
    <t>Bonnefin, Pailles or Ebene</t>
  </si>
  <si>
    <t>Port Louis/Plaines Wilhems</t>
  </si>
  <si>
    <t>Pailles/Ebene</t>
  </si>
  <si>
    <t>Rusmaully Sadiyah</t>
  </si>
  <si>
    <t>9th Mile, Trio Road, Triolet</t>
  </si>
  <si>
    <t>Haadiyah Islam</t>
  </si>
  <si>
    <t>SSR Street, Château Bénarès</t>
  </si>
  <si>
    <t>Gobin Tanvee</t>
  </si>
  <si>
    <t>Trou aux Biches</t>
  </si>
  <si>
    <t>59098301 / 57599025</t>
  </si>
  <si>
    <t>Bavna Sakurdeep</t>
  </si>
  <si>
    <t>Riverside Road, La Laura, St Pierre</t>
  </si>
  <si>
    <t>Naela Yousouf Jhuboo</t>
  </si>
  <si>
    <t>Beau Bassin or Coromandel (depending on delivery time)</t>
  </si>
  <si>
    <t>Beau Bassin/Coromandel</t>
  </si>
  <si>
    <t>Jenita Rughoobur</t>
  </si>
  <si>
    <t>Monc Mdmt, Highlands, Phoenix</t>
  </si>
  <si>
    <t>Jessica Anicet</t>
  </si>
  <si>
    <t>Chemin la Grotte, Malakoff, Trois Boutiques</t>
  </si>
  <si>
    <t>Ramsamy Anshini</t>
  </si>
  <si>
    <t>Camp Caval, Rungasamy Lane, Curepipe</t>
  </si>
  <si>
    <t>No. 71, Highlands Rose, Highlands</t>
  </si>
  <si>
    <t>Safinaaz Barahim</t>
  </si>
  <si>
    <t>Lot 52, Ebene Tower, Ebene (Excel Intl Co Ltd)</t>
  </si>
  <si>
    <t>Madhuri Padaruth</t>
  </si>
  <si>
    <t>Hans Dax</t>
  </si>
  <si>
    <t>E01 Rés Les Daguets, L’Assurance, Dagotiere</t>
  </si>
  <si>
    <t>Jevina Govinden</t>
  </si>
  <si>
    <t>2 Cremation Lane, Palma, Quatre Bornes</t>
  </si>
  <si>
    <t>Deeya Henri</t>
  </si>
  <si>
    <t>The Core, Ebene</t>
  </si>
  <si>
    <t>Shaheen Jaulim</t>
  </si>
  <si>
    <t>Robert Stein, Camp Chapelon</t>
  </si>
  <si>
    <t>Abadoo Tanweer</t>
  </si>
  <si>
    <t>20 Pieds Road, Triolet</t>
  </si>
  <si>
    <t>Mahysha Rujbally</t>
  </si>
  <si>
    <t>589 rue Bernardin de St Pierre, Ally Lane, Vallée des Prêtres</t>
  </si>
  <si>
    <t>Nazira Issimdar</t>
  </si>
  <si>
    <t>Henrietta, Vacoas</t>
  </si>
  <si>
    <t>Dilmahomed Nazima</t>
  </si>
  <si>
    <t>Mambahal Road, Hulkhory Street, Bois Chéri</t>
  </si>
  <si>
    <t>Bois Chéri</t>
  </si>
  <si>
    <t>Shireen Ally Asghar</t>
  </si>
  <si>
    <t>Oozeerally Lane, Midlands</t>
  </si>
  <si>
    <t>Alia Siddiqa Khodabux</t>
  </si>
  <si>
    <t>68 Blondeau Street, Rose Hill</t>
  </si>
  <si>
    <t>Shirine Mahomed hossen</t>
  </si>
  <si>
    <t>Shakespeare road, Grande Retraite</t>
  </si>
  <si>
    <t>Sandhia  koonja</t>
  </si>
  <si>
    <t>Printaniere street, Central flacq</t>
  </si>
  <si>
    <t>Central flacq</t>
  </si>
  <si>
    <t>Krishnee Doorgachurn</t>
  </si>
  <si>
    <t>Rue de l'institut, 4th floor, Ebene Skies, Ebene</t>
  </si>
  <si>
    <t>Shekar Surowan</t>
  </si>
  <si>
    <t>Ebony Restaurant, La Marie, Vacoas</t>
  </si>
  <si>
    <t>Morcellement Ythier, Kooraram Avenue, Belle Rose/         Gnp Wear Co Ltd, Seesunkur Road, Quartier militaire</t>
  </si>
  <si>
    <t>Belle Rose/ Quartier militaire</t>
  </si>
  <si>
    <t>Hassinah Bavasaib</t>
  </si>
  <si>
    <t>Lamarie Road, Glen Park, Vacoas</t>
  </si>
  <si>
    <t>Eshna Sookun</t>
  </si>
  <si>
    <t>Royal Road, Pont Praslin, Brisee Verdiere</t>
  </si>
  <si>
    <t>Brisee Verdiere</t>
  </si>
  <si>
    <t>Aroonah sundhoo</t>
  </si>
  <si>
    <t>Royal Road, Save &amp; Win Supermarket, Trou Deau Douce</t>
  </si>
  <si>
    <t>Trou Deau Douce</t>
  </si>
  <si>
    <t>Mahatma Gandhi Lane, Morc Foolee, St Julien D'Hotman</t>
  </si>
  <si>
    <t>Tamil Temple Rd, Creve Coeur (To collect one dress back)</t>
  </si>
  <si>
    <t>Hassenbee HOSENALLY</t>
  </si>
  <si>
    <t>Ramjon Route Jhose, Terre Rouge</t>
  </si>
  <si>
    <t>PRIYA BUNDHOO</t>
  </si>
  <si>
    <t>MCIA HEAD OFFICE, MSIRI COMPLEX, REDUIT</t>
  </si>
  <si>
    <t>Ramphul Kirtee</t>
  </si>
  <si>
    <t>Kerali Restaurant, St François, Calodyne</t>
  </si>
  <si>
    <t>Mohung Saniyah</t>
  </si>
  <si>
    <t>Deevya Baumee</t>
  </si>
  <si>
    <t>Shaheen Beeharry</t>
  </si>
  <si>
    <t>Zubeda Therese</t>
  </si>
  <si>
    <t>Yajvi Teelokee</t>
  </si>
  <si>
    <t>Camp Thorel</t>
  </si>
  <si>
    <t>Manasvee Dhunnoo</t>
  </si>
  <si>
    <t>58096385 / 58243438</t>
  </si>
  <si>
    <t>Wardah Pheerunggee</t>
  </si>
  <si>
    <t>Reza Tourabaly</t>
  </si>
  <si>
    <t>Nawsheen Dullull</t>
  </si>
  <si>
    <t>Amailia Dowlet</t>
  </si>
  <si>
    <t>Joshen Ragaven</t>
  </si>
  <si>
    <t>Vidushi Ramdawa</t>
  </si>
  <si>
    <t>Camp des Embrevades 21007</t>
  </si>
  <si>
    <t>Prayashinee Narain</t>
  </si>
  <si>
    <t>Nidhi Jogessur</t>
  </si>
  <si>
    <t>Cantin Road, Vacoas</t>
  </si>
  <si>
    <t>Cemetery Road, L’Escalier</t>
  </si>
  <si>
    <t>Adventist Road, Rivière des Anguilles</t>
  </si>
  <si>
    <t>Parisot Road, Mesnil</t>
  </si>
  <si>
    <t>Cyril Lagesse Lane, near Pharmacy Lo, Grand Bay</t>
  </si>
  <si>
    <t>Royal Road, Camp Thorel</t>
  </si>
  <si>
    <t>School Lane, Laventure</t>
  </si>
  <si>
    <t>Mongelard Road, Rose Belle</t>
  </si>
  <si>
    <t>1 Guimbeau Street, Port Louis</t>
  </si>
  <si>
    <t>8 Rue Kolatiers Barkly, Beau Bassin</t>
  </si>
  <si>
    <t>19 Riverwalk, Vacoas</t>
  </si>
  <si>
    <t>Royal Road, near Twilight Shop, Grand Bois</t>
  </si>
  <si>
    <t>Clairfond No.1, Phoenix</t>
  </si>
  <si>
    <t>The Core, Ebene (Exchange delivery)</t>
  </si>
  <si>
    <t>Aqua Controllers Ltd, Business Center, Vacoas</t>
  </si>
  <si>
    <t>New Road, Roches Noires (Urgent)</t>
  </si>
  <si>
    <t>Veena Bassoo</t>
  </si>
  <si>
    <t>Raghoo lane, Paillotte, Q Bornes</t>
  </si>
  <si>
    <t>SICOM Tower, Ebene</t>
  </si>
  <si>
    <t>Marie Magalie Laretif</t>
  </si>
  <si>
    <t>Saint-Pierre</t>
  </si>
  <si>
    <t>Work: Phoenix (08:30–17:30); Home after 17:30</t>
  </si>
  <si>
    <t>Keshni Caulloo</t>
  </si>
  <si>
    <t>Royal Road, Petite Rivière</t>
  </si>
  <si>
    <t>27 Morcellement Bellouguet, Brown Sequard Street, Curepipe</t>
  </si>
  <si>
    <t>Wajiihah Bujhoo</t>
  </si>
  <si>
    <t>Espérance Piton, Piton</t>
  </si>
  <si>
    <t>Zainab Somally</t>
  </si>
  <si>
    <t>Jandoo Lane, Camp Diable</t>
  </si>
  <si>
    <t>Sonali Chummun</t>
  </si>
  <si>
    <t>5 Remy Ollier, Beau Bassin (near Balfour/Jules Koenig Govt. School)</t>
  </si>
  <si>
    <t>Ayesha Sheikhassen</t>
  </si>
  <si>
    <t>Zakiyah Delior</t>
  </si>
  <si>
    <t>SBM Tower, Ebene</t>
  </si>
  <si>
    <t>Parinishtha Tengory</t>
  </si>
  <si>
    <t>Prince Lane, L’Escalier</t>
  </si>
  <si>
    <t>Deval Ancharaz</t>
  </si>
  <si>
    <t>Brahma Kumari Lane, St Ursule</t>
  </si>
  <si>
    <t>Shobna Ramdour</t>
  </si>
  <si>
    <t>Coastal Road, Poste La Fayette (near Jalsa Beach Hotel)</t>
  </si>
  <si>
    <t>Poste La Fayette</t>
  </si>
  <si>
    <t>Nisha Jaun</t>
  </si>
  <si>
    <t>Priyam Mattarooa</t>
  </si>
  <si>
    <t>Mattarooa Road, Camp Thorel (delivery at MES office)</t>
  </si>
  <si>
    <t>Bibi Ameenah Boolaky</t>
  </si>
  <si>
    <t>Royal Road, Pont Praslin</t>
  </si>
  <si>
    <t>Pont Praslin</t>
  </si>
  <si>
    <t>Samiah Puttaroo</t>
  </si>
  <si>
    <t>Shayma Jahangeer Bhowrow</t>
  </si>
  <si>
    <t>Royal Road, Mont Ida</t>
  </si>
  <si>
    <t>Zabeen Nassmally</t>
  </si>
  <si>
    <t>Chapel Lane, L’Escalier</t>
  </si>
  <si>
    <t>Yushra Islam</t>
  </si>
  <si>
    <t>Royal Road, Château Bénarès</t>
  </si>
  <si>
    <t>Château Bénarès</t>
  </si>
  <si>
    <t>Bhoovana Dinoo</t>
  </si>
  <si>
    <t>Commerford Street, Curepipe</t>
  </si>
  <si>
    <t>58097245 / 59417002</t>
  </si>
  <si>
    <t>Raeesah Rozbully</t>
  </si>
  <si>
    <t>13 Royal Road, Beau Bassin</t>
  </si>
  <si>
    <t>Jia Dawodharry</t>
  </si>
  <si>
    <t>Quartiers des Lauriers, Calodyne, Grand Gaube</t>
  </si>
  <si>
    <t>57792002 / 58591514</t>
  </si>
  <si>
    <t>Rammundun Hesika</t>
  </si>
  <si>
    <t>Allée Brillant, Castel</t>
  </si>
  <si>
    <t>Stacy Pierrus</t>
  </si>
  <si>
    <t>Natec Medical (work hours) OR 73 Avenue Plymouth, Circonstance, St Pierre</t>
  </si>
  <si>
    <t>Frederic de Chasteauneuf</t>
  </si>
  <si>
    <t>Coastal Road, Pointe d’Esny</t>
  </si>
  <si>
    <t>Pointe d’Esny</t>
  </si>
  <si>
    <t>Murden Steeven</t>
  </si>
  <si>
    <t>Bel Etang, Camp de Masque</t>
  </si>
  <si>
    <t>COD</t>
  </si>
  <si>
    <t>Aadiilah</t>
  </si>
  <si>
    <t>17 Madura Street, Port Louis</t>
  </si>
  <si>
    <t>Jenna Canousamy</t>
  </si>
  <si>
    <t>Renganaden Seenavassen Building, next to Emmanuel Anquetil, Port Louis</t>
  </si>
  <si>
    <t>Rosida Hossen Mamode</t>
  </si>
  <si>
    <t>14 D Seetulsing Street, Port Louis</t>
  </si>
  <si>
    <t>Drishta Naginlal Modi</t>
  </si>
  <si>
    <t>Cassis (before 16:00); Champs de Mars (after 16:00)</t>
  </si>
  <si>
    <t>Cassis / Champs de Mars</t>
  </si>
  <si>
    <t>Orchard Centre</t>
  </si>
  <si>
    <t>Bibi Naziha Hosenbocus</t>
  </si>
  <si>
    <t>Avenue François Mitterand, Royal Road, Centre de Flacq</t>
  </si>
  <si>
    <t>Phoenix (08:30–17:30)</t>
  </si>
  <si>
    <t>Cozy Burger - Beau Bassin</t>
  </si>
  <si>
    <t>Mehnaz Nundlall</t>
  </si>
  <si>
    <t>Belle Terre, Highlands</t>
  </si>
  <si>
    <t>Sheelah Goorapah</t>
  </si>
  <si>
    <t>Chaaya Ramkalawon</t>
  </si>
  <si>
    <t>57795317 / 4330917</t>
  </si>
  <si>
    <t>Radhay Road, Dagotiere</t>
  </si>
  <si>
    <t>Azrah Nazurally</t>
  </si>
  <si>
    <t>Shamila</t>
  </si>
  <si>
    <t>15 Cantons Road, Vacoas</t>
  </si>
  <si>
    <t>Alisha Ramessur Hansa</t>
  </si>
  <si>
    <t>Rubina Bushra Taujoo</t>
  </si>
  <si>
    <t>Tejusweeny Devi Rambaruth Seetohul</t>
  </si>
  <si>
    <t>Oumme Nadrah Bootun</t>
  </si>
  <si>
    <t>Vanousha Soobbooroyen</t>
  </si>
  <si>
    <t>59181266 / 59447188</t>
  </si>
  <si>
    <t>Vedeeksha Jang</t>
  </si>
  <si>
    <t>Rishita Joggessur</t>
  </si>
  <si>
    <t>Karishma Beeharry</t>
  </si>
  <si>
    <t>St André</t>
  </si>
  <si>
    <t>Ashifa Eckbarally</t>
  </si>
  <si>
    <t>Shruti</t>
  </si>
  <si>
    <t>Shaaheenah Mukoon</t>
  </si>
  <si>
    <t>Bithioo-Jeebun Lutchmee Devi</t>
  </si>
  <si>
    <t>Quatre Soeurs</t>
  </si>
  <si>
    <t>Cadersa Abdool Hamid</t>
  </si>
  <si>
    <t>Aashna Sookee</t>
  </si>
  <si>
    <t>Shameelah Boodhun</t>
  </si>
  <si>
    <t>Doorvashi Mohit</t>
  </si>
  <si>
    <t>Crève Cœur</t>
  </si>
  <si>
    <t>Urvi Bhoowabul</t>
  </si>
  <si>
    <t>Sheereen Somauroo</t>
  </si>
  <si>
    <t>Davina Mootien</t>
  </si>
  <si>
    <t>Poojahsen Gopal</t>
  </si>
  <si>
    <t>Dixsha Persand</t>
  </si>
  <si>
    <t>Ste Croix</t>
  </si>
  <si>
    <t>58248097 / 57547295</t>
  </si>
  <si>
    <t>Sanjana Poonith</t>
  </si>
  <si>
    <t>Nityananda Vythelingum</t>
  </si>
  <si>
    <t>Indramanee Kistnen</t>
  </si>
  <si>
    <t>D’Epinay</t>
  </si>
  <si>
    <t>Leena Trois</t>
  </si>
  <si>
    <t>Vishwani Sookhoo</t>
  </si>
  <si>
    <t>Thavisha Bhemah</t>
  </si>
  <si>
    <t>Sajra Mohun Owadally</t>
  </si>
  <si>
    <t>Alisha (Candos Hospital)</t>
  </si>
  <si>
    <t>Nisha</t>
  </si>
  <si>
    <t>Mauritius Post LTD GPO Counter, Sir William Newton Street (MPFE Department RIA), Port Louis 11328</t>
  </si>
  <si>
    <t>Lot 94, Providence, Quartier Militaire</t>
  </si>
  <si>
    <t>178 Avenue Perdrix, Terre d’Albion, Albion</t>
  </si>
  <si>
    <t>52 Hermitage Road, Coromandel</t>
  </si>
  <si>
    <t>Ebene, near DHL</t>
  </si>
  <si>
    <t>48 Residence Hibiscus, Flacq</t>
  </si>
  <si>
    <t>Bhagath Lane, Glen Park, Vacoas</t>
  </si>
  <si>
    <t>56 Palma Road, Quatre Bornes</t>
  </si>
  <si>
    <t>The Docks, Port Louis</t>
  </si>
  <si>
    <t>Rue Maurice, Mahebourg</t>
  </si>
  <si>
    <t>Chundunsing Lane, Morcellement St André, Pamplemousses</t>
  </si>
  <si>
    <t>Nanka Road, Riviere Du Rempart</t>
  </si>
  <si>
    <t>MyT Tower, Ebene</t>
  </si>
  <si>
    <t>Marie Jeanne Street, Quatre Soeurs (If 9am–3pm: Mediclinic Bel Air)</t>
  </si>
  <si>
    <t>Royal Road, Le Morne Village</t>
  </si>
  <si>
    <t>Le Morne</t>
  </si>
  <si>
    <t>Weekdays at Vivea (Moka), weekends Vacoas</t>
  </si>
  <si>
    <t>Rivalland Road, Crève Cœur</t>
  </si>
  <si>
    <t>73, Avenue John Kennedy, Vacoas</t>
  </si>
  <si>
    <t>Camizard Street, Mahebourg</t>
  </si>
  <si>
    <t>Petit Verger Branch Road, Saint Pierre</t>
  </si>
  <si>
    <t>Maeva Tower, Ebene</t>
  </si>
  <si>
    <t>La Mairee, Eau Coulée, Curepipe</t>
  </si>
  <si>
    <t>66, Avenue Telfair, Quatre-Bornes</t>
  </si>
  <si>
    <t>No. 8 Star Lane, off Ste Marie Street, Ste Croix, Port Louis</t>
  </si>
  <si>
    <t>Engrais Martial, Eau Coulée</t>
  </si>
  <si>
    <t>Salazie Road, Brisée Verdière</t>
  </si>
  <si>
    <t>Westland Complex, Avenue Petite Marie, Flic en Flac</t>
  </si>
  <si>
    <t>Melanie Road, D’Epinay</t>
  </si>
  <si>
    <t>Bras Road, Surinam</t>
  </si>
  <si>
    <t>Lenin Street, Fond du Sac</t>
  </si>
  <si>
    <t>SBM Tower (near Woolworths), Port Louis</t>
  </si>
  <si>
    <t>Mahogany Mall, Beau Plan</t>
  </si>
  <si>
    <t>Candos Hospital, Quatre Bornes</t>
  </si>
  <si>
    <t>R R Rapid Service, Plaine des Roches</t>
  </si>
  <si>
    <t>Nawshaba beebee Ashia Ramjean</t>
  </si>
  <si>
    <t>School Lane, Camp Diable</t>
  </si>
  <si>
    <t>Shahin Dookhy</t>
  </si>
  <si>
    <t>Royal Road, Grand Bois</t>
  </si>
  <si>
    <t>Hasnaa Boodoo</t>
  </si>
  <si>
    <t>La Lucie Rd, Bel Air Riviere Seche</t>
  </si>
  <si>
    <t>Dilshaad Ramtally</t>
  </si>
  <si>
    <t>Avenue Pengouin 2, Morcellement Pailles</t>
  </si>
  <si>
    <t>Ashka lallbeeharry</t>
  </si>
  <si>
    <t>Road Royal, L'Escalier</t>
  </si>
  <si>
    <t>Plain Verte, Port Louis</t>
  </si>
  <si>
    <t>Rushaa beeharry</t>
  </si>
  <si>
    <t xml:space="preserve">Luxe Miniatures </t>
  </si>
  <si>
    <t xml:space="preserve">77 Morc Blueprint, Circonstance </t>
  </si>
  <si>
    <t>Ambal Moorghen</t>
  </si>
  <si>
    <t>51 Senneville, Lees Street, Curepipe</t>
  </si>
  <si>
    <t>Michael Froget</t>
  </si>
  <si>
    <t>154 Avenue Des Roses, Morcellement Swan, Baie Du Tombeau</t>
  </si>
  <si>
    <t>Baie Du Tombeau</t>
  </si>
  <si>
    <t>Marie Josee Sham</t>
  </si>
  <si>
    <t>Ayoob Tegally Street, Curepipe</t>
  </si>
  <si>
    <t>Taujoo Shamailah</t>
  </si>
  <si>
    <t>1, Charles Lees Street, Rose Hill, Mauritius</t>
  </si>
  <si>
    <t>La Source, Centre de Flacq, Mauritius</t>
  </si>
  <si>
    <t>Humeira Hossenally</t>
  </si>
  <si>
    <t>Mosque Road, Morcellement Highlands, Highlands</t>
  </si>
  <si>
    <t>Evaco Group, Riviera Citron, Arsenal, Mauritius</t>
  </si>
  <si>
    <t>Noorbuccus Roshan</t>
  </si>
  <si>
    <t>Salazie Road, Brisée Verdière, Mauritius</t>
  </si>
  <si>
    <t>58160803 / 57942286</t>
  </si>
  <si>
    <t>Alternate school contact</t>
  </si>
  <si>
    <t>Roumaisha Khodabuccus</t>
  </si>
  <si>
    <t>54 Benares Street, Plaine Verte, Port Louis, Mauritius</t>
  </si>
  <si>
    <t>Nuzhat Durgauhee</t>
  </si>
  <si>
    <t>69 Blondeau Street, Rose Hill, Mauritius</t>
  </si>
  <si>
    <t>Fawwaaz Moraby</t>
  </si>
  <si>
    <t>Pandamanikum Lane, Sadally Road, Vacoas</t>
  </si>
  <si>
    <t>Yashna Kissoondhery</t>
  </si>
  <si>
    <t>Royal Road, Melrose, Mauritius OR M. Rambarrun Govt School, Royal Road, St Julien D’Hotman</t>
  </si>
  <si>
    <t>Melrose / St Julien D’Hotman</t>
  </si>
  <si>
    <t>Narod Nuha</t>
  </si>
  <si>
    <t>1, Ali Dore, Port Louis, Mauritius</t>
  </si>
  <si>
    <t>58116316 / 57994506</t>
  </si>
  <si>
    <t>Paveena Thajah</t>
  </si>
  <si>
    <t>1 Avenue des Poires, Pailles, Port Louis, Mauritius</t>
  </si>
  <si>
    <t>Saturday delivery request</t>
  </si>
  <si>
    <t>Hanaa Hosany</t>
  </si>
  <si>
    <t>Camp Fouquereaux, Mauritius</t>
  </si>
  <si>
    <t>Needed by Friday (bridal gift)</t>
  </si>
  <si>
    <t>Afeezah Moosun</t>
  </si>
  <si>
    <t>Royal Road, Lower Vale, Mauritius</t>
  </si>
  <si>
    <t>Brisée Verdière, Mauritius</t>
  </si>
  <si>
    <t>Royal Road, Mahebourg, Mauritius</t>
  </si>
  <si>
    <t>Davishka Asiriah</t>
  </si>
  <si>
    <t>Gunputh Lane, Mahebourg, Mauritius</t>
  </si>
  <si>
    <t>Kesheeka Bowanee Sookun</t>
  </si>
  <si>
    <t>Rajah Road, L'Esperance Trebuchet, Rivière Du Rempart, Mauritius</t>
  </si>
  <si>
    <t>L’Espérance Trébuchet</t>
  </si>
  <si>
    <t>Absa House, Ebene, Mauritius</t>
  </si>
  <si>
    <t>Duplicate across earlier lists</t>
  </si>
  <si>
    <t>Atish Choony</t>
  </si>
  <si>
    <t>Avenue Des Tulipes, Canot, Mauritius</t>
  </si>
  <si>
    <t>Canot</t>
  </si>
  <si>
    <t>Sajeda Hori Naiko</t>
  </si>
  <si>
    <t>D7 Sugareef Complex, Coastal Road, Flic en Flac</t>
  </si>
  <si>
    <t>Mehnaz Abdool</t>
  </si>
  <si>
    <t>Bois Doiseau Road, Gros Billot, New Grove, Mauritius</t>
  </si>
  <si>
    <t>Keshini Redini</t>
  </si>
  <si>
    <t>A4 Crémation Lane, Tranquebar, Port Louis, Mauritius</t>
  </si>
  <si>
    <t>Priyanka Balgobin</t>
  </si>
  <si>
    <t>Kestrel Avenue, Canton Belle Eau, Pamplemousses, Mauritius</t>
  </si>
  <si>
    <t>Belle Eau</t>
  </si>
  <si>
    <t>Laïllah Peeroo</t>
  </si>
  <si>
    <t>Dudhee Lane, Hollyrood No.1, Vacoas</t>
  </si>
  <si>
    <t>Jottee Poyrooo</t>
  </si>
  <si>
    <t>Royal Road, Pointe aux Feuilles, next to Ferme Marine</t>
  </si>
  <si>
    <t>Pointe aux Feuilles</t>
  </si>
  <si>
    <t>Avisha Sookun</t>
  </si>
  <si>
    <t>Residence Palmyre, Avenue Alamanda, Flic en Flac</t>
  </si>
  <si>
    <t>Catheriona Law Kwet Chun</t>
  </si>
  <si>
    <t>Casse Ghoon Road, Pointe aux Canonniers</t>
  </si>
  <si>
    <t>Sarita Ragoobar</t>
  </si>
  <si>
    <t>Ministry Agro Forestry Service, Curepipe</t>
  </si>
  <si>
    <t>Damini Ancharaz</t>
  </si>
  <si>
    <t>Royal Road, St Julien D’Hotman, Mauritius</t>
  </si>
  <si>
    <t>St Julien D’Hotman</t>
  </si>
  <si>
    <t>Meha Jaulimsing</t>
  </si>
  <si>
    <t>200 Allée Brillant, Vacoas</t>
  </si>
  <si>
    <t>Radiyyah Peerbux</t>
  </si>
  <si>
    <t>Peerbux Road, Surinam</t>
  </si>
  <si>
    <t>Aaleyah Subrattee</t>
  </si>
  <si>
    <t>Plaine des Gersigney, Lotus 3, Centre de Flacq</t>
  </si>
  <si>
    <t>Yashwini Raghubur</t>
  </si>
  <si>
    <t>33A Independence Street, Vacoas</t>
  </si>
  <si>
    <t>Nushrat Seethamah</t>
  </si>
  <si>
    <t>92 Alma, Vallée Pitot, Port Louis</t>
  </si>
  <si>
    <t>Anooka Krishnan</t>
  </si>
  <si>
    <t>Riche Mare Cemetery Road, Central Flacq (Anu Makeup Artist)</t>
  </si>
  <si>
    <t>Yusrah Hossenny</t>
  </si>
  <si>
    <t>Amrita Premchand</t>
  </si>
  <si>
    <t>Old Savanne Road, Britannia</t>
  </si>
  <si>
    <t>Eshna Mohabeer</t>
  </si>
  <si>
    <t>Ruchita Biefun</t>
  </si>
  <si>
    <t>Tamil Temple Road, Goodlands</t>
  </si>
  <si>
    <t>Sheehanne Myram</t>
  </si>
  <si>
    <t>Petit Chemin, Morcellement Roy (c/o Rehana Domun), Bel Air</t>
  </si>
  <si>
    <t>Shane Moonsawmy</t>
  </si>
  <si>
    <t>Residences Lavende, T44, Dagotiere</t>
  </si>
  <si>
    <t>47 Pavé D’amour, Coromandel</t>
  </si>
  <si>
    <t>Vikash Kawol</t>
  </si>
  <si>
    <t>Camp Domaingue, Petit Raffray</t>
  </si>
  <si>
    <t>5 Dr Bour Street, Rose Hill</t>
  </si>
  <si>
    <t>Zafiirah Mungly</t>
  </si>
  <si>
    <t>Royal Road, Mesnil</t>
  </si>
  <si>
    <t>Kawsar Boolaky</t>
  </si>
  <si>
    <t>Medine, Camp de Masque</t>
  </si>
  <si>
    <t>Mrs Dookhee Sheilana</t>
  </si>
  <si>
    <t>Royal Road, St Julien D’Hotman</t>
  </si>
  <si>
    <t>Jenna Pillay</t>
  </si>
  <si>
    <t>Renganaden Seenavassen Building, Port Louis</t>
  </si>
  <si>
    <t>Foorabally Hasnaa</t>
  </si>
  <si>
    <t>4 Ceylan, Camp Yoloff, Port Louis</t>
  </si>
  <si>
    <t>Camp Yoloff</t>
  </si>
  <si>
    <t>Sanjaana Thakooree</t>
  </si>
  <si>
    <t>38, Morcellement VRS 2, L’Avenir, St Pierre</t>
  </si>
  <si>
    <t>Ashi Neerputh Roopnarain</t>
  </si>
  <si>
    <t>Royal Road, Midlands</t>
  </si>
  <si>
    <t>Sajra Mohun</t>
  </si>
  <si>
    <t>Preetybye Meghu</t>
  </si>
  <si>
    <t>Laporte Street, Poudre d’Or Hamlet</t>
  </si>
  <si>
    <t>Poudre d’Or Hamlet</t>
  </si>
  <si>
    <t>Ali</t>
  </si>
  <si>
    <t>Royal Road, Boulet Rouge, Central Flacq</t>
  </si>
  <si>
    <t>Boulet Rouge</t>
  </si>
  <si>
    <t>Sudhir</t>
  </si>
  <si>
    <t>Cozy Burger, Beau Bassin</t>
  </si>
  <si>
    <t>Vanelli Vyapooree</t>
  </si>
  <si>
    <t>Route Royale, en face du Centre Social d’Amaury, Amaury</t>
  </si>
  <si>
    <t>Priyanka Guttoo</t>
  </si>
  <si>
    <t>Louis de Rochecousye, Forest Side, Jasmin Lane</t>
  </si>
  <si>
    <t>Houmayra Noordaully</t>
  </si>
  <si>
    <t>Mosque Road, Cap Malheureux</t>
  </si>
  <si>
    <t>Tanweer Soobratty</t>
  </si>
  <si>
    <t>23, Chalets Street, Vallée-Pitot</t>
  </si>
  <si>
    <t>Vallée-Pitot</t>
  </si>
  <si>
    <t>Salauroo Saalihah</t>
  </si>
  <si>
    <t>401 Royal Road, Vallée des Prêtres</t>
  </si>
  <si>
    <t>Noorayah Street, Trèfle, Rose Hill</t>
  </si>
  <si>
    <t>Yoshida Khadun</t>
  </si>
  <si>
    <t>37 Avenue Corps de Garde, Trèfles, Rose Hill</t>
  </si>
  <si>
    <t>58113696 / 5861747</t>
  </si>
  <si>
    <t>Aurelie Ah Sue</t>
  </si>
  <si>
    <t>11119, Rue Bougainville, Terrasson, Pointe aux Sables</t>
  </si>
  <si>
    <t>Pointe aux Sables</t>
  </si>
  <si>
    <t>Mohamed Sadek Hosany</t>
  </si>
  <si>
    <t>Nexteracom, Tower 2, Ebene (weekdays only)</t>
  </si>
  <si>
    <t>Shivangee Ramkhelawon</t>
  </si>
  <si>
    <t>Shobha Lane, La Flora</t>
  </si>
  <si>
    <t>Ashraf Boojhawoonah</t>
  </si>
  <si>
    <t>Topize Road, Grand Baie</t>
  </si>
  <si>
    <t>57638273 / 59176759</t>
  </si>
  <si>
    <t>Kamalam Goundan</t>
  </si>
  <si>
    <t>Gopal Lane, Rivière des Anguilles</t>
  </si>
  <si>
    <t>Morcellement Currumthalee, Glen Park</t>
  </si>
  <si>
    <t>Avenue des Colombes, Medine, Camp de Masque</t>
  </si>
  <si>
    <t>Sewpal Namita</t>
  </si>
  <si>
    <t>Tout Court Road, Camp Fouquereaux</t>
  </si>
  <si>
    <t>Dilmohamud Farheen</t>
  </si>
  <si>
    <t>Alisha Jokoo</t>
  </si>
  <si>
    <t>Phael Road, Highlands Phoenix</t>
  </si>
  <si>
    <t>Reena Namratta Nurseemooloo</t>
  </si>
  <si>
    <t>Royal Road, Tyack</t>
  </si>
  <si>
    <t>Musheerah Ruhomaully</t>
  </si>
  <si>
    <t>27 Avenue des Rosiers, Quatre Bornes</t>
  </si>
  <si>
    <t>23 Baxipea Street, Roche Bois</t>
  </si>
  <si>
    <t>Ashee Pirthee</t>
  </si>
  <si>
    <t>43 Sir Edward Nairac Street, Chebel, Beau Bassin</t>
  </si>
  <si>
    <t>21, Ail Doré, Plaine Verte</t>
  </si>
  <si>
    <t>Humaira Toorbuth</t>
  </si>
  <si>
    <t>Circonstance, St Pierre</t>
  </si>
  <si>
    <t>Mr Luc Gilles Rudy Lefranc</t>
  </si>
  <si>
    <t>Souffleur Street, Mahebourg</t>
  </si>
  <si>
    <t>Tharuna Sujeebun</t>
  </si>
  <si>
    <t>Jumbo Phoenix</t>
  </si>
  <si>
    <t>Shaneeah Oderuth</t>
  </si>
  <si>
    <t>Lot 7, Morcellement Verdun, Dagotiere</t>
  </si>
  <si>
    <t>Namratta Nurseemooloo</t>
  </si>
  <si>
    <t>Maison Coco, Edith Cavell Mall, Port Louis</t>
  </si>
  <si>
    <t>Vidoushi Purbhoo</t>
  </si>
  <si>
    <t>Jokhoo Road, Nouvelle Découverte, Saint Pierre</t>
  </si>
  <si>
    <t>Oummi Kanowah</t>
  </si>
  <si>
    <t>King Street Notre Dame, Long Mountain (Opp. Boulangerie de Notre Dame)</t>
  </si>
  <si>
    <t>Tanuja Ramsaha</t>
  </si>
  <si>
    <t>Jugnauth Lane, Palma, Quatre Bornes</t>
  </si>
  <si>
    <t>58906862 / 57690087</t>
  </si>
  <si>
    <t>Royal Road, Pointe aux Piments</t>
  </si>
  <si>
    <t>Pointe aux Piments</t>
  </si>
  <si>
    <t>Anjani Ramsaran</t>
  </si>
  <si>
    <t>Royal Road, Petit Bel Air, Mahebourg</t>
  </si>
  <si>
    <t>Ashna Bisesar</t>
  </si>
  <si>
    <t>Saint Georges Street, Port Louis</t>
  </si>
  <si>
    <t>Camp la Boue, Montagne Longue</t>
  </si>
  <si>
    <t>Ilitch Allagapen</t>
  </si>
  <si>
    <t>43 Eugène Laurent, Port Louis</t>
  </si>
  <si>
    <t>Yeemeshni Chetty</t>
  </si>
  <si>
    <t>Apt A16, Résidence Villeneuve, Sodnac, Quatre Bornes</t>
  </si>
  <si>
    <t>Boodhoo Praveen</t>
  </si>
  <si>
    <t>Jess Ecumoir</t>
  </si>
  <si>
    <t>Bougainvillier Road, NHDC Block E04, Camp de Masque</t>
  </si>
  <si>
    <t>Youshka Chinapen</t>
  </si>
  <si>
    <t>Icery, Forest Side, Curepipe</t>
  </si>
  <si>
    <t>Rubee Vyapooree</t>
  </si>
  <si>
    <t>Rue Royale, vis-à-vis SBM, Port Louis</t>
  </si>
  <si>
    <t>Swastee Juggurnauth (Delivery before 9:30)</t>
  </si>
  <si>
    <t>Mrs Dubar</t>
  </si>
  <si>
    <t>Npf bldg Pope Henessy Street, Near police station.</t>
  </si>
  <si>
    <t>Grand Baie, Mauritius</t>
  </si>
  <si>
    <t>Khaynat Boolaky</t>
  </si>
  <si>
    <t>Diego Garcia, Port Louis</t>
  </si>
  <si>
    <t>Call before arrival, deliver after 4 PM</t>
  </si>
  <si>
    <t>Zaarah Seik Diouman</t>
  </si>
  <si>
    <t>2nd Lane, Marie-Jeannie, Rose Belle</t>
  </si>
  <si>
    <t>Dowlet Amailia</t>
  </si>
  <si>
    <t>Barkly, Beau-Bassin</t>
  </si>
  <si>
    <t>Rue Desroches, Port Louis</t>
  </si>
  <si>
    <t>Manisha Gokool</t>
  </si>
  <si>
    <t>Pavé Road, Petit Raffray</t>
  </si>
  <si>
    <t>Capdor Sophia</t>
  </si>
  <si>
    <t>141 Rue des Orchidées, Cotteau Raffin, La Gaulette</t>
  </si>
  <si>
    <t>Raju Cheekhoory</t>
  </si>
  <si>
    <t>Dudhee Lane, Hollyrood No. 1, Vacoas</t>
  </si>
  <si>
    <t>Ayesha Sheik Hassen</t>
  </si>
  <si>
    <t>H&amp;S Mauritius (c/o Serena Tahalooa)</t>
  </si>
  <si>
    <t>154 Royal Road, Solferino, Vacoas (Opp. King Savers Mall)</t>
  </si>
  <si>
    <t>Workplace — Available 10 AM–5 PM (except Thu/Sun)</t>
  </si>
  <si>
    <t>69 Blondeau Street, Rose Hill</t>
  </si>
  <si>
    <t>7 Exchange Square, Ebène (Office Delivery)</t>
  </si>
  <si>
    <t>Ebène</t>
  </si>
  <si>
    <t>Swatty Gorayah</t>
  </si>
  <si>
    <t>MI, Motorway Pailles @ J. Kalachand &amp; Co Ltd</t>
  </si>
  <si>
    <t>57051435 / 55081116</t>
  </si>
  <si>
    <t>Yushree Takun</t>
  </si>
  <si>
    <t>Kulpoo Lane, Rose Belle</t>
  </si>
  <si>
    <t>Aftar Ally Mahamoodally</t>
  </si>
  <si>
    <t>Camp La Serpe, Bel Air</t>
  </si>
  <si>
    <t>Panishthee Bodhee</t>
  </si>
  <si>
    <t>Curepipe (near MCB)</t>
  </si>
  <si>
    <t>Aisha Rusmaully</t>
  </si>
  <si>
    <t>First Road, Fond du Sac</t>
  </si>
  <si>
    <t>Anaida Bhugeloo</t>
  </si>
  <si>
    <t>8 Cludius David Street, Ambrose Avenue, Rose Hill</t>
  </si>
  <si>
    <t>Kadya Alimamad Bheenick</t>
  </si>
  <si>
    <t>23 Jawaharlal Nehru, Phoenix</t>
  </si>
  <si>
    <t>Pallavee Dauhoo</t>
  </si>
  <si>
    <t>Morcellement Beau Climat, Amaury</t>
  </si>
  <si>
    <t>Cindy Rayeroux</t>
  </si>
  <si>
    <t>Chemin Hibiscus, Pointe aux Canonniers</t>
  </si>
  <si>
    <t>Vijayalaxmee Degambur</t>
  </si>
  <si>
    <t>Poudre d’Or Chest Hospital</t>
  </si>
  <si>
    <t>Poudre d’Or</t>
  </si>
  <si>
    <t>SBM Tower, Port Louis</t>
  </si>
  <si>
    <t>Petite Pointe aux Piments</t>
  </si>
  <si>
    <t>Takamatsu Bibi Faezah</t>
  </si>
  <si>
    <t>Hassan Raffa Lane, Highlands Phoenix</t>
  </si>
  <si>
    <t>Renganaden Seenavassen Building, à côté de Municipalité de Port Louis</t>
  </si>
  <si>
    <t>Rue Lees, Curepipe (Near Housing)</t>
  </si>
  <si>
    <t>Royal Road, Plaine Magnien (Ministry of Agro Industry)</t>
  </si>
  <si>
    <t>SICOM Tower, Wall Street, Ebène</t>
  </si>
  <si>
    <t>Available 9 AM – 4 PM</t>
  </si>
  <si>
    <t>Bois Chéri Road, Petit Verger, St Pierre</t>
  </si>
  <si>
    <t>Yumna Utim</t>
  </si>
  <si>
    <t>Royal Road, Plaine Magnien</t>
  </si>
  <si>
    <t>Marie Estelle Riche</t>
  </si>
  <si>
    <t>1st Pole, Petite Cabane, Camp de Masque Pavé</t>
  </si>
  <si>
    <t>Camp de Masque Pavé</t>
  </si>
  <si>
    <t>Meelun Lushika Devi</t>
  </si>
  <si>
    <t>Morcellement Bhogun, Triolet</t>
  </si>
  <si>
    <t>Anabelle Leonide</t>
  </si>
  <si>
    <t>Canna Street, Terrasson, Pointe aux Sables</t>
  </si>
  <si>
    <t>Soonathan Shabneez</t>
  </si>
  <si>
    <t>Hospital Lane, Solitude, Triolet</t>
  </si>
  <si>
    <t>Yushree Takun (Exchange)</t>
  </si>
  <si>
    <t>Wazeena Dullull</t>
  </si>
  <si>
    <t>Mary Gold Street, Forest Side (Deliver to Icery Road if weekdays)</t>
  </si>
  <si>
    <t>Géraldine Saintas</t>
  </si>
  <si>
    <t>Clairfonds No. 1, Vacoas</t>
  </si>
  <si>
    <t>Varuna Goolamy</t>
  </si>
  <si>
    <t>Rue des Flamands, Mahebourg</t>
  </si>
  <si>
    <t>Zayna Chitbahal</t>
  </si>
  <si>
    <t>Golamallee Farheen</t>
  </si>
  <si>
    <t>Princess Margaret Street, Cinema Cassee, Triolet</t>
  </si>
  <si>
    <t>Petite Cabane Road, Camp de Masque Pavé</t>
  </si>
  <si>
    <t>Roodeetah</t>
  </si>
  <si>
    <t>SWAN Head Office, Port Louis</t>
  </si>
  <si>
    <t>Jenna Pillay Canousamy</t>
  </si>
  <si>
    <t>Manan Ramgoolam</t>
  </si>
  <si>
    <t>Royal Road, Calebasses</t>
  </si>
  <si>
    <t>2435670 / 57815311</t>
  </si>
  <si>
    <t>Nuhaa Gopaul</t>
  </si>
  <si>
    <t>Rue Camizard, Mahebourg</t>
  </si>
  <si>
    <t>Seechurn Amitsing</t>
  </si>
  <si>
    <t xml:space="preserve">Diksha Gunness </t>
  </si>
  <si>
    <t>Reservoir Road, Goodlands</t>
  </si>
  <si>
    <t>Mrs Mala Veeren</t>
  </si>
  <si>
    <t>Avenue Corps De Garde, Stanley, Rose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</si>
</sst>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43" fontId="0" fillId="0" borderId="1" xfId="1" applyFont="1" applyBorder="1" applyAlignment="1">
      <alignment vertical="center"/>
    </xf>
    <xf numFmtId="14" fontId="0" fillId="0" borderId="1" xfId="1" applyNumberFormat="1" applyFont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14" fontId="0" fillId="0" borderId="2" xfId="0" applyNumberFormat="1" applyBorder="1" applyAlignment="1">
      <alignment vertical="center"/>
    </xf>
    <xf numFmtId="1" fontId="0" fillId="0" borderId="2" xfId="0" applyNumberFormat="1" applyBorder="1" applyAlignment="1">
      <alignment vertical="center"/>
    </xf>
    <xf numFmtId="43" fontId="0" fillId="0" borderId="2" xfId="1" applyFont="1" applyBorder="1" applyAlignment="1">
      <alignment vertical="center"/>
    </xf>
    <xf numFmtId="14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2" fillId="0" borderId="1" xfId="0" applyFont="1" applyBorder="1"/>
    <xf numFmtId="14" fontId="0" fillId="0" borderId="0" xfId="0" applyNumberFormat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43" fontId="2" fillId="0" borderId="1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7" fontId="0" fillId="0" borderId="1" xfId="0" applyNumberFormat="1" applyBorder="1"/>
    <xf numFmtId="43" fontId="0" fillId="0" borderId="1" xfId="1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0" fontId="0" fillId="0" borderId="4" xfId="0" applyBorder="1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1" xfId="0" applyFill="1" applyBorder="1"/>
    <xf numFmtId="0" fontId="0" fillId="0" borderId="0" xfId="0" applyAlignment="1">
      <alignment vertical="center" wrapText="1"/>
    </xf>
    <xf numFmtId="0" fontId="0" fillId="0" borderId="0" xfId="0" pivotButton="1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3" fillId="0" borderId="0" xfId="0" applyFont="1" applyAlignment="1">
      <alignment horizontal="center" vertical="center" wrapText="1"/>
    </xf>
  </cellXfs>
  <cellStyles count="3">
    <cellStyle name="Comma" xfId="1" builtinId="3"/>
    <cellStyle name="Comma 2" xfId="2"/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CL  ZAMBIA" refreshedDate="45901.799638888886" createdVersion="5" refreshedVersion="5" minRefreshableVersion="3" recordCount="1600">
  <cacheSource type="worksheet">
    <worksheetSource ref="B1:L1601" sheet="Master Sheet"/>
  </cacheSource>
  <cacheFields count="11">
    <cacheField name="Name" numFmtId="0">
      <sharedItems/>
    </cacheField>
    <cacheField name="Address" numFmtId="0">
      <sharedItems/>
    </cacheField>
    <cacheField name="Region" numFmtId="0">
      <sharedItems containsBlank="1"/>
    </cacheField>
    <cacheField name="Location" numFmtId="0">
      <sharedItems containsBlank="1"/>
    </cacheField>
    <cacheField name="Phone" numFmtId="0">
      <sharedItems containsMixedTypes="1" containsNumber="1" containsInteger="1" minValue="4139934" maxValue="70048502"/>
    </cacheField>
    <cacheField name="Client" numFmtId="0">
      <sharedItems/>
    </cacheField>
    <cacheField name="Collected on" numFmtId="14">
      <sharedItems containsSemiMixedTypes="0" containsNonDate="0" containsDate="1" containsString="0" minDate="2025-04-13T00:00:00" maxDate="2025-09-02T00:00:00" count="75">
        <d v="2025-04-13T00:00:00"/>
        <d v="2025-04-16T00:00:00"/>
        <d v="2025-04-18T00:00:00"/>
        <d v="2025-04-20T00:00:00"/>
        <d v="2025-04-23T00:00:00"/>
        <d v="2025-04-27T00:00:00"/>
        <d v="2025-04-29T00:00:00"/>
        <d v="2025-04-30T00:00:00"/>
        <d v="2025-05-03T00:00:00"/>
        <d v="2025-05-04T00:00:00"/>
        <d v="2025-05-07T00:00:00"/>
        <d v="2025-05-11T00:00:00"/>
        <d v="2025-05-14T00:00:00"/>
        <d v="2025-05-18T00:00:00"/>
        <d v="2025-05-19T00:00:00"/>
        <d v="2025-05-20T00:00:00"/>
        <d v="2025-05-22T00:00:00"/>
        <d v="2025-05-21T00:00:00"/>
        <d v="2025-05-26T00:00:00"/>
        <d v="2025-05-25T00:00:00"/>
        <d v="2025-05-28T00:00:00"/>
        <d v="2025-05-29T00:00:00"/>
        <d v="2025-06-02T00:00:00"/>
        <d v="2025-06-01T00:00:00"/>
        <d v="2025-06-04T00:00:00"/>
        <d v="2025-06-05T00:00:00"/>
        <d v="2025-06-08T00:00:00"/>
        <d v="2025-06-09T00:00:00"/>
        <d v="2025-06-11T00:00:00"/>
        <d v="2025-06-12T00:00:00"/>
        <d v="2025-06-15T00:00:00"/>
        <d v="2025-06-16T00:00:00"/>
        <d v="2025-06-18T00:00:00"/>
        <d v="2025-06-20T00:00:00"/>
        <d v="2025-06-22T00:00:00"/>
        <d v="2025-06-25T00:00:00"/>
        <d v="2025-06-26T00:00:00"/>
        <d v="2025-06-23T00:00:00"/>
        <d v="2025-06-29T00:00:00"/>
        <d v="2025-06-30T00:00:00"/>
        <d v="2025-07-03T00:00:00"/>
        <d v="2025-07-02T00:00:00"/>
        <d v="2025-07-06T00:00:00"/>
        <d v="2025-07-07T00:00:00"/>
        <d v="2025-07-10T00:00:00"/>
        <d v="2025-07-09T00:00:00"/>
        <d v="2025-07-14T00:00:00"/>
        <d v="2025-07-13T00:00:00"/>
        <d v="2025-07-17T00:00:00"/>
        <d v="2025-07-16T00:00:00"/>
        <d v="2025-07-20T00:00:00"/>
        <d v="2025-07-21T00:00:00"/>
        <d v="2025-07-23T00:00:00"/>
        <d v="2025-07-24T00:00:00"/>
        <d v="2025-07-27T00:00:00"/>
        <d v="2025-07-28T00:00:00"/>
        <d v="2025-07-31T00:00:00"/>
        <d v="2025-07-30T00:00:00"/>
        <d v="2025-08-03T00:00:00"/>
        <d v="2025-08-04T00:00:00"/>
        <d v="2025-08-06T00:00:00"/>
        <d v="2025-08-07T00:00:00"/>
        <d v="2025-08-12T00:00:00"/>
        <d v="2025-08-11T00:00:00"/>
        <d v="2025-08-14T00:00:00"/>
        <d v="2025-08-15T00:00:00"/>
        <d v="2025-08-19T00:00:00"/>
        <d v="2025-08-18T00:00:00"/>
        <d v="2025-08-21T00:00:00"/>
        <d v="2025-08-22T00:00:00"/>
        <d v="2025-08-25T00:00:00"/>
        <d v="2025-08-26T00:00:00"/>
        <d v="2025-08-28T00:00:00"/>
        <d v="2025-08-31T00:00:00"/>
        <d v="2025-09-01T00:00:00"/>
      </sharedItems>
      <fieldGroup base="6">
        <rangePr groupBy="months" startDate="2025-04-13T00:00:00" endDate="2025-09-02T00:00:00"/>
        <groupItems count="14">
          <s v="&lt;13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9/2025"/>
        </groupItems>
      </fieldGroup>
    </cacheField>
    <cacheField name="Delivered on" numFmtId="0">
      <sharedItems containsDate="1" containsMixedTypes="1" minDate="2025-04-14T00:00:00" maxDate="2025-09-02T00:00:00"/>
    </cacheField>
    <cacheField name="Invoicing" numFmtId="43">
      <sharedItems containsString="0" containsBlank="1" containsNumber="1" containsInteger="1" minValue="0" maxValue="300"/>
    </cacheField>
    <cacheField name="Invoiced On" numFmtId="0">
      <sharedItems containsDate="1" containsBlank="1" containsMixedTypes="1" minDate="1899-12-31T00:00:00" maxDate="2025-08-02T00:00:00"/>
    </cacheField>
    <cacheField name="Comments" numFmtId="0">
      <sharedItems containsBlank="1" containsMixedTypes="1" containsNumber="1" containsInteger="1" minValue="150" maxValue="108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CL  ZAMBIA" refreshedDate="45901.80212349537" createdVersion="5" refreshedVersion="5" minRefreshableVersion="3" recordCount="1600">
  <cacheSource type="worksheet">
    <worksheetSource ref="B1:K1601" sheet="Master Sheet"/>
  </cacheSource>
  <cacheFields count="10">
    <cacheField name="Name" numFmtId="0">
      <sharedItems/>
    </cacheField>
    <cacheField name="Address" numFmtId="0">
      <sharedItems/>
    </cacheField>
    <cacheField name="Region" numFmtId="0">
      <sharedItems containsBlank="1"/>
    </cacheField>
    <cacheField name="Location" numFmtId="0">
      <sharedItems containsBlank="1" count="310">
        <s v="Airport"/>
        <s v="Albion"/>
        <s v="Alma"/>
        <s v="Amaury"/>
        <s v="Arsenal"/>
        <s v="Bagatelle"/>
        <s v="Baie Du Cap"/>
        <s v="Baie du Tombeau"/>
        <s v="BALACLAVA"/>
        <s v="Bambous"/>
        <s v="Batimarais"/>
        <s v="Beau Bassin"/>
        <s v="Beau Plan"/>
        <s v="BEAU SONGES"/>
        <s v="Beau Vallon"/>
        <s v="Bel Air"/>
        <s v="Bel Air R. Seche"/>
        <s v="BEL AIR RIVIER SECHE"/>
        <s v="Bel Air Riviere Seche"/>
        <s v="BEL VILLAGE /(ST CROIX after 4.30)"/>
        <s v="Bell Village"/>
        <s v="Belle Mare"/>
        <s v="Belle Rose"/>
        <s v="Belle Vue Maurel"/>
        <s v="Belvedere"/>
        <s v="Bois Cheri"/>
        <s v="BOIS CHERI MOKIA"/>
        <s v="Bois Rouge"/>
        <s v="BON ACCEUIL"/>
        <s v="Bon Accueil"/>
        <s v="Bramsthan"/>
        <s v="BRISEE VERDIER"/>
        <s v="Brisée Verdiere"/>
        <s v="Britannia"/>
        <s v="Calebasses"/>
        <s v="Calodyne"/>
        <s v="Camp De Masque"/>
        <s v="Camp Diable"/>
        <s v="Camp Fouqueraux"/>
        <s v="Camp Ithier"/>
        <s v="Candos"/>
        <s v="Cap Malheureux"/>
        <s v="Cascavelle"/>
        <s v="Case Noyale"/>
        <s v="CASSIS"/>
        <s v="Castel"/>
        <s v="Central Flacq"/>
        <s v="Chamarel"/>
        <s v="Chamouny"/>
        <s v="Chemin Grenier"/>
        <s v="Cluny"/>
        <s v="Congomah"/>
        <s v="Consigne"/>
        <s v="Coromandel"/>
        <s v="Cottage"/>
        <s v="Creve Coeur"/>
        <s v="Curepipe"/>
        <s v="Dagotiere"/>
        <s v="Deep River"/>
        <s v="D'Epinay"/>
        <s v="Dubreuil"/>
        <s v="Eau Coulee"/>
        <s v="Ebene"/>
        <s v="Ecroignard"/>
        <s v="Ernest Florent"/>
        <s v="ESPERENCE PITON"/>
        <s v="Flacq"/>
        <s v="Flic En Flac"/>
        <s v="Floreal"/>
        <s v="Floréal"/>
        <s v="Fond Du Sac"/>
        <s v="Forest Side"/>
        <s v="GOODLAND"/>
        <s v="Goodlands"/>
        <s v="Grand Baie"/>
        <s v="GRAND BAY"/>
        <s v="Grand Bel Air"/>
        <s v="Grand Bois"/>
        <s v="GRAND BOIS OLD SAVANNE RD"/>
        <s v="Grand Gaube"/>
        <s v="Grand River North West"/>
        <s v="Grande Retraite"/>
        <s v="Gros Billot"/>
        <s v="Gros Cailloux"/>
        <s v="GRSE"/>
        <s v="Henrietta"/>
        <s v="Highlands"/>
        <s v="Ilot d’Epiney"/>
        <s v="Isidore-Rose"/>
        <s v="L’Escalier"/>
        <s v="La Caverne"/>
        <s v="La Clemence"/>
        <s v="La Flora"/>
        <s v="La Gaulette"/>
        <s v="La Marie"/>
        <s v="La Rosa"/>
        <s v="La Tour Koenig"/>
        <s v="Lallmatie"/>
        <s v="L'Aventure"/>
        <s v="Le Bouchon"/>
        <s v="L'Escalier"/>
        <s v="L'Esperance"/>
        <s v="L'ESPERENCE TREBUCHET"/>
        <s v="Long Mountain"/>
        <s v="Lower Vale"/>
        <s v="Mahebourg"/>
        <s v="Maison Blanche"/>
        <s v="Mapou"/>
        <s v="Mare D’Albert"/>
        <s v="Mare D'Albert"/>
        <s v="Mare Tabac"/>
        <s v="Mauritius"/>
        <s v="Medine Camp De Masque"/>
        <s v="Melrose"/>
        <s v="Mer Rouge"/>
        <s v="Mesnil"/>
        <s v="Midlands"/>
        <s v="Moka"/>
        <s v="MOKA, MONTAGE ORY LE BOCAGE MOKA"/>
        <s v="Moncellement St Andres"/>
        <s v="Mont Choisy"/>
        <s v="Mont Ida"/>
        <s v="Mont Roches"/>
        <s v="Montagne Blanche"/>
        <s v="Montagne Longue"/>
        <s v="Mont-Fertile"/>
        <s v="Mont-Ida"/>
        <s v="Morcellement Saint Andre"/>
        <s v="Morcellement Saint André"/>
        <s v="New Grove"/>
        <s v="New-Grove"/>
        <s v="Notre Dame"/>
        <s v="Nouvelle Decouverte"/>
        <s v="Nouvelle France"/>
        <s v="Olivia"/>
        <s v="Pailles"/>
        <s v="PAILLES, GUIBIES RD, PAILLES"/>
        <s v="Palma"/>
        <s v="Palmar"/>
        <s v="PAMPLEMOUSSE"/>
        <s v="Pamplemousses"/>
        <s v="Pereybere"/>
        <s v="Petit Raffray"/>
        <s v="Petite Pointe Aux Piment"/>
        <s v="Petite Riviere"/>
        <s v="Phoenix"/>
        <s v="Piton"/>
        <s v="Plaine des Papayes"/>
        <s v="Plaine Magnien"/>
        <s v="Plaines des Papayes"/>
        <s v="Plaines des Roches"/>
        <s v="Pointe Aux Piments"/>
        <s v="Pointe Aux Sables"/>
        <s v="Port Louis"/>
        <s v="Port Louis / Cassis"/>
        <s v="Port-Louis"/>
        <s v="Poste De Flacq"/>
        <s v="Poudre D'or Hamlet"/>
        <s v="QBORNES"/>
        <s v="Quartier Militaire"/>
        <s v="Quatre Bornes"/>
        <s v="Quatre Cocos"/>
        <s v="R. du Rempart"/>
        <s v="Reduit"/>
        <s v="Réduit"/>
        <s v="Riche Mare"/>
        <s v="Riche Terre"/>
        <s v="Ripailles"/>
        <s v="RIV DES ANGUILLES"/>
        <s v="RIV DU REMPART"/>
        <s v="Riviere des Anguilles"/>
        <s v="Rivière des Anguilles"/>
        <s v="Rivière des Créoles"/>
        <s v="Riviere Du Poste"/>
        <s v="Riviere Du Rampart"/>
        <s v="RIVIERE NOIRE ROYAL RD"/>
        <s v="Rivières des Créoles"/>
        <s v="Roche Bois"/>
        <s v="Roche Terre"/>
        <s v="Roches Brunes"/>
        <s v="Roches Noires"/>
        <s v="Rodrigues"/>
        <s v="Rose Belle"/>
        <s v="Rose Hill"/>
        <s v="Rosebelle"/>
        <s v="Rose-Belle"/>
        <s v="ROSEHILL"/>
        <s v="Rose-Hill"/>
        <s v="ROSEHILL, 529 SEENEEVASEN AVE TREFLES ROSEHILL"/>
        <s v="Saint Hubert"/>
        <s v="Saint Julien"/>
        <s v="Saint Julien D'Hotman"/>
        <s v="Saint Piere"/>
        <s v="Saint Pierre"/>
        <s v="Sainte Croix"/>
        <s v="Sebastopol"/>
        <s v="Souillac"/>
        <s v="St Antoine"/>
        <s v="St Aubin"/>
        <s v="St Croix (PL)"/>
        <s v="St Hilaire"/>
        <s v="St Hubert"/>
        <s v="St Julien d’Hotman"/>
        <s v="St Julien D'Hotman"/>
        <s v="St Julien Village"/>
        <s v="St Pierre"/>
        <s v="St. André"/>
        <s v="Stanley"/>
        <s v="Surinam"/>
        <s v="SURINAM/RIV DES ANGUILLES"/>
        <s v="TAGORE RD ST JULLIEN VILLAGE"/>
        <s v="Tamarin"/>
        <s v="Terre Rouge"/>
        <s v="Terre rouge "/>
        <s v="Terre Rouge (PL)"/>
        <s v="The Vale"/>
        <s v="Tranquebar"/>
        <s v="Trianon"/>
        <s v="Tribeca"/>
        <s v="Tribecca mall"/>
        <s v="Triolet"/>
        <s v="Triolet "/>
        <s v="TRIOLET, PRINCE OF Wales st TRIOLET"/>
        <s v="Trois Boutique"/>
        <s v="TROIS BOUTIQUE "/>
        <s v="TROIS BOUTIQUE UNION VALE"/>
        <s v="Trois Boutiques"/>
        <s v="TROLET, ROYAL RD 8TH MIL, TROLET (NEAR NIC)"/>
        <s v="TROLET, shiv prakash mandir lane TRIOLET"/>
        <s v="Trou Aux Biches"/>
        <s v="Trou D’Eau Douce"/>
        <s v="Troues Aux Biches"/>
        <s v="Tyack"/>
        <s v="Tyack / RDA"/>
        <s v="Union Park"/>
        <s v="Union Vale"/>
        <s v="Upper Vale"/>
        <s v="Vacoas"/>
        <s v="Vacoas "/>
        <s v="VACOAS LA CAVERNE"/>
        <s v="Vale"/>
        <s v="Valetta"/>
        <s v="Vallee des Pretres"/>
        <s v="Vallée des Prêtres"/>
        <s v="Vallee Pitot"/>
        <s v="Vallees Des Pretes"/>
        <s v="Ville Noire"/>
        <s v="Vullemin"/>
        <s v="TROLET, ROYAL RD 8TH MIL, TROLET (NEAR NIC), Mauritius" u="1"/>
        <m u="1"/>
        <s v="QBORNES, Mauritius" u="1"/>
        <s v="TAGORE RD ST JULLIEN VILLAGE, Mauritius" u="1"/>
        <s v="3 Pailles" u="1"/>
        <s v="ST PIERRE, Mauritius" u="1"/>
        <s v="GRAND BAY, Mauritius" u="1"/>
        <s v="BEL AIR, Mauritius" u="1"/>
        <s v="EAU COULEE, Mauritius" u="1"/>
        <s v="BEAU BASSIN, 5,REMY OLLIER ST, BEAU BASSIN, Mauritius" u="1"/>
        <s v="BALACLAVA, WESTIN HOTEL BALACLAVA, Mauritius" u="1"/>
        <s v="TROIS BOUTIQUE UNION VALE, Mauritius" u="1"/>
        <s v="ROSEHILL, Mauritius" u="1"/>
        <s v="NOUVELLE FRANCE, Mauritius" u="1"/>
        <s v="TRIOLET, PRINCE OF Wales st TRIOLET, Mauritius" u="1"/>
        <s v="BEL VILLAGE /(ST CROIX after 4.30), Mauritius" u="1"/>
        <s v="RIV DU REMPART, Mauritius" u="1"/>
        <s v="VACOAS LA CAVERNE, Mauritius" u="1"/>
        <s v="EBENE, Mauritius" u="1"/>
        <s v="MOKA, MONTAGE ORY LE BOCAGE MOKA, Mauritius" u="1"/>
        <s v="POINTE AUX SABLES, Mauritius" u="1"/>
        <s v="RIVIERE NOIRE ROYAL RD, Mauritius" u="1"/>
        <s v="SURINAM/RIV DES ANGUILLES, Mauritius" u="1"/>
        <s v="PLAINE MAGNIEN, Mauritius" u="1"/>
        <s v="TROIS BOUTIQUE , Mauritius" u="1"/>
        <s v="BOIS CHERI MOKIA, Mauritius" u="1"/>
        <s v="NEW GROVE, Mauritius" u="1"/>
        <s v="BEL AIR RIVIER SECHE, Mauritius" u="1"/>
        <s v="PLAINE DES PAPAYES, Mauritius" u="1"/>
        <s v="PAILLES, Mauritius" u="1"/>
        <s v="FLIC EN FLAC, Mauritius" u="1"/>
        <s v="GOODLAND, Mauritius" u="1"/>
        <s v="CHEMIN GRENIER, Mauritius" u="1"/>
        <s v="ROSEBELLE, Mauritius" u="1"/>
        <s v="PETIT RAFFRAY, Mauritius" u="1"/>
        <s v="BRITANNIA, Mauritius" u="1"/>
        <s v="QUARTIER MILITAIRE, Mauritius" u="1"/>
        <s v="GRAND BOIS, Mauritius" u="1"/>
        <s v="ALMA, VERDUN, Mauritius" u="1"/>
        <s v="PAILLES, GUIBIES RD, PAILLES, Mauritius" u="1"/>
        <s v="ROSEHILL, 529 SEENEEVASEN AVE TREFLES ROSEHILL, Mauritius" u="1"/>
        <s v="REDUIT, Mauritius" u="1"/>
        <s v="GRAND BOIS OLD SAVANNE RD, Mauritius" u="1"/>
        <s v="BON ACCEUIL, Mauritius" u="1"/>
        <s v="COROMANDEL, Mauritius" u="1"/>
        <s v="PAMPLEMOUSSE, Mauritius" u="1"/>
        <s v="CENTRAL FLACQ, Mauritius" u="1"/>
        <s v="MAHEBOURG, Mauritius" u="1"/>
        <s v="BRISEE VERDIER, Mauritius" u="1"/>
        <s v="L'ESPERENCE TREBUCHET, Mauritius" u="1"/>
        <s v="MER ROUGE, Mauritius" u="1"/>
        <s v="TROLET, shiv prakash mandir lane TRIOLET, Mauritius" u="1"/>
        <s v="UPPER VALE, Mauritius" u="1"/>
        <s v="FLACQ, Mauritius" u="1"/>
        <s v="VACOAS, Mauritius" u="1"/>
        <s v="CUREPIPE, Mauritius" u="1"/>
        <s v="CASSIS, Mauritius" u="1"/>
        <s v="RIV DES ANGUILLES, Mauritius" u="1"/>
        <s v="BEAU BASSIN, Mauritius" u="1"/>
        <s v="BEAU SONGES, Mauritius" u="1"/>
        <s v="Bassin" u="1"/>
        <s v="ESPERENCE PITON, Mauritius" u="1"/>
      </sharedItems>
    </cacheField>
    <cacheField name="Phone" numFmtId="0">
      <sharedItems containsMixedTypes="1" containsNumber="1" containsInteger="1" minValue="4139934" maxValue="70048502"/>
    </cacheField>
    <cacheField name="Client" numFmtId="0">
      <sharedItems/>
    </cacheField>
    <cacheField name="Collected on" numFmtId="14">
      <sharedItems containsSemiMixedTypes="0" containsNonDate="0" containsDate="1" containsString="0" minDate="2025-04-13T00:00:00" maxDate="2025-09-02T00:00:00" count="75">
        <d v="2025-07-30T00:00:00"/>
        <d v="2025-06-08T00:00:00"/>
        <d v="2025-07-06T00:00:00"/>
        <d v="2025-07-20T00:00:00"/>
        <d v="2025-07-31T00:00:00"/>
        <d v="2025-08-11T00:00:00"/>
        <d v="2025-08-03T00:00:00"/>
        <d v="2025-08-26T00:00:00"/>
        <d v="2025-04-29T00:00:00"/>
        <d v="2025-05-04T00:00:00"/>
        <d v="2025-06-22T00:00:00"/>
        <d v="2025-06-29T00:00:00"/>
        <d v="2025-05-07T00:00:00"/>
        <d v="2025-06-04T00:00:00"/>
        <d v="2025-06-11T00:00:00"/>
        <d v="2025-06-18T00:00:00"/>
        <d v="2025-07-14T00:00:00"/>
        <d v="2025-08-21T00:00:00"/>
        <d v="2025-04-16T00:00:00"/>
        <d v="2025-06-01T00:00:00"/>
        <d v="2025-05-28T00:00:00"/>
        <d v="2025-07-13T00:00:00"/>
        <d v="2025-08-06T00:00:00"/>
        <d v="2025-05-21T00:00:00"/>
        <d v="2025-07-09T00:00:00"/>
        <d v="2025-04-20T00:00:00"/>
        <d v="2025-04-23T00:00:00"/>
        <d v="2025-08-18T00:00:00"/>
        <d v="2025-04-30T00:00:00"/>
        <d v="2025-05-11T00:00:00"/>
        <d v="2025-05-18T00:00:00"/>
        <d v="2025-07-02T00:00:00"/>
        <d v="2025-07-23T00:00:00"/>
        <d v="2025-07-27T00:00:00"/>
        <d v="2025-08-14T00:00:00"/>
        <d v="2025-08-28T00:00:00"/>
        <d v="2025-08-25T00:00:00"/>
        <d v="2025-04-18T00:00:00"/>
        <d v="2025-05-25T00:00:00"/>
        <d v="2025-07-16T00:00:00"/>
        <d v="2025-04-27T00:00:00"/>
        <d v="2025-06-15T00:00:00"/>
        <d v="2025-07-03T00:00:00"/>
        <d v="2025-07-24T00:00:00"/>
        <d v="2025-08-04T00:00:00"/>
        <d v="2025-08-31T00:00:00"/>
        <d v="2025-04-13T00:00:00"/>
        <d v="2025-06-25T00:00:00"/>
        <d v="2025-08-19T00:00:00"/>
        <d v="2025-05-03T00:00:00"/>
        <d v="2025-05-14T00:00:00"/>
        <d v="2025-06-26T00:00:00"/>
        <d v="2025-06-30T00:00:00"/>
        <d v="2025-07-28T00:00:00"/>
        <d v="2025-06-05T00:00:00"/>
        <d v="2025-08-07T00:00:00"/>
        <d v="2025-06-12T00:00:00"/>
        <d v="2025-08-15T00:00:00"/>
        <d v="2025-05-22T00:00:00"/>
        <d v="2025-07-17T00:00:00"/>
        <d v="2025-06-23T00:00:00"/>
        <d v="2025-05-26T00:00:00"/>
        <d v="2025-06-20T00:00:00"/>
        <d v="2025-08-22T00:00:00"/>
        <d v="2025-05-29T00:00:00"/>
        <d v="2025-06-02T00:00:00"/>
        <d v="2025-06-09T00:00:00"/>
        <d v="2025-06-16T00:00:00"/>
        <d v="2025-08-12T00:00:00"/>
        <d v="2025-07-10T00:00:00"/>
        <d v="2025-07-07T00:00:00"/>
        <d v="2025-05-20T00:00:00"/>
        <d v="2025-07-21T00:00:00"/>
        <d v="2025-05-19T00:00:00"/>
        <d v="2025-09-01T00:00:00"/>
      </sharedItems>
      <fieldGroup base="6">
        <rangePr groupBy="months" startDate="2025-04-13T00:00:00" endDate="2025-09-02T00:00:00"/>
        <groupItems count="14">
          <s v="&lt;13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9/2025"/>
        </groupItems>
      </fieldGroup>
    </cacheField>
    <cacheField name="Delivered on" numFmtId="0">
      <sharedItems containsDate="1" containsMixedTypes="1" minDate="2025-04-14T00:00:00" maxDate="2025-09-02T00:00:00"/>
    </cacheField>
    <cacheField name="Invoicing" numFmtId="43">
      <sharedItems containsString="0" containsBlank="1" containsNumber="1" containsInteger="1" minValue="0" maxValue="300"/>
    </cacheField>
    <cacheField name="Invoiced On" numFmtId="0">
      <sharedItems containsDate="1" containsBlank="1" containsMixedTypes="1" minDate="1899-12-31T00:00:00" maxDate="2025-08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0">
  <r>
    <s v="Nishma Foolchund"/>
    <s v="Royal Road , Tayak"/>
    <s v="South"/>
    <s v="Tyack"/>
    <n v="58490552"/>
    <s v="Nab-Makeup"/>
    <x v="0"/>
    <d v="2025-04-14T00:00:00"/>
    <n v="150"/>
    <d v="2025-05-04T00:00:00"/>
    <m/>
  </r>
  <r>
    <s v="Arusha Kureembokus"/>
    <s v="Adolphe Street, Grand Bois"/>
    <s v="South"/>
    <s v="Grand Bois"/>
    <n v="59083237"/>
    <s v="Nab-Makeup"/>
    <x v="0"/>
    <d v="2025-04-14T00:00:00"/>
    <n v="150"/>
    <d v="2025-05-04T00:00:00"/>
    <m/>
  </r>
  <r>
    <s v="Saarah Bhugun"/>
    <s v="Blackbird Street, Morc Tara, Terre Rouge"/>
    <s v="North"/>
    <s v="Terre Rouge"/>
    <n v="57329424"/>
    <s v="Nab-Makeup"/>
    <x v="0"/>
    <d v="2025-04-14T00:00:00"/>
    <n v="150"/>
    <d v="2025-05-04T00:00:00"/>
    <m/>
  </r>
  <r>
    <s v="Bhavisha Padaruth"/>
    <s v="Providence, Quartier Militaire"/>
    <s v="Central"/>
    <s v="Quartier Militaire"/>
    <n v="57018245"/>
    <s v="Nab-Makeup"/>
    <x v="0"/>
    <d v="2025-04-14T00:00:00"/>
    <n v="150"/>
    <d v="2025-05-04T00:00:00"/>
    <m/>
  </r>
  <r>
    <s v="Geeta Devi Mattapullut"/>
    <s v="Royal Road, Roches Noires"/>
    <s v="East"/>
    <s v="Roches Noires"/>
    <n v="58620675"/>
    <s v="Nab-Makeup"/>
    <x v="0"/>
    <d v="2025-04-14T00:00:00"/>
    <n v="150"/>
    <d v="2025-05-04T00:00:00"/>
    <m/>
  </r>
  <r>
    <s v="Roumisha Joyram"/>
    <s v="Royal Road Esperance Piton, 2nd House Behind Village Hall, Riviere Du Rempart"/>
    <s v="North-East"/>
    <s v="Riviere Du Poste"/>
    <n v="59137561"/>
    <s v="Nab-Makeup"/>
    <x v="0"/>
    <d v="2025-04-14T00:00:00"/>
    <n v="150"/>
    <d v="2025-05-04T00:00:00"/>
    <m/>
  </r>
  <r>
    <s v="Ruksar Dilmahomed"/>
    <s v="Seebundhun Road, Plaines des Papayes"/>
    <s v="North"/>
    <s v="Plaines des Papayes"/>
    <n v="54802997"/>
    <s v="Nab-Makeup"/>
    <x v="0"/>
    <d v="2025-04-17T00:00:00"/>
    <n v="150"/>
    <d v="2025-05-04T00:00:00"/>
    <m/>
  </r>
  <r>
    <s v="Lakshitaa Ramautar"/>
    <s v="Ilot Branch Road, D'Epinay, Pamplemousses"/>
    <s v="North-East"/>
    <s v="Pamplemousses"/>
    <n v="57942622"/>
    <s v="Nab-Makeup"/>
    <x v="0"/>
    <d v="2025-04-14T00:00:00"/>
    <n v="150"/>
    <d v="2025-05-04T00:00:00"/>
    <m/>
  </r>
  <r>
    <s v="Bhavya Chowa"/>
    <s v="Royal Road Morcellement St André, Pamplemousses"/>
    <s v="North-East"/>
    <s v="Pamplemousses"/>
    <n v="57662898"/>
    <s v="Nab-Makeup"/>
    <x v="0"/>
    <d v="2025-04-14T00:00:00"/>
    <n v="150"/>
    <d v="2025-05-04T00:00:00"/>
    <m/>
  </r>
  <r>
    <s v="Soobratty Farhana"/>
    <s v="Centrepoint, Trianon"/>
    <s v="Central"/>
    <s v="Trianon"/>
    <n v="59888285"/>
    <s v="Nab-Makeup"/>
    <x v="0"/>
    <d v="2025-04-17T00:00:00"/>
    <n v="150"/>
    <d v="2025-05-04T00:00:00"/>
    <m/>
  </r>
  <r>
    <s v="Nouzhat Furreedan"/>
    <s v="Emmanuel Gerard Ave, Flat Busawon, Vacoas"/>
    <s v="Central"/>
    <s v="Vacoas"/>
    <n v="57668449"/>
    <s v="Nab-Makeup"/>
    <x v="0"/>
    <d v="2025-04-14T00:00:00"/>
    <n v="150"/>
    <d v="2025-05-04T00:00:00"/>
    <m/>
  </r>
  <r>
    <s v="Pravin Janki"/>
    <s v="Hollyrood No1, Vacoas"/>
    <s v="Central"/>
    <s v="Vacoas"/>
    <n v="57535983"/>
    <s v="Nab-Makeup"/>
    <x v="0"/>
    <d v="2025-04-14T00:00:00"/>
    <n v="150"/>
    <d v="2025-05-04T00:00:00"/>
    <m/>
  </r>
  <r>
    <s v="Zahra Ghaseeta"/>
    <s v="15 Cantons No.1, Vacoas"/>
    <s v="Central"/>
    <s v="Vacoas"/>
    <n v="59268555"/>
    <s v="Nab-Makeup"/>
    <x v="0"/>
    <d v="2025-04-14T00:00:00"/>
    <n v="150"/>
    <d v="2025-05-04T00:00:00"/>
    <m/>
  </r>
  <r>
    <s v="Sahid Ghoomun"/>
    <s v="La Caverne No 1, Vacoas"/>
    <s v="Central"/>
    <s v="Vacoas"/>
    <n v="54852127"/>
    <s v="Nab-Makeup"/>
    <x v="0"/>
    <d v="2025-04-14T00:00:00"/>
    <n v="150"/>
    <d v="2025-05-04T00:00:00"/>
    <m/>
  </r>
  <r>
    <s v="Sabaa Khodabocus"/>
    <s v="68, Sadally Road, Vacoas"/>
    <s v="Central"/>
    <s v="Vacoas"/>
    <n v="59120160"/>
    <s v="Nab-Makeup"/>
    <x v="0"/>
    <d v="2025-04-14T00:00:00"/>
    <n v="150"/>
    <d v="2025-05-04T00:00:00"/>
    <m/>
  </r>
  <r>
    <s v="Hanlore Maxie"/>
    <s v="B/O10 Cité Mangalkhan, Floreal"/>
    <s v="South"/>
    <s v="Floréal"/>
    <n v="58251713"/>
    <s v="Nab-Makeup"/>
    <x v="0"/>
    <d v="2025-04-14T00:00:00"/>
    <n v="150"/>
    <d v="2025-05-04T00:00:00"/>
    <m/>
  </r>
  <r>
    <s v="Bankur Oozeerally Shanyah"/>
    <s v="Mosque Road, Camp Caval, Curepipe"/>
    <s v="South"/>
    <s v="Curepipe"/>
    <n v="59108223"/>
    <s v="Nab-Makeup"/>
    <x v="0"/>
    <d v="2025-04-14T00:00:00"/>
    <n v="150"/>
    <d v="2025-05-04T00:00:00"/>
    <m/>
  </r>
  <r>
    <s v="Eunice Ansha Sookooloo"/>
    <s v="69 Lapeyrouse Eau Coulee Curepipe Road, Curepipe"/>
    <s v="South"/>
    <s v="Curepipe"/>
    <n v="58242419"/>
    <s v="Nab-Makeup"/>
    <x v="0"/>
    <d v="2025-04-14T00:00:00"/>
    <n v="150"/>
    <d v="2025-05-04T00:00:00"/>
    <m/>
  </r>
  <r>
    <s v="Dharshinee Narayanan"/>
    <s v="17 Belle Rose Avenue, Quatre Bornes"/>
    <s v="Plaines Wilhems"/>
    <s v="Quatre Bornes"/>
    <n v="57965413"/>
    <s v="Nab-Makeup"/>
    <x v="0"/>
    <d v="2025-04-14T00:00:00"/>
    <n v="150"/>
    <d v="2025-05-04T00:00:00"/>
    <m/>
  </r>
  <r>
    <s v="Yeshnee Bye Rama Ramchurrun"/>
    <s v="11 Western Boundary, Quatre Bornes"/>
    <s v="Plaines Wilhems"/>
    <s v="Quatre Bornes"/>
    <n v="57095798"/>
    <s v="Nab-Makeup"/>
    <x v="0"/>
    <d v="2025-04-14T00:00:00"/>
    <n v="150"/>
    <d v="2025-05-04T00:00:00"/>
    <m/>
  </r>
  <r>
    <s v="Samiyah Burkutally"/>
    <s v="Anwar E Qouba Mosque Rd, Camp Fouquereaux, Phoenix"/>
    <s v="Central"/>
    <s v="Phoenix"/>
    <n v="59272041"/>
    <s v="Nab-Makeup"/>
    <x v="0"/>
    <d v="2025-04-14T00:00:00"/>
    <n v="150"/>
    <d v="2025-05-04T00:00:00"/>
    <m/>
  </r>
  <r>
    <s v="Leshika Chukun"/>
    <s v="Lot 125, Rue des Croiseurs, Morcellement Boulet Rouge, Central Flacq"/>
    <s v="East"/>
    <s v="Central Flacq"/>
    <n v="57893924"/>
    <s v="Nab-Makeup"/>
    <x v="0"/>
    <d v="2025-04-14T00:00:00"/>
    <n v="150"/>
    <d v="2025-05-04T00:00:00"/>
    <m/>
  </r>
  <r>
    <s v="Syed Bibi Aisha"/>
    <s v="Avenue Des Moineaux, Medine Camp De Masque"/>
    <s v="East"/>
    <s v="Medine Camp De Masque"/>
    <n v="58282499"/>
    <s v="Nab-Makeup"/>
    <x v="0"/>
    <d v="2025-04-17T00:00:00"/>
    <n v="150"/>
    <d v="2025-05-04T00:00:00"/>
    <m/>
  </r>
  <r>
    <s v="Laurena Madanamoothoo"/>
    <s v="21 Gaston Martin Street, Tranquebar, Port Louis"/>
    <s v="North-West"/>
    <s v="Port Louis"/>
    <s v="59385363 / 59384536"/>
    <s v="Nab-Makeup"/>
    <x v="0"/>
    <d v="2025-04-14T00:00:00"/>
    <n v="150"/>
    <d v="2025-05-04T00:00:00"/>
    <m/>
  </r>
  <r>
    <s v="Razinah Ghoora"/>
    <s v="R6 Inkerman Street, Vallee-Pitot, Port Louis"/>
    <s v="North-West"/>
    <s v="Port Louis"/>
    <n v="58341044"/>
    <s v="Nab-Makeup"/>
    <x v="0"/>
    <d v="2025-04-14T00:00:00"/>
    <n v="150"/>
    <d v="2025-05-04T00:00:00"/>
    <m/>
  </r>
  <r>
    <s v="Shaheerah Sooboa"/>
    <s v="53 Abdool Razack Mohamed, Port Louis"/>
    <s v="North-West"/>
    <s v="Port Louis"/>
    <n v="59019359"/>
    <s v="Nab-Makeup"/>
    <x v="0"/>
    <d v="2025-04-14T00:00:00"/>
    <n v="150"/>
    <d v="2025-05-04T00:00:00"/>
    <m/>
  </r>
  <r>
    <s v="Gunowry Menasha"/>
    <s v="12 Hesketh Bell, Tranquebar, Port Louis"/>
    <s v="North-West"/>
    <s v="Port Louis"/>
    <n v="57095855"/>
    <s v="Nab-Makeup"/>
    <x v="0"/>
    <d v="2025-04-14T00:00:00"/>
    <n v="150"/>
    <d v="2025-05-04T00:00:00"/>
    <m/>
  </r>
  <r>
    <s v="Bhuvanesha Hulloowan"/>
    <s v="Morcellement Beeharry Boulet Rouge, Central Flacq"/>
    <s v="East"/>
    <s v="Central Flacq"/>
    <n v="59169323"/>
    <s v="Nab-Makeup"/>
    <x v="0"/>
    <d v="2025-04-17T00:00:00"/>
    <n v="150"/>
    <d v="2025-05-04T00:00:00"/>
    <m/>
  </r>
  <r>
    <s v="Shahana Ruhomaun"/>
    <s v="14A Bait ul noor Vallée des prêtres, Port Louis"/>
    <s v="North-West"/>
    <s v="Port Louis"/>
    <n v="58307630"/>
    <s v="Nab-Makeup"/>
    <x v="0"/>
    <d v="2025-04-14T00:00:00"/>
    <n v="150"/>
    <d v="2025-05-04T00:00:00"/>
    <m/>
  </r>
  <r>
    <s v="Ruksaar Damree"/>
    <s v="Royal Road, Brisée Verdiere"/>
    <s v="East"/>
    <s v="Brisée Verdiere"/>
    <n v="58398955"/>
    <s v="Nab-Makeup"/>
    <x v="0"/>
    <d v="2025-04-14T00:00:00"/>
    <n v="150"/>
    <d v="2025-05-04T00:00:00"/>
    <m/>
  </r>
  <r>
    <s v="Shabneez Nubee"/>
    <s v="Avenue Berthaud stanley, Rose Hill"/>
    <s v="Plaines Wilhems"/>
    <s v="Rose Hill"/>
    <s v="55363005 / 58626067"/>
    <s v="Nab-Makeup"/>
    <x v="0"/>
    <d v="2025-04-14T00:00:00"/>
    <n v="150"/>
    <d v="2025-05-04T00:00:00"/>
    <m/>
  </r>
  <r>
    <s v="Roumina Soobhun"/>
    <s v="Salazie road, Brisse Verdiere"/>
    <s v="East"/>
    <s v="Brisée Verdiere"/>
    <n v="59042970"/>
    <s v="Nab-Makeup"/>
    <x v="0"/>
    <d v="2025-04-14T00:00:00"/>
    <n v="150"/>
    <d v="2025-05-04T00:00:00"/>
    <m/>
  </r>
  <r>
    <s v="Yusrah Issimdar"/>
    <s v="Monday to friday 9am till 4pm at Rue Louis Pasteur wan building, Port Louis"/>
    <s v="North-West"/>
    <s v="Port Louis"/>
    <n v="57955535"/>
    <s v="Nab-Makeup"/>
    <x v="0"/>
    <d v="2025-04-14T00:00:00"/>
    <n v="150"/>
    <d v="2025-05-04T00:00:00"/>
    <m/>
  </r>
  <r>
    <s v="Sneha Bye Malloo"/>
    <s v="7, Emile Pitot Curepipe Road, Curepipe"/>
    <s v="South"/>
    <s v="Curepipe"/>
    <n v="57062055"/>
    <s v="Nab-Makeup"/>
    <x v="0"/>
    <d v="2025-04-14T00:00:00"/>
    <n v="150"/>
    <d v="2025-05-04T00:00:00"/>
    <m/>
  </r>
  <r>
    <s v="Archana Bissessur"/>
    <s v="10, Rashid Khan St, Coromandel"/>
    <s v="Central-West"/>
    <s v="Coromandel"/>
    <n v="54920520"/>
    <s v="Nab-Makeup"/>
    <x v="1"/>
    <d v="2025-04-17T00:00:00"/>
    <n v="150"/>
    <d v="2025-05-04T00:00:00"/>
    <m/>
  </r>
  <r>
    <s v="Yasiirah Boodhun"/>
    <s v="Begue Rd, Hollyrood No.1, Vacoas"/>
    <s v="Central"/>
    <s v="Vacoas"/>
    <s v="58395602 / 6847086"/>
    <s v="Nab-Makeup"/>
    <x v="1"/>
    <d v="2025-04-17T00:00:00"/>
    <n v="150"/>
    <d v="2025-05-04T00:00:00"/>
    <m/>
  </r>
  <r>
    <s v="Sajja Kawshar Moideen"/>
    <s v="Gulzare Madina Road, Belvedere, Lalmatie"/>
    <s v="East"/>
    <s v="Lallmatie"/>
    <n v="57801348"/>
    <s v="Nab-Makeup"/>
    <x v="1"/>
    <d v="2025-04-17T00:00:00"/>
    <n v="150"/>
    <d v="2025-05-04T00:00:00"/>
    <m/>
  </r>
  <r>
    <s v="Yasmina Lungtoo"/>
    <s v="Ruisseau Rose, Long Mountain"/>
    <s v="North"/>
    <s v="Long Mountain"/>
    <n v="57838646"/>
    <s v="Nab-Makeup"/>
    <x v="1"/>
    <d v="2025-04-17T00:00:00"/>
    <n v="150"/>
    <d v="2025-05-04T00:00:00"/>
    <m/>
  </r>
  <r>
    <s v="Shameerah Khan Domun"/>
    <s v="Lot 172, Tarot Street, Morcellement Pousson, La Marie, Vacoas"/>
    <s v="Central"/>
    <s v="Vacoas"/>
    <n v="59183395"/>
    <s v="Nab-Makeup"/>
    <x v="1"/>
    <d v="2025-04-17T00:00:00"/>
    <n v="150"/>
    <d v="2025-05-04T00:00:00"/>
    <m/>
  </r>
  <r>
    <s v="Adil Gumbheer"/>
    <s v="Petit Verger, Roselyne Cottage, Saint Pierre"/>
    <s v="Central"/>
    <s v="Saint Pierre"/>
    <s v="59660404 / 58589624"/>
    <s v="Nab-Makeup"/>
    <x v="1"/>
    <d v="2025-04-17T00:00:00"/>
    <n v="150"/>
    <d v="2025-05-04T00:00:00"/>
    <m/>
  </r>
  <r>
    <s v="Nundinee Chenigadu"/>
    <s v="Saint Remy, Centre de Flacq"/>
    <s v="East"/>
    <s v="Central Flacq"/>
    <n v="57323874"/>
    <s v="Nab-Makeup"/>
    <x v="1"/>
    <d v="2025-04-18T00:00:00"/>
    <n v="150"/>
    <d v="2025-05-04T00:00:00"/>
    <m/>
  </r>
  <r>
    <s v="Nauzeer B. Muneerah"/>
    <s v="Mosque Road, Riche Mare, Flacq"/>
    <s v="East"/>
    <s v="Flacq"/>
    <n v="4139934"/>
    <s v="Nab-Makeup"/>
    <x v="1"/>
    <d v="2025-04-21T00:00:00"/>
    <n v="150"/>
    <d v="2025-05-04T00:00:00"/>
    <m/>
  </r>
  <r>
    <s v="Heeshika Narraine Jhurry"/>
    <s v="Camp Bellin No.1, Henrietta, Vacoas"/>
    <s v="Central"/>
    <s v="Vacoas"/>
    <n v="57597040"/>
    <s v="Nab-Makeup"/>
    <x v="1"/>
    <d v="2025-04-17T00:00:00"/>
    <n v="150"/>
    <d v="2025-05-04T00:00:00"/>
    <m/>
  </r>
  <r>
    <s v="Deeya Maighun"/>
    <s v="Lot 27 Morcellement La Lucie, Pont Lardier, Belair Riviere Seche"/>
    <s v="East"/>
    <s v="Bel Air"/>
    <n v="57832275"/>
    <s v="Nab-Makeup"/>
    <x v="1"/>
    <d v="2025-04-18T00:00:00"/>
    <n v="150"/>
    <d v="2025-05-04T00:00:00"/>
    <m/>
  </r>
  <r>
    <s v="Rushmee Toolsee"/>
    <s v="EDC Lane, 3 Boutiques"/>
    <s v="North"/>
    <s v="Triolet"/>
    <n v="57909410"/>
    <s v="Nab-Makeup"/>
    <x v="1"/>
    <d v="2025-04-18T00:00:00"/>
    <n v="150"/>
    <d v="2025-05-04T00:00:00"/>
    <m/>
  </r>
  <r>
    <s v="Zainab Joomun"/>
    <s v="Arlundo Lane, Post Office Road"/>
    <s v="East"/>
    <s v="Bel Air"/>
    <n v="59263754"/>
    <s v="Nab-Makeup"/>
    <x v="1"/>
    <d v="2025-04-18T00:00:00"/>
    <n v="150"/>
    <d v="2025-05-04T00:00:00"/>
    <m/>
  </r>
  <r>
    <s v="Wardah Nazeer"/>
    <s v="Avenue Emerald, Morc Le Roc, 43 Pailles"/>
    <s v="Central-West"/>
    <s v="Pailles"/>
    <n v="58535826"/>
    <s v="Nab-Makeup"/>
    <x v="1"/>
    <d v="2025-04-17T00:00:00"/>
    <n v="150"/>
    <d v="2025-05-04T00:00:00"/>
    <m/>
  </r>
  <r>
    <s v="Chitra Naiko"/>
    <s v="Bois Marchand Road, Terre Rouge"/>
    <s v="North"/>
    <s v="Terre Rouge"/>
    <n v="55023744"/>
    <s v="Nab-Makeup"/>
    <x v="1"/>
    <d v="2025-04-17T00:00:00"/>
    <n v="150"/>
    <d v="2025-05-04T00:00:00"/>
    <m/>
  </r>
  <r>
    <s v="Shaima Earally"/>
    <s v="Mosque Road"/>
    <s v="South-East"/>
    <s v="Plaine Magnien"/>
    <n v="57996909"/>
    <s v="Nab-Makeup"/>
    <x v="1"/>
    <d v="2025-04-18T00:00:00"/>
    <n v="150"/>
    <d v="2025-05-04T00:00:00"/>
    <m/>
  </r>
  <r>
    <s v="Somauroo Zainab"/>
    <s v="Royal Road, Amaury, Belle Vue Maurel"/>
    <s v="North-East"/>
    <s v="Belle Vue Maurel"/>
    <n v="57529398"/>
    <s v="Nab-Makeup"/>
    <x v="1"/>
    <d v="2025-04-17T00:00:00"/>
    <n v="150"/>
    <d v="2025-05-04T00:00:00"/>
    <m/>
  </r>
  <r>
    <s v="Bibi Zaynab Mooradally"/>
    <s v="Halley Avenue, Morc New Town, Roches Brunes, Rose Hill"/>
    <s v="Central-West"/>
    <s v="Roches Brunes"/>
    <n v="58467424"/>
    <s v="Nab-Makeup"/>
    <x v="1"/>
    <d v="2025-04-17T00:00:00"/>
    <n v="150"/>
    <d v="2025-05-04T00:00:00"/>
    <m/>
  </r>
  <r>
    <s v="Dilmohamud Mushirah"/>
    <s v="Mosque Road"/>
    <s v="Central"/>
    <s v="Highlands"/>
    <n v="57514592"/>
    <s v="Nab-Makeup"/>
    <x v="1"/>
    <d v="2025-04-17T00:00:00"/>
    <n v="150"/>
    <d v="2025-05-04T00:00:00"/>
    <m/>
  </r>
  <r>
    <s v="Nusaybah Jawaheerkhan"/>
    <s v="Avenue Dr Jeetoo, Boundary"/>
    <s v="Plaines Wilhems"/>
    <s v="Rose Hill"/>
    <n v="57672694"/>
    <s v="Nab-Makeup"/>
    <x v="1"/>
    <d v="2025-04-17T00:00:00"/>
    <n v="150"/>
    <d v="2025-05-04T00:00:00"/>
    <m/>
  </r>
  <r>
    <s v="Aleefah Dowlut"/>
    <s v="Camp Mapou"/>
    <s v="Central"/>
    <s v="Henrietta"/>
    <n v="58312603"/>
    <s v="Nab-Makeup"/>
    <x v="1"/>
    <d v="2025-04-17T00:00:00"/>
    <n v="150"/>
    <d v="2025-05-04T00:00:00"/>
    <m/>
  </r>
  <r>
    <s v="Rumaisa Alladin"/>
    <s v="16 Ave Fregatte, Mont St Daniel"/>
    <s v="Central-West"/>
    <s v="Roches Brunes"/>
    <n v="57385701"/>
    <s v="Nab-Makeup"/>
    <x v="1"/>
    <d v="2025-04-17T00:00:00"/>
    <n v="150"/>
    <d v="2025-05-04T00:00:00"/>
    <m/>
  </r>
  <r>
    <s v="Tagally Narmeen"/>
    <s v="Sir Virgil Naz Street (Near Citadelle Mall)"/>
    <s v="North-West"/>
    <s v="Port Louis"/>
    <n v="59006601"/>
    <s v="Nab-Makeup"/>
    <x v="1"/>
    <d v="2025-04-17T00:00:00"/>
    <n v="150"/>
    <d v="2025-05-04T00:00:00"/>
    <m/>
  </r>
  <r>
    <s v="Sharlyn Tang Ying Yuen"/>
    <s v="Jumbo Phoenix Mall (Near MCB ATM)"/>
    <s v="Central"/>
    <s v="Phoenix"/>
    <n v="57881293"/>
    <s v="Nab-Makeup"/>
    <x v="1"/>
    <d v="2025-04-17T00:00:00"/>
    <n v="150"/>
    <d v="2025-05-04T00:00:00"/>
    <m/>
  </r>
  <r>
    <s v="Ramothar Vidoushi"/>
    <s v="Bon Air Branch Road"/>
    <s v="North"/>
    <s v="Triolet"/>
    <s v="57942683 / 2614336"/>
    <s v="Nab-Makeup"/>
    <x v="1"/>
    <d v="2025-04-17T00:00:00"/>
    <n v="150"/>
    <d v="2025-05-04T00:00:00"/>
    <m/>
  </r>
  <r>
    <s v="Bhuvanesha Hulloowan"/>
    <s v="Morcellement Beeharry Boulet Rouge, Central Flacq"/>
    <s v="East"/>
    <s v="Central Flacq"/>
    <n v="59169323"/>
    <s v="Nab-Makeup"/>
    <x v="1"/>
    <d v="2025-04-17T00:00:00"/>
    <n v="150"/>
    <d v="2025-05-04T00:00:00"/>
    <m/>
  </r>
  <r>
    <s v="Nehha Gunga"/>
    <s v="Camp Bombaye, Lane 2"/>
    <s v="Central"/>
    <s v="Vacoas"/>
    <n v="59285877"/>
    <s v="Nab-Makeup"/>
    <x v="1"/>
    <d v="2025-04-17T00:00:00"/>
    <n v="150"/>
    <d v="2025-05-04T00:00:00"/>
    <m/>
  </r>
  <r>
    <s v="Adiilah Dhunny"/>
    <s v="No 2 Bonnefin Pailles OR Riverside"/>
    <s v="Central-West"/>
    <s v="Pailles"/>
    <n v="57060726"/>
    <s v="Nab-Makeup"/>
    <x v="1"/>
    <d v="2025-04-18T00:00:00"/>
    <n v="150"/>
    <d v="2025-05-04T00:00:00"/>
    <m/>
  </r>
  <r>
    <s v="Tansera Joyub"/>
    <s v="6 Buisson Ardent Street"/>
    <s v="North"/>
    <s v="Terre Rouge"/>
    <n v="57819412"/>
    <s v="Nab-Makeup"/>
    <x v="1"/>
    <d v="2025-04-17T00:00:00"/>
    <n v="150"/>
    <d v="2025-05-04T00:00:00"/>
    <m/>
  </r>
  <r>
    <s v="Ruttun Widaad"/>
    <s v="Victoria House, St Louis Street"/>
    <s v="North-West"/>
    <s v="Port Louis"/>
    <n v="59201416"/>
    <s v="Nab-Makeup"/>
    <x v="1"/>
    <d v="2025-04-18T00:00:00"/>
    <n v="150"/>
    <d v="2025-05-04T00:00:00"/>
    <m/>
  </r>
  <r>
    <s v="Sooryana Parianen"/>
    <s v="Bagatelle"/>
    <s v="Central"/>
    <s v="Bagatelle"/>
    <n v="57058466"/>
    <s v="Nab-Makeup"/>
    <x v="1"/>
    <d v="2025-04-17T00:00:00"/>
    <n v="150"/>
    <d v="2025-05-04T00:00:00"/>
    <m/>
  </r>
  <r>
    <s v="Suhailah Mandary"/>
    <s v="50 Avenue Le Conte de Lisle"/>
    <s v="Plaines Wilhems"/>
    <s v="Quatre Bornes"/>
    <n v="57816878"/>
    <s v="Nab-Makeup"/>
    <x v="1"/>
    <d v="2025-04-17T00:00:00"/>
    <n v="150"/>
    <d v="2025-05-04T00:00:00"/>
    <m/>
  </r>
  <r>
    <s v="Esha Kowlessur"/>
    <s v="Royal Road, Camp de Masque Pave"/>
    <s v="East"/>
    <s v="Flacq"/>
    <n v="59074170"/>
    <s v="Nab-Makeup"/>
    <x v="1"/>
    <d v="2025-04-18T00:00:00"/>
    <n v="150"/>
    <d v="2025-05-04T00:00:00"/>
    <m/>
  </r>
  <r>
    <s v="Deepika Atchanna"/>
    <s v="Royal Road,"/>
    <s v="Central-West"/>
    <s v="Valetta"/>
    <n v="58104468"/>
    <s v="Nab-Makeup"/>
    <x v="1"/>
    <d v="2025-04-17T00:00:00"/>
    <n v="150"/>
    <d v="2025-05-04T00:00:00"/>
    <m/>
  </r>
  <r>
    <s v="Shania Sanassy"/>
    <s v="29 pavé d’amour Lane"/>
    <s v="Central-West"/>
    <s v="Coromandel"/>
    <n v="58279196"/>
    <s v="Nab-Makeup"/>
    <x v="1"/>
    <d v="2025-04-17T00:00:00"/>
    <n v="150"/>
    <d v="2025-05-04T00:00:00"/>
    <m/>
  </r>
  <r>
    <s v="Pritee Buleeram"/>
    <s v="Bon Espoir Road"/>
    <s v="South"/>
    <s v="Rivières des Créoles"/>
    <n v="57965628"/>
    <s v="Nab-Makeup"/>
    <x v="1"/>
    <d v="2025-04-18T00:00:00"/>
    <n v="150"/>
    <d v="2025-05-04T00:00:00"/>
    <m/>
  </r>
  <r>
    <s v="Maëva Jaune"/>
    <s v="Camp Madras"/>
    <s v="North-East"/>
    <s v="Grand Gaube"/>
    <n v="54790996"/>
    <s v="Nab-Makeup"/>
    <x v="1"/>
    <d v="2025-04-17T00:00:00"/>
    <n v="150"/>
    <d v="2025-05-04T00:00:00"/>
    <m/>
  </r>
  <r>
    <s v="Fadil Dulloo"/>
    <s v="Petit pacquet"/>
    <s v="East"/>
    <s v="Montagne Blanche"/>
    <n v="59079247"/>
    <s v="Nab-Makeup"/>
    <x v="1"/>
    <d v="2025-04-17T00:00:00"/>
    <n v="150"/>
    <d v="2025-05-04T00:00:00"/>
    <m/>
  </r>
  <r>
    <s v="Nancy Edibrasse"/>
    <s v="Lot 66 morcellement desplaces"/>
    <s v="South-East"/>
    <s v="Plaine Magnien"/>
    <n v="57333585"/>
    <s v="Nab-Makeup"/>
    <x v="1"/>
    <d v="2025-04-18T00:00:00"/>
    <n v="150"/>
    <d v="2025-05-04T00:00:00"/>
    <m/>
  </r>
  <r>
    <s v="Raakshita Sewtohul"/>
    <s v="University of Mauritius near auditorium"/>
    <s v="Central"/>
    <s v="Reduit"/>
    <n v="57265037"/>
    <s v="Nab-Makeup"/>
    <x v="1"/>
    <d v="2025-04-17T00:00:00"/>
    <n v="150"/>
    <d v="2025-05-04T00:00:00"/>
    <m/>
  </r>
  <r>
    <s v="Walliyah Ghanchee"/>
    <s v="R10 Inkerman - Vallee Pitot"/>
    <s v="North-West"/>
    <s v="Port Louis"/>
    <n v="57103915"/>
    <s v="Nab-Makeup"/>
    <x v="1"/>
    <d v="2025-04-17T00:00:00"/>
    <n v="150"/>
    <d v="2025-05-04T00:00:00"/>
    <m/>
  </r>
  <r>
    <s v="Zaheenah Boodeea"/>
    <s v="Solesse Road"/>
    <s v="South"/>
    <s v="Nouvelle France"/>
    <n v="59890536"/>
    <s v="Nab-Makeup"/>
    <x v="1"/>
    <d v="2025-04-17T00:00:00"/>
    <n v="150"/>
    <d v="2025-05-04T00:00:00"/>
    <m/>
  </r>
  <r>
    <s v="Tahrimah Muslum"/>
    <s v="A25 empereur Debarcadere"/>
    <s v="West"/>
    <s v="Pointe Aux Sables"/>
    <n v="59463202"/>
    <s v="Nab-Makeup"/>
    <x v="1"/>
    <d v="2025-04-17T00:00:00"/>
    <n v="150"/>
    <d v="2025-05-04T00:00:00"/>
    <m/>
  </r>
  <r>
    <s v="Meeajane Mukoon Bibi Shaaheenah"/>
    <s v="Ally Lane, Mesnil"/>
    <s v="Central"/>
    <s v="Phoenix"/>
    <n v="57863178"/>
    <s v="Nab-Makeup"/>
    <x v="1"/>
    <d v="2025-04-17T00:00:00"/>
    <n v="150"/>
    <d v="2025-05-04T00:00:00"/>
    <m/>
  </r>
  <r>
    <s v="Yana Engutsamy"/>
    <s v="301, avenue ollier"/>
    <s v="Plaines Wilhems"/>
    <s v="Quatre Bornes"/>
    <n v="57757310"/>
    <s v="Nab-Makeup"/>
    <x v="1"/>
    <d v="2025-04-17T00:00:00"/>
    <n v="150"/>
    <d v="2025-05-04T00:00:00"/>
    <m/>
  </r>
  <r>
    <s v="Hayfaah Sumtally"/>
    <s v="Co Operative Road Bel Air Riviere Seche"/>
    <s v="East"/>
    <s v="Flacq"/>
    <n v="59482268"/>
    <s v="Nab-Makeup"/>
    <x v="1"/>
    <d v="2025-04-18T00:00:00"/>
    <n v="150"/>
    <d v="2025-05-04T00:00:00"/>
    <m/>
  </r>
  <r>
    <s v="Farhanah Joomun"/>
    <s v="River side street petit bel air Mahebourg,"/>
    <s v="South-East"/>
    <s v="Bel Air"/>
    <n v="59664443"/>
    <s v="Nab-Makeup"/>
    <x v="2"/>
    <d v="2025-04-18T00:00:00"/>
    <n v="150"/>
    <d v="2025-05-04T00:00:00"/>
    <m/>
  </r>
  <r>
    <s v="Deeya Rambaruth"/>
    <s v="Ebene near DHL,"/>
    <s v="Central"/>
    <s v="Ebene"/>
    <n v="59160770"/>
    <s v="Nab-Makeup"/>
    <x v="2"/>
    <d v="2025-04-18T00:00:00"/>
    <n v="150"/>
    <d v="2025-05-04T00:00:00"/>
    <m/>
  </r>
  <r>
    <s v="Bholah Pratisha"/>
    <s v="P.Louis Edith Cavell,"/>
    <s v="North-West"/>
    <s v="Port Louis"/>
    <n v="59288347"/>
    <s v="Nab-Makeup"/>
    <x v="2"/>
    <d v="2025-04-21T00:00:00"/>
    <n v="150"/>
    <d v="2025-05-04T00:00:00"/>
    <m/>
  </r>
  <r>
    <s v="Kirtee Ramphul"/>
    <s v="Royal Road St François Galodyne (Elixir Supermarket) Grand Gaube,"/>
    <s v="North-East"/>
    <s v="Grand Gaube"/>
    <n v="58599922"/>
    <s v="Nab-Makeup"/>
    <x v="2"/>
    <d v="2025-04-18T00:00:00"/>
    <n v="150"/>
    <d v="2025-05-04T00:00:00"/>
    <m/>
  </r>
  <r>
    <s v="Deelasha Mandil"/>
    <s v="NeXSky Building, Ebene"/>
    <s v="Central"/>
    <s v="Ebene"/>
    <n v="59055516"/>
    <s v="Nab-Makeup"/>
    <x v="2"/>
    <d v="2025-04-18T00:00:00"/>
    <n v="150"/>
    <d v="2025-05-04T00:00:00"/>
    <m/>
  </r>
  <r>
    <s v="Aliah Rengony"/>
    <s v="Absa House, Ebene,"/>
    <s v="Central"/>
    <s v="Ebene"/>
    <n v="57601772"/>
    <s v="Nab-Makeup"/>
    <x v="2"/>
    <d v="2025-04-18T00:00:00"/>
    <n v="150"/>
    <d v="2025-05-04T00:00:00"/>
    <m/>
  </r>
  <r>
    <s v="Hiresha Bahadoor"/>
    <s v="Royal Road Grande Riviere Sud Est"/>
    <s v="South-East"/>
    <s v="GRSE"/>
    <n v="54857761"/>
    <s v="Nab-Makeup"/>
    <x v="3"/>
    <d v="2025-04-21T00:00:00"/>
    <n v="150"/>
    <d v="2025-05-04T00:00:00"/>
    <m/>
  </r>
  <r>
    <s v="Ameerah Moolkeea"/>
    <s v="Royal road eau coulee Curepipe"/>
    <s v="Central"/>
    <s v="Curepipe"/>
    <s v="59174747 / 6969989"/>
    <s v="Nab-Makeup"/>
    <x v="3"/>
    <d v="2025-04-24T00:00:00"/>
    <n v="150"/>
    <d v="2025-05-04T00:00:00"/>
    <m/>
  </r>
  <r>
    <s v="Esha Bhurtun"/>
    <s v="Royal road Floreal"/>
    <s v="Central"/>
    <s v="Floréal"/>
    <n v="58344705"/>
    <s v="Nab-Makeup"/>
    <x v="3"/>
    <d v="2025-04-21T00:00:00"/>
    <n v="150"/>
    <d v="2025-05-04T00:00:00"/>
    <m/>
  </r>
  <r>
    <s v="Roopashnee Dhotah"/>
    <s v="88, Palma Road Quatre-Bornes"/>
    <s v="Plaines Wilhems"/>
    <s v="Quatre Bornes"/>
    <n v="57864289"/>
    <s v="Nab-Makeup"/>
    <x v="3"/>
    <d v="2025-04-21T00:00:00"/>
    <n v="150"/>
    <d v="2025-05-04T00:00:00"/>
    <m/>
  </r>
  <r>
    <s v="Sajja Kawshar Moideen"/>
    <s v="Gulzare Madina Road, Belvedere, Lalmatie"/>
    <s v="East"/>
    <s v="Lallmatie"/>
    <n v="57801348"/>
    <s v="Nab-Makeup"/>
    <x v="3"/>
    <d v="2025-04-21T00:00:00"/>
    <n v="150"/>
    <d v="2025-05-04T00:00:00"/>
    <m/>
  </r>
  <r>
    <s v="Timira Radhakeesoon"/>
    <s v="Standard Chartered Tower, Ébène"/>
    <s v="Central"/>
    <s v="Ebene"/>
    <n v="58940407"/>
    <s v="Nab-Makeup"/>
    <x v="3"/>
    <d v="2025-04-21T00:00:00"/>
    <n v="150"/>
    <d v="2025-05-04T00:00:00"/>
    <m/>
  </r>
  <r>
    <s v="Rachna Boodhram"/>
    <s v="Royal Road 8th mile Triolet"/>
    <s v="North"/>
    <s v="Triolet"/>
    <n v="58106705"/>
    <s v="Nab-Makeup"/>
    <x v="3"/>
    <d v="2025-04-21T00:00:00"/>
    <n v="150"/>
    <d v="2025-05-04T00:00:00"/>
    <m/>
  </r>
  <r>
    <s v="Lavishka Soodoo"/>
    <s v="Avenue Lavendure Bambous"/>
    <s v="West"/>
    <s v="Bambous"/>
    <n v="55026321"/>
    <s v="Nab-Makeup"/>
    <x v="3"/>
    <d v="2025-04-21T00:00:00"/>
    <n v="150"/>
    <d v="2025-05-04T00:00:00"/>
    <m/>
  </r>
  <r>
    <s v="Nidhi Mohabeer"/>
    <s v="Royal Road Mare Tabac"/>
    <s v="South"/>
    <s v="Mare Tabac"/>
    <n v="59150990"/>
    <s v="Nab-Makeup"/>
    <x v="3"/>
    <d v="2025-04-21T00:00:00"/>
    <n v="150"/>
    <d v="2025-05-04T00:00:00"/>
    <m/>
  </r>
  <r>
    <s v="Havisha Adhin"/>
    <s v="Jackson Road Vacoas"/>
    <s v="Central"/>
    <s v="Vacoas"/>
    <n v="58060901"/>
    <s v="Nab-Makeup"/>
    <x v="3"/>
    <d v="2025-04-21T00:00:00"/>
    <n v="150"/>
    <d v="2025-05-04T00:00:00"/>
    <m/>
  </r>
  <r>
    <s v="Safina Bahadoor"/>
    <s v="Parasol Lane, Mont Fertile, New Grove"/>
    <s v="South"/>
    <s v="New Grove"/>
    <n v="59082537"/>
    <s v="Nab-Makeup"/>
    <x v="3"/>
    <d v="2025-04-21T00:00:00"/>
    <n v="150"/>
    <d v="2025-05-04T00:00:00"/>
    <m/>
  </r>
  <r>
    <s v="Taroona Chinian"/>
    <s v="Shivala Lane, L'Escalier"/>
    <s v="South"/>
    <s v="L'Escalier"/>
    <s v="58294713, 54729080"/>
    <s v="Nab-Makeup"/>
    <x v="3"/>
    <d v="2025-04-21T00:00:00"/>
    <n v="150"/>
    <d v="2025-05-04T00:00:00"/>
    <m/>
  </r>
  <r>
    <s v="Lalita Ubheemun"/>
    <s v="Nissan Road Circonstance St Pierre"/>
    <s v="Central"/>
    <s v="Saint Pierre"/>
    <n v="57082569"/>
    <s v="Nab-Makeup"/>
    <x v="3"/>
    <d v="2025-04-21T00:00:00"/>
    <n v="150"/>
    <d v="2025-05-04T00:00:00"/>
    <m/>
  </r>
  <r>
    <s v="Tejashvee B"/>
    <s v="Appanah Lane, Upper Dagotiere"/>
    <s v="Central"/>
    <s v="Dagotiere"/>
    <n v="57061106"/>
    <s v="Nab-Makeup"/>
    <x v="3"/>
    <d v="2025-04-21T00:00:00"/>
    <n v="150"/>
    <d v="2025-05-04T00:00:00"/>
    <m/>
  </r>
  <r>
    <s v="Hadiyyah Atchia"/>
    <s v="43 Eugene Laurent Street, Port Louis"/>
    <s v="North-West"/>
    <s v="Port Louis"/>
    <n v="59292398"/>
    <s v="Nab-Makeup"/>
    <x v="3"/>
    <d v="2025-04-21T00:00:00"/>
    <n v="150"/>
    <d v="2025-05-04T00:00:00"/>
    <m/>
  </r>
  <r>
    <s v="Sameea Ghanty"/>
    <s v="Gunny Lane, Avenue Belle Rose, Quatre Bornes"/>
    <s v="Plaines Wilhems"/>
    <s v="Quatre Bornes"/>
    <s v="54284665 / 57114550"/>
    <s v="Nab-Makeup"/>
    <x v="3"/>
    <d v="2025-04-21T00:00:00"/>
    <n v="150"/>
    <d v="2025-05-04T00:00:00"/>
    <m/>
  </r>
  <r>
    <s v="Shabnam Jhangeer"/>
    <s v="Plateau Road, Goodlands"/>
    <s v="North"/>
    <s v="Goodlands"/>
    <n v="54786996"/>
    <s v="Nab-Makeup"/>
    <x v="3"/>
    <d v="2025-04-21T00:00:00"/>
    <n v="150"/>
    <d v="2025-05-04T00:00:00"/>
    <m/>
  </r>
  <r>
    <s v="Asha Boodoo"/>
    <s v="Solferino 5, Vacoas"/>
    <s v="Central"/>
    <s v="Vacoas"/>
    <n v="58075756"/>
    <s v="Nab-Makeup"/>
    <x v="3"/>
    <d v="2025-04-21T00:00:00"/>
    <n v="150"/>
    <d v="2025-05-04T00:00:00"/>
    <m/>
  </r>
  <r>
    <s v="Babita Pem-Mohabeer"/>
    <s v="Royal Road Grand Bay"/>
    <s v="North"/>
    <s v="Grand Baie"/>
    <n v="57670296"/>
    <s v="Nab-Makeup"/>
    <x v="3"/>
    <d v="2025-04-21T00:00:00"/>
    <n v="150"/>
    <d v="2025-05-04T00:00:00"/>
    <m/>
  </r>
  <r>
    <s v="Ruksaar Durgahee"/>
    <s v="Avenue Perche 3, Pailles"/>
    <s v="Central-West"/>
    <s v="Pailles"/>
    <s v="58963808 / 59033340"/>
    <s v="Nab-Makeup"/>
    <x v="3"/>
    <d v="2025-04-21T00:00:00"/>
    <n v="150"/>
    <d v="2025-05-04T00:00:00"/>
    <m/>
  </r>
  <r>
    <s v="Marie Emillie Tasiana Hypolite"/>
    <s v="B11 Cite EDC, Henrietta"/>
    <s v="Central"/>
    <s v="Henrietta"/>
    <n v="59777754"/>
    <s v="Nab-Makeup"/>
    <x v="3"/>
    <d v="2025-04-24T00:00:00"/>
    <n v="150"/>
    <d v="2025-05-04T00:00:00"/>
    <m/>
  </r>
  <r>
    <s v="Roodeetah Mungur"/>
    <s v="Swan, Port Louis"/>
    <s v="North-West"/>
    <s v="Port Louis"/>
    <n v="59759450"/>
    <s v="Nab-Makeup"/>
    <x v="3"/>
    <d v="2025-04-24T00:00:00"/>
    <n v="150"/>
    <d v="2025-05-04T00:00:00"/>
    <m/>
  </r>
  <r>
    <s v="Banoo Mooraby"/>
    <s v="218 Sadally Road, Vacoas"/>
    <s v="Central"/>
    <s v="Vacoas"/>
    <n v="57673391"/>
    <s v="Nab-Makeup"/>
    <x v="4"/>
    <d v="2025-04-24T00:00:00"/>
    <n v="150"/>
    <d v="2025-05-04T00:00:00"/>
    <m/>
  </r>
  <r>
    <s v="Juwayia Peerbux"/>
    <s v="5 Avenue La Louise, Quatre Bornes"/>
    <s v="Plaines Wilhems"/>
    <s v="Quatre Bornes"/>
    <n v="57986302"/>
    <s v="Nab-Makeup"/>
    <x v="4"/>
    <d v="2025-04-24T00:00:00"/>
    <n v="150"/>
    <d v="2025-05-04T00:00:00"/>
    <m/>
  </r>
  <r>
    <s v="Zaafirah Keramuth"/>
    <s v="Kader Road, Belvedere or Notre Dame"/>
    <s v="Central"/>
    <s v="Belvedere"/>
    <n v="58009660"/>
    <s v="Nab-Makeup"/>
    <x v="4"/>
    <d v="2025-04-24T00:00:00"/>
    <n v="150"/>
    <d v="2025-05-04T00:00:00"/>
    <m/>
  </r>
  <r>
    <s v="Suhaila Fatimah Ismael"/>
    <s v="Royal Road, Medine, Camp De Masque"/>
    <s v="East"/>
    <s v="Medine Camp De Masque"/>
    <n v="59144058"/>
    <s v="Nab-Makeup"/>
    <x v="4"/>
    <d v="2025-04-24T00:00:00"/>
    <n v="150"/>
    <d v="2025-05-04T00:00:00"/>
    <m/>
  </r>
  <r>
    <s v="Shiksha Sanmukhiya"/>
    <s v="Royal Road, Central Flacq"/>
    <s v="East"/>
    <s v="Central Flacq"/>
    <n v="57687500"/>
    <s v="Nab-Makeup"/>
    <x v="4"/>
    <d v="2025-04-24T00:00:00"/>
    <n v="150"/>
    <d v="2025-05-04T00:00:00"/>
    <m/>
  </r>
  <r>
    <s v="Shashthee Gooroochurun"/>
    <s v="La Ligne Road, Pavillon, Cap Malheureux"/>
    <s v="North"/>
    <s v="Cap Malheureux"/>
    <n v="57326905"/>
    <s v="Nab-Makeup"/>
    <x v="4"/>
    <d v="2025-04-24T00:00:00"/>
    <n v="150"/>
    <d v="2025-05-04T00:00:00"/>
    <m/>
  </r>
  <r>
    <s v="Komal Simmento"/>
    <s v="Coonee Road, Trois Bras, Petit Raffray"/>
    <s v="North"/>
    <s v="Petit Raffray"/>
    <n v="58347280"/>
    <s v="Nab-Makeup"/>
    <x v="4"/>
    <d v="2025-04-24T00:00:00"/>
    <n v="150"/>
    <d v="2025-05-04T00:00:00"/>
    <m/>
  </r>
  <r>
    <s v="Chayaa Sobhee"/>
    <s v="Accuvise Administrators Limited, 7A Mayer Street, Behind Radio Plus, Port Louis"/>
    <s v="North-West"/>
    <s v="Port Louis"/>
    <n v="59157334"/>
    <s v="Nab-Makeup"/>
    <x v="4"/>
    <d v="2025-04-24T00:00:00"/>
    <n v="150"/>
    <d v="2025-05-04T00:00:00"/>
    <m/>
  </r>
  <r>
    <s v="Shaliha Oumé Baichoo"/>
    <s v="21, Ail Doré, Plaine Verte, Port Louis"/>
    <s v="North-West"/>
    <s v="Port Louis"/>
    <n v="59262648"/>
    <s v="Nab-Makeup"/>
    <x v="4"/>
    <d v="2025-04-24T00:00:00"/>
    <n v="150"/>
    <d v="2025-05-04T00:00:00"/>
    <m/>
  </r>
  <r>
    <s v="Aneesah Toofany"/>
    <s v="Toofany Road, Surinam"/>
    <s v="South"/>
    <s v="Surinam"/>
    <n v="59100587"/>
    <s v="Nab-Makeup"/>
    <x v="4"/>
    <d v="2025-04-24T00:00:00"/>
    <n v="150"/>
    <d v="2025-05-04T00:00:00"/>
    <m/>
  </r>
  <r>
    <s v="Megha Urjoon"/>
    <s v="Maman Saluja Ltee, Lot 8A &amp; 8B, Industrial Zone, Geoffrey, Bambous"/>
    <s v="West"/>
    <s v="Bambous"/>
    <n v="58225135"/>
    <s v="Nab-Makeup"/>
    <x v="4"/>
    <d v="2025-04-24T00:00:00"/>
    <n v="150"/>
    <d v="2025-05-04T00:00:00"/>
    <m/>
  </r>
  <r>
    <s v="Yashna Gunga"/>
    <s v="La Lucie Building, Bel Air Rivière Seche"/>
    <s v="East"/>
    <s v="Flacq"/>
    <n v="58192241"/>
    <s v="Nab-Makeup"/>
    <x v="4"/>
    <d v="2025-04-24T00:00:00"/>
    <n v="150"/>
    <d v="2025-05-04T00:00:00"/>
    <m/>
  </r>
  <r>
    <s v="Stella Monrose Jahasha"/>
    <s v="Cremation Road, Belle Mare"/>
    <s v="East"/>
    <s v="Belle Mare"/>
    <n v="54754790"/>
    <s v="Nab-Makeup"/>
    <x v="4"/>
    <d v="2025-04-24T00:00:00"/>
    <n v="150"/>
    <d v="2025-05-04T00:00:00"/>
    <m/>
  </r>
  <r>
    <s v="Arzinah Ajaree"/>
    <s v="Royal Road, Nouvelle Decouverte"/>
    <s v="Central"/>
    <s v="Saint Pierre"/>
    <n v="57864343"/>
    <s v="Nab-Makeup"/>
    <x v="4"/>
    <d v="2025-04-24T00:00:00"/>
    <n v="150"/>
    <d v="2025-05-04T00:00:00"/>
    <m/>
  </r>
  <r>
    <s v="Urvashi Roopa"/>
    <s v="Savanne Road, Nouvelle France"/>
    <s v="East"/>
    <s v="Nouvelle France"/>
    <n v="57566408"/>
    <s v="Nab-Makeup"/>
    <x v="4"/>
    <d v="2025-04-24T00:00:00"/>
    <n v="150"/>
    <d v="2025-05-04T00:00:00"/>
    <m/>
  </r>
  <r>
    <s v="Jenita Labonne"/>
    <s v="Geoffroy Road, Bambous"/>
    <s v="West"/>
    <s v="Bambous"/>
    <n v="58262238"/>
    <s v="Nab-Makeup"/>
    <x v="4"/>
    <d v="2025-04-24T00:00:00"/>
    <n v="150"/>
    <d v="2025-05-04T00:00:00"/>
    <m/>
  </r>
  <r>
    <s v="Menisa Pahladi"/>
    <s v="Royal Road, Valetta"/>
    <s v="Central"/>
    <s v="Valetta"/>
    <n v="59233319"/>
    <s v="Nab-Makeup"/>
    <x v="4"/>
    <d v="2025-04-24T00:00:00"/>
    <n v="150"/>
    <d v="2025-05-04T00:00:00"/>
    <m/>
  </r>
  <r>
    <s v="Afrinbanu Rujub"/>
    <s v="Royal Road, Brisee Verdiere"/>
    <s v="East"/>
    <s v="Brisée Verdiere"/>
    <n v="57761275"/>
    <s v="Nab-Makeup"/>
    <x v="4"/>
    <d v="2025-04-24T00:00:00"/>
    <n v="150"/>
    <d v="2025-05-04T00:00:00"/>
    <m/>
  </r>
  <r>
    <s v="Karan Seechurn"/>
    <s v="Canton Bel Eau, Pamplemousses"/>
    <s v="North-East"/>
    <s v="Pamplemousses"/>
    <n v="57605468"/>
    <s v="Nab-Makeup"/>
    <x v="4"/>
    <d v="2025-04-24T00:00:00"/>
    <n v="150"/>
    <d v="2025-05-04T00:00:00"/>
    <m/>
  </r>
  <r>
    <s v="Bhawoonath Souman"/>
    <s v="Gros Billot, Bois d'oiseau Lane, New Grove"/>
    <s v="South"/>
    <s v="New Grove"/>
    <n v="57529033"/>
    <s v="Nab-Makeup"/>
    <x v="4"/>
    <d v="2025-04-24T00:00:00"/>
    <n v="150"/>
    <d v="2025-05-04T00:00:00"/>
    <m/>
  </r>
  <r>
    <s v="Juliana Clement"/>
    <s v="G29 Residence Geranium, NHDC Camp Levieux, Rose Hill"/>
    <s v="Plaines Wilhems"/>
    <s v="Rose Hill"/>
    <n v="57495193"/>
    <s v="Nab-Makeup"/>
    <x v="4"/>
    <d v="2025-04-28T00:00:00"/>
    <n v="150"/>
    <d v="2025-05-04T00:00:00"/>
    <m/>
  </r>
  <r>
    <s v="Jeetoo Maleehah Bibi"/>
    <s v="40C Parisot Road, Mesnil"/>
    <s v="Central"/>
    <s v="Phoenix"/>
    <n v="58084303"/>
    <s v="Nab-Makeup"/>
    <x v="4"/>
    <d v="2025-04-24T00:00:00"/>
    <n v="150"/>
    <d v="2025-05-04T00:00:00"/>
    <m/>
  </r>
  <r>
    <s v="Amiirah Deenmahomed"/>
    <s v="Moncellement Currumthalee, Glen Park"/>
    <s v="Central"/>
    <s v="Vacoas"/>
    <n v="54899559"/>
    <s v="Nab-Makeup"/>
    <x v="5"/>
    <d v="2025-04-28T00:00:00"/>
    <n v="150"/>
    <d v="2025-05-04T00:00:00"/>
    <m/>
  </r>
  <r>
    <s v="Areefah Peerun"/>
    <s v="120B Royal Road, Phoenix"/>
    <s v="Central"/>
    <s v="Phoenix"/>
    <n v="57624316"/>
    <s v="Nab-Makeup"/>
    <x v="5"/>
    <d v="2025-04-28T00:00:00"/>
    <n v="150"/>
    <d v="2025-05-04T00:00:00"/>
    <m/>
  </r>
  <r>
    <s v="Bibi Yasmine Hessamdee"/>
    <s v="Royal Road, Nouvelle France"/>
    <s v="South"/>
    <s v="Nouvelle France"/>
    <n v="59125096"/>
    <s v="Nab-Makeup"/>
    <x v="5"/>
    <d v="2025-04-30T00:00:00"/>
    <n v="150"/>
    <d v="2025-05-04T00:00:00"/>
    <m/>
  </r>
  <r>
    <s v="Esha Soorlall"/>
    <s v="Royal Road, La Flora"/>
    <s v="South"/>
    <s v="La Flora"/>
    <n v="58229872"/>
    <s v="Nab-Makeup"/>
    <x v="5"/>
    <d v="2025-04-30T00:00:00"/>
    <n v="150"/>
    <d v="2025-05-04T00:00:00"/>
    <m/>
  </r>
  <r>
    <s v="Farheen Hossenbocus"/>
    <s v="Camp Berthaud, Britannia"/>
    <s v="South"/>
    <s v="Britannia"/>
    <n v="57045624"/>
    <s v="Nab-Makeup"/>
    <x v="5"/>
    <d v="2025-04-28T00:00:00"/>
    <n v="150"/>
    <d v="2025-05-04T00:00:00"/>
    <m/>
  </r>
  <r>
    <s v="Felicia Sansfleur Saminathen"/>
    <s v="Block B7, Cité Saint Aubin"/>
    <s v="South"/>
    <s v="Britannia"/>
    <n v="57550990"/>
    <s v="Nab-Makeup"/>
    <x v="5"/>
    <d v="2025-04-28T00:00:00"/>
    <n v="150"/>
    <d v="2025-05-04T00:00:00"/>
    <m/>
  </r>
  <r>
    <s v="Furreed Mariam"/>
    <s v="Ibn vale, Lower vale, Vale"/>
    <s v="North"/>
    <s v="Vale"/>
    <n v="58157009"/>
    <s v="Nab-Makeup"/>
    <x v="5"/>
    <d v="2025-04-28T00:00:00"/>
    <n v="150"/>
    <d v="2025-05-04T00:00:00"/>
    <m/>
  </r>
  <r>
    <s v="Hayna Golamaully"/>
    <s v="La Croisette, Grand Baie"/>
    <s v="North"/>
    <s v="Grand Baie"/>
    <n v="57760424"/>
    <s v="Nab-Makeup"/>
    <x v="5"/>
    <d v="2025-04-28T00:00:00"/>
    <n v="150"/>
    <d v="2025-05-04T00:00:00"/>
    <m/>
  </r>
  <r>
    <s v="Heerah Ashilya"/>
    <s v="Canal Lane, St Julien d’Hotman"/>
    <s v="East"/>
    <s v="St Julien D'Hotman"/>
    <n v="58275693"/>
    <s v="Nab-Makeup"/>
    <x v="5"/>
    <d v="2025-04-28T00:00:00"/>
    <n v="150"/>
    <d v="2025-05-04T00:00:00"/>
    <m/>
  </r>
  <r>
    <s v="Hiswaree Ramloll"/>
    <s v="Paul et Virginie street, Lesperance, Quartier Militaire"/>
    <s v="Central"/>
    <s v="Quartier Militaire"/>
    <n v="57743751"/>
    <s v="Nab-Makeup"/>
    <x v="5"/>
    <d v="2025-04-28T00:00:00"/>
    <n v="150"/>
    <d v="2025-05-04T00:00:00"/>
    <m/>
  </r>
  <r>
    <s v="Jeetoo Rishita"/>
    <s v="Petite Cabane Road, Camp de Masque Pave"/>
    <s v="East"/>
    <s v="Medine Camp De Masque"/>
    <n v="59278610"/>
    <s v="Nab-Makeup"/>
    <x v="5"/>
    <d v="2025-04-28T00:00:00"/>
    <n v="150"/>
    <d v="2025-05-04T00:00:00"/>
    <m/>
  </r>
  <r>
    <s v="Karishma Bedassee"/>
    <s v="Lot 89, Morcellement Boulet Rouge, Boulet Rouge, Flacq"/>
    <s v="East"/>
    <s v="Flacq"/>
    <n v="57942963"/>
    <s v="Nab-Makeup"/>
    <x v="5"/>
    <d v="2025-04-28T00:00:00"/>
    <n v="150"/>
    <d v="2025-05-04T00:00:00"/>
    <m/>
  </r>
  <r>
    <s v="Keshini Chattoo"/>
    <s v="43 Fernard Louis Maurel Street, Grand river north west"/>
    <s v="North-West"/>
    <s v="Grand River North West"/>
    <n v="58323473"/>
    <s v="Nab-Makeup"/>
    <x v="5"/>
    <d v="2025-04-28T00:00:00"/>
    <n v="150"/>
    <d v="2025-05-04T00:00:00"/>
    <m/>
  </r>
  <r>
    <s v="Khoushboo Hatchootah"/>
    <s v="L'Escalier, Tagore Lane"/>
    <s v="South-East"/>
    <s v="L'Escalier"/>
    <n v="58172717"/>
    <s v="Nab-Makeup"/>
    <x v="5"/>
    <d v="2025-04-28T00:00:00"/>
    <n v="150"/>
    <d v="2025-05-04T00:00:00"/>
    <m/>
  </r>
  <r>
    <s v="Lutchmee Kanhiya"/>
    <s v="Royal Road Bananes, Cluny, Grand Port"/>
    <s v="South-East"/>
    <s v="Cluny"/>
    <n v="58251896"/>
    <s v="Nab-Makeup"/>
    <x v="5"/>
    <d v="2025-04-28T00:00:00"/>
    <n v="150"/>
    <d v="2025-05-04T00:00:00"/>
    <m/>
  </r>
  <r>
    <s v="Lutchmun Vristee"/>
    <s v="Shrimati Indira Gandhi Road, Pointe Aux Piments, Triolet"/>
    <s v="North"/>
    <s v="Triolet"/>
    <n v="54578490"/>
    <s v="Nab-Makeup"/>
    <x v="5"/>
    <d v="2025-04-28T00:00:00"/>
    <n v="150"/>
    <d v="2025-05-04T00:00:00"/>
    <m/>
  </r>
  <r>
    <s v="Melina Janvier"/>
    <s v="Road 1, Apalise Lane, 15 Cantons, Tabagie Islam, Vacoas"/>
    <s v="Central"/>
    <s v="Vacoas"/>
    <n v="59314546"/>
    <s v="Nab-Makeup"/>
    <x v="5"/>
    <d v="2025-04-28T00:00:00"/>
    <n v="150"/>
    <d v="2025-05-04T00:00:00"/>
    <m/>
  </r>
  <r>
    <s v="Nabeehah Nuthay"/>
    <s v="76, Etienne Pelereau, Port-Louis"/>
    <s v="North-West"/>
    <s v="Port Louis"/>
    <n v="57525551"/>
    <s v="Nab-Makeup"/>
    <x v="5"/>
    <d v="2025-04-28T00:00:00"/>
    <n v="150"/>
    <d v="2025-05-04T00:00:00"/>
    <m/>
  </r>
  <r>
    <s v="Namrata Etwareea"/>
    <s v="Morcellement Jeeraz, Maison Blanche, Pamplemousses"/>
    <s v="North-East"/>
    <s v="Pamplemousses"/>
    <n v="59186019"/>
    <s v="Nab-Makeup"/>
    <x v="5"/>
    <d v="2025-04-28T00:00:00"/>
    <n v="150"/>
    <d v="2025-05-04T00:00:00"/>
    <m/>
  </r>
  <r>
    <s v="Neha Sohabul"/>
    <s v="Temple Road, Quartier Militaire"/>
    <s v="Central"/>
    <s v="Quartier Militaire"/>
    <n v="57771164"/>
    <s v="Nab-Makeup"/>
    <x v="5"/>
    <d v="2025-04-28T00:00:00"/>
    <n v="150"/>
    <d v="2025-05-04T00:00:00"/>
    <m/>
  </r>
  <r>
    <s v="Vasthi Callachand"/>
    <s v="Saint Hubert / Riche En Eau"/>
    <s v="South"/>
    <s v="Saint Hubert"/>
    <n v="57825226"/>
    <s v="Nab-Makeup"/>
    <x v="5"/>
    <d v="2025-04-28T00:00:00"/>
    <n v="150"/>
    <d v="2025-05-04T00:00:00"/>
    <m/>
  </r>
  <r>
    <s v="Ravishka Devi Seewoodharry"/>
    <s v="Royal Road, L'escalier, Grand Port"/>
    <s v="South-East"/>
    <s v="L'Escalier"/>
    <n v="57067565"/>
    <s v="Nab-Makeup"/>
    <x v="5"/>
    <d v="2025-04-28T00:00:00"/>
    <n v="150"/>
    <d v="2025-05-04T00:00:00"/>
    <m/>
  </r>
  <r>
    <s v="Sadi Delior"/>
    <s v="Cnr Ave De Coriolis Royal Road, Belle Rose"/>
    <s v="Central-West"/>
    <s v="Belle Rose"/>
    <n v="59718556"/>
    <s v="Nab-Makeup"/>
    <x v="5"/>
    <d v="2025-04-28T00:00:00"/>
    <n v="150"/>
    <d v="2025-05-04T00:00:00"/>
    <m/>
  </r>
  <r>
    <s v="Tansera Joyub"/>
    <s v="6 Buisson Ardent Street, Terre Rouge"/>
    <s v="North"/>
    <s v="Terre Rouge"/>
    <n v="57819412"/>
    <s v="Nab-Makeup"/>
    <x v="5"/>
    <d v="2025-04-28T00:00:00"/>
    <n v="150"/>
    <d v="2025-05-04T00:00:00"/>
    <m/>
  </r>
  <r>
    <s v="Mohini Jugoo"/>
    <s v="32 A, Les Casernes, Curepipe"/>
    <s v="Central"/>
    <s v="Curepipe"/>
    <n v="58115988"/>
    <s v="Nab-Makeup"/>
    <x v="5"/>
    <d v="2025-05-01T00:00:00"/>
    <n v="150"/>
    <d v="2025-05-04T00:00:00"/>
    <m/>
  </r>
  <r>
    <s v="Tanya Donzé"/>
    <s v="Chemin 20 pieds, Grand Baie"/>
    <s v="North"/>
    <s v="Grand Baie"/>
    <n v="52516583"/>
    <s v="Nab-Makeup"/>
    <x v="5"/>
    <d v="2025-04-28T00:00:00"/>
    <n v="150"/>
    <d v="2025-05-04T00:00:00"/>
    <m/>
  </r>
  <r>
    <s v="Zaynah Ramjan"/>
    <s v="Lot 165B, Morc Anna, Flic-en-flac"/>
    <s v="West"/>
    <s v="Flic En Flac"/>
    <n v="58161684"/>
    <s v="Nab-Makeup"/>
    <x v="5"/>
    <d v="2025-04-28T00:00:00"/>
    <n v="150"/>
    <d v="2025-05-04T00:00:00"/>
    <m/>
  </r>
  <r>
    <s v="Preeyankha Gunputh"/>
    <s v="Bank of Baroda"/>
    <s v="North-West"/>
    <s v="Port Louis"/>
    <n v="57556989"/>
    <s v="Nab-Makeup"/>
    <x v="5"/>
    <d v="2025-04-28T00:00:00"/>
    <n v="150"/>
    <d v="2025-05-04T00:00:00"/>
    <m/>
  </r>
  <r>
    <s v="Muhammad Azhar Earally"/>
    <s v="Mosque Road, Plaine Magnien, Mauritius"/>
    <s v="South"/>
    <s v="Plaine Magnien"/>
    <n v="58245547"/>
    <s v="Nab-Makeup"/>
    <x v="6"/>
    <d v="2025-04-30T00:00:00"/>
    <n v="150"/>
    <d v="2025-05-04T00:00:00"/>
    <m/>
  </r>
  <r>
    <s v="Rajiv Ramphul"/>
    <s v="Kasory Lane, La Rosa, Grand Port District, Mauritius"/>
    <s v="La Rosa"/>
    <s v="La Rosa"/>
    <n v="59894198"/>
    <s v="Nab-Makeup"/>
    <x v="6"/>
    <d v="2025-04-30T00:00:00"/>
    <n v="150"/>
    <d v="2025-05-04T00:00:00"/>
    <m/>
  </r>
  <r>
    <s v="Yeshna Nemdharry"/>
    <s v="10 Mon Gungah Larosa"/>
    <s v="South"/>
    <s v="La Rosa"/>
    <n v="59892015"/>
    <s v="Nab-Makeup"/>
    <x v="6"/>
    <d v="2025-04-30T00:00:00"/>
    <n v="150"/>
    <d v="2025-05-04T00:00:00"/>
    <m/>
  </r>
  <r>
    <s v="Shristi Beezlall"/>
    <s v="Roshni Road, Fond du sac, Port Louis"/>
    <s v="North"/>
    <s v="Fond Du Sac"/>
    <n v="57525609"/>
    <s v="Nab-Makeup"/>
    <x v="5"/>
    <d v="2025-05-01T00:00:00"/>
    <n v="150"/>
    <d v="2025-05-04T00:00:00"/>
    <m/>
  </r>
  <r>
    <s v="Taniya Ashika Latouche"/>
    <s v="Providence, Quartier Militaire"/>
    <s v="Central"/>
    <s v="Quartier Militaire"/>
    <n v="57144639"/>
    <s v="Nab-Makeup"/>
    <x v="5"/>
    <d v="2025-05-01T00:00:00"/>
    <n v="150"/>
    <d v="2025-05-04T00:00:00"/>
    <m/>
  </r>
  <r>
    <s v="Saheeba Soobratty"/>
    <s v="Royal Road, Grand Bois ( Near Twilight Shop), Savanne"/>
    <s v="Grand Bois"/>
    <s v="Grand Bois"/>
    <n v="58290737"/>
    <s v="Nab-Makeup"/>
    <x v="6"/>
    <d v="2025-04-30T00:00:00"/>
    <n v="150"/>
    <d v="2025-05-04T00:00:00"/>
    <m/>
  </r>
  <r>
    <s v="Mrs Tinasha Naikoo"/>
    <s v="Royal Road, Cluny"/>
    <s v="Flacq"/>
    <s v="Cluny"/>
    <n v="58269525"/>
    <s v="Nab-Makeup"/>
    <x v="6"/>
    <d v="2025-04-30T00:00:00"/>
    <n v="150"/>
    <d v="2025-05-04T00:00:00"/>
    <m/>
  </r>
  <r>
    <s v="Priya Bundhoo"/>
    <s v="MCIA Head Office, MSIRI Complex, Reduit"/>
    <s v="Central"/>
    <s v="Reduit"/>
    <n v="57954180"/>
    <s v="OKASINA"/>
    <x v="0"/>
    <d v="2025-04-14T00:00:00"/>
    <n v="150"/>
    <d v="2025-05-04T00:00:00"/>
    <m/>
  </r>
  <r>
    <s v="Zarreen Hyder Aullybux"/>
    <s v="Clinique Darne - Georges Guibert St, Curepipe 74111"/>
    <s v="South"/>
    <s v="Curepipe"/>
    <n v="57974532"/>
    <s v="OKASINA"/>
    <x v="0"/>
    <d v="2025-04-17T00:00:00"/>
    <n v="0"/>
    <d v="2025-05-04T00:00:00"/>
    <m/>
  </r>
  <r>
    <s v="Suman Poonuth"/>
    <s v="Swaraj Road, Petit Raffray"/>
    <s v="North"/>
    <s v="Petit Raffray"/>
    <n v="57067009"/>
    <s v="OKASINA"/>
    <x v="3"/>
    <d v="2025-04-21T00:00:00"/>
    <n v="150"/>
    <d v="2025-05-04T00:00:00"/>
    <m/>
  </r>
  <r>
    <s v="Anooja Jugoo"/>
    <s v="L'Assurance Road, Dagotiere"/>
    <s v="Central"/>
    <s v="Dagotiere"/>
    <n v="57244070"/>
    <s v="OKASINA"/>
    <x v="5"/>
    <d v="2025-05-01T00:00:00"/>
    <n v="150"/>
    <d v="2025-05-04T00:00:00"/>
    <m/>
  </r>
  <r>
    <s v="Neha Beeharry"/>
    <s v="14 Avenue Yang Ylang"/>
    <s v="Plaines Wilhems"/>
    <s v="Quatre Bornes"/>
    <n v="59120596"/>
    <s v="OKASINA"/>
    <x v="4"/>
    <d v="2025-04-24T00:00:00"/>
    <n v="150"/>
    <d v="2025-05-04T00:00:00"/>
    <m/>
  </r>
  <r>
    <s v="Varuna Ramburrun"/>
    <s v="Royal Road, St Julien D'Hotman"/>
    <s v="East"/>
    <s v="St Julien D'Hotman"/>
    <n v="52526373"/>
    <s v="OKASINA"/>
    <x v="4"/>
    <d v="2025-04-24T00:00:00"/>
    <n v="150"/>
    <d v="2025-05-04T00:00:00"/>
    <m/>
  </r>
  <r>
    <s v="Pratibha Lutchmah"/>
    <s v="Morcellement VRS, D’Epinay, Mauritius"/>
    <s v="South"/>
    <s v="D'Epinay"/>
    <n v="58164806"/>
    <s v="Nab-Makeup"/>
    <x v="6"/>
    <d v="2025-05-01T00:00:00"/>
    <n v="150"/>
    <d v="2025-05-04T00:00:00"/>
    <m/>
  </r>
  <r>
    <s v="Bibi Samira Ameenah"/>
    <s v="Pavillon Road, Cap-Malheureux, Mauritius"/>
    <s v="North"/>
    <s v="Cap Malheureux"/>
    <n v="54873998"/>
    <s v="Nab-Makeup"/>
    <x v="6"/>
    <d v="2025-05-01T00:00:00"/>
    <n v="150"/>
    <d v="2025-05-04T00:00:00"/>
    <m/>
  </r>
  <r>
    <s v="Reshma Dhondoo"/>
    <s v="CEB"/>
    <s v="Central"/>
    <s v="Ebene"/>
    <n v="59072677"/>
    <s v="OKASINA"/>
    <x v="4"/>
    <d v="2025-04-24T00:00:00"/>
    <n v="150"/>
    <d v="2025-05-04T00:00:00"/>
    <m/>
  </r>
  <r>
    <s v="Jessica Gurreeboo"/>
    <s v="Old Pailles Road, Ideco Ltd, Pailles West, Mauritius"/>
    <s v="Central"/>
    <s v="Pailles"/>
    <n v="59341806"/>
    <s v="Nab-Makeup"/>
    <x v="6"/>
    <d v="2025-05-03T00:00:00"/>
    <n v="150"/>
    <d v="2025-05-04T00:00:00"/>
    <m/>
  </r>
  <r>
    <s v="Rubainah Ollee"/>
    <s v="Royal Road, Goodlands (Pharmacy Burahee Vis À Vis La Post Goodlands)"/>
    <s v="North"/>
    <s v="Goodlands"/>
    <n v="59470674"/>
    <s v="Nab-Makeup"/>
    <x v="6"/>
    <d v="2025-05-01T00:00:00"/>
    <n v="150"/>
    <d v="2025-05-04T00:00:00"/>
    <m/>
  </r>
  <r>
    <s v="Ivania Marday"/>
    <s v="Flat No4, Auckbarally House, La Caverne, Vacoas"/>
    <s v="Central"/>
    <s v="Vacoas"/>
    <n v="57836894"/>
    <s v="Nab-Makeup"/>
    <x v="6"/>
    <d v="2025-05-01T00:00:00"/>
    <n v="150"/>
    <d v="2025-05-04T00:00:00"/>
    <m/>
  </r>
  <r>
    <s v="Laure Martin"/>
    <s v="11 Rue Camelia Terrasson Pointe Aux Sables"/>
    <s v="West"/>
    <s v="Pointe Aux Sables"/>
    <n v="54932287"/>
    <s v="Nab-Makeup"/>
    <x v="6"/>
    <d v="2025-05-01T00:00:00"/>
    <n v="150"/>
    <d v="2025-05-04T00:00:00"/>
    <m/>
  </r>
  <r>
    <s v="Sabrina Parrianen"/>
    <s v="Appt NHDC N07 La Caverne Vacoas"/>
    <s v="Central"/>
    <s v="Vacoas"/>
    <n v="59778727"/>
    <s v="Nab-Makeup"/>
    <x v="6"/>
    <d v="2025-05-01T00:00:00"/>
    <n v="150"/>
    <d v="2025-05-04T00:00:00"/>
    <m/>
  </r>
  <r>
    <s v="Mrs Joomun Dahoo"/>
    <s v="Shakespere Lane, Plaine Des Papayes"/>
    <s v="North"/>
    <s v="Plaines des Papayes"/>
    <n v="57555242"/>
    <s v="OKASINA"/>
    <x v="4"/>
    <d v="2025-04-24T00:00:00"/>
    <n v="150"/>
    <d v="2025-05-04T00:00:00"/>
    <m/>
  </r>
  <r>
    <s v="Narainnee Kardaree"/>
    <s v="Ramphul Lane 16eme Mille F.Side"/>
    <s v="South"/>
    <s v="Forest Side"/>
    <n v="58321701"/>
    <s v="Nab-Makeup"/>
    <x v="6"/>
    <d v="2025-05-01T00:00:00"/>
    <n v="150"/>
    <d v="2025-05-04T00:00:00"/>
    <m/>
  </r>
  <r>
    <s v="Yashni Beetalah"/>
    <s v="10 Route Bassin Quatre Bornes"/>
    <s v="Plaines Wilhems"/>
    <s v="Quatre Bornes"/>
    <n v="57850366"/>
    <s v="Nab-Makeup"/>
    <x v="6"/>
    <d v="2025-05-01T00:00:00"/>
    <n v="150"/>
    <d v="2025-05-04T00:00:00"/>
    <m/>
  </r>
  <r>
    <s v="Bhogun Brojmohun Sneha"/>
    <s v="School Lane Petit Raffray"/>
    <s v="North"/>
    <s v="Petit Raffray"/>
    <n v="58304221"/>
    <s v="Nab-Makeup"/>
    <x v="6"/>
    <d v="2025-05-01T00:00:00"/>
    <n v="150"/>
    <d v="2025-05-04T00:00:00"/>
    <m/>
  </r>
  <r>
    <s v="Tiroomalai Mathurai Tirvassen"/>
    <s v="Daboo Lane, Quinze Cantons, Vacoas"/>
    <s v="Central"/>
    <s v="Vacoas"/>
    <n v="59068217"/>
    <s v="Nab-Makeup"/>
    <x v="6"/>
    <d v="2025-05-01T00:00:00"/>
    <n v="150"/>
    <d v="2025-05-04T00:00:00"/>
    <m/>
  </r>
  <r>
    <s v="Zakkiyya Chukhowry"/>
    <s v="Chakowa Lane, La Caverne No.1, Vacoas"/>
    <s v="Central"/>
    <s v="Vacoas"/>
    <n v="52570110"/>
    <s v="Nab-Makeup"/>
    <x v="6"/>
    <d v="2025-05-01T00:00:00"/>
    <n v="150"/>
    <d v="2025-05-04T00:00:00"/>
    <m/>
  </r>
  <r>
    <s v="Vanelli Modely Vyapooree"/>
    <s v="Royal Road, Amaury"/>
    <s v="South"/>
    <s v="Amaury"/>
    <n v="59188047"/>
    <s v="Nab-Makeup"/>
    <x v="6"/>
    <d v="2025-05-01T00:00:00"/>
    <n v="150"/>
    <d v="2025-05-04T00:00:00"/>
    <m/>
  </r>
  <r>
    <s v="Ourvassi Pillay Narrainen"/>
    <s v="C5, Cité St Luc Avenue Des Sapins Forest Side"/>
    <s v="Plaines Wilhems"/>
    <s v="Forest Side"/>
    <s v="57878891 / 54944479"/>
    <s v="Nab-Makeup"/>
    <x v="6"/>
    <d v="2025-05-01T00:00:00"/>
    <n v="150"/>
    <d v="2025-05-04T00:00:00"/>
    <m/>
  </r>
  <r>
    <s v="Hayfa Sundhoo"/>
    <s v="218 Pagoda Street Stanley Rosehill"/>
    <s v="Plaines Wilhems"/>
    <s v="Rose Hill"/>
    <n v="58098404"/>
    <s v="Nab-Makeup"/>
    <x v="6"/>
    <d v="2025-05-01T00:00:00"/>
    <n v="150"/>
    <d v="2025-05-04T00:00:00"/>
    <m/>
  </r>
  <r>
    <s v="Karishma Sham Ramroop"/>
    <s v="Kestrel Street, Cottage"/>
    <s v="Central"/>
    <s v="Cottage"/>
    <n v="58042830"/>
    <s v="Nab-Makeup"/>
    <x v="6"/>
    <d v="2025-05-05T00:00:00"/>
    <n v="150"/>
    <d v="2025-06-01T00:00:00"/>
    <m/>
  </r>
  <r>
    <s v="Teesha Imrit"/>
    <s v="23 Baxipeea Street Roche Bois Port Louis"/>
    <s v="Port Louis"/>
    <s v="Roche Bois"/>
    <n v="54875885"/>
    <s v="Nab-Makeup"/>
    <x v="6"/>
    <d v="2025-05-01T00:00:00"/>
    <n v="150"/>
    <d v="2025-05-04T00:00:00"/>
    <m/>
  </r>
  <r>
    <s v="Vedisha Khoody"/>
    <s v="56 Morcellement MDA Dagotiere"/>
    <s v="Central"/>
    <s v="Dagotiere"/>
    <n v="59203631"/>
    <s v="Nab-Makeup"/>
    <x v="6"/>
    <d v="2025-05-01T00:00:00"/>
    <n v="150"/>
    <d v="2025-05-04T00:00:00"/>
    <m/>
  </r>
  <r>
    <s v="Menisa Pahladi"/>
    <s v="Royal Road Valetta"/>
    <s v="Central"/>
    <s v="Valetta"/>
    <n v="59233319"/>
    <s v="Nab-Makeup"/>
    <x v="6"/>
    <d v="2025-05-05T00:00:00"/>
    <n v="150"/>
    <d v="2025-06-01T00:00:00"/>
    <m/>
  </r>
  <r>
    <s v="Shikha Sham"/>
    <s v="Royal Road Valton Long Mountain"/>
    <s v="Moka"/>
    <s v="Long Mountain"/>
    <n v="58014817"/>
    <s v="Nab-Makeup"/>
    <x v="6"/>
    <d v="2025-05-01T00:00:00"/>
    <n v="150"/>
    <d v="2025-05-04T00:00:00"/>
    <m/>
  </r>
  <r>
    <s v="Tasneem Beeharry"/>
    <s v="81 Raoul Rivet Port Louis"/>
    <s v="Port Louis"/>
    <s v="Port Louis"/>
    <n v="58106092"/>
    <s v="Nab-Makeup"/>
    <x v="6"/>
    <d v="2025-05-01T00:00:00"/>
    <n v="150"/>
    <d v="2025-05-04T00:00:00"/>
    <m/>
  </r>
  <r>
    <s v="Jeshna Ittoo"/>
    <s v="Palma Rd, Quatre-Bornes(Depending On Delivery Day)"/>
    <s v="Plaines Wilhems"/>
    <s v="Quatre Bornes"/>
    <n v="59166177"/>
    <s v="Nab-Makeup"/>
    <x v="6"/>
    <d v="2025-05-01T00:00:00"/>
    <n v="150"/>
    <d v="2025-05-04T00:00:00"/>
    <m/>
  </r>
  <r>
    <s v="Shifa Rehmati Joomun"/>
    <s v="Triolet 7eme Mille Sungaralingum Lane"/>
    <s v="North"/>
    <s v="Triolet"/>
    <n v="57643513"/>
    <s v="Nab-Makeup"/>
    <x v="6"/>
    <d v="2025-05-05T00:00:00"/>
    <n v="150"/>
    <d v="2025-06-01T00:00:00"/>
    <m/>
  </r>
  <r>
    <s v="Pryeshma Divya Chady-Samjawon"/>
    <s v="Veerasawmy Street, Cottage"/>
    <s v="Central"/>
    <s v="Cottage"/>
    <n v="59099852"/>
    <s v="Nab-Makeup"/>
    <x v="6"/>
    <d v="2025-05-01T00:00:00"/>
    <n v="150"/>
    <d v="2025-05-04T00:00:00"/>
    <m/>
  </r>
  <r>
    <s v="Rakshiny Peerthee"/>
    <s v="Camp Fouquereaux Phoenix"/>
    <s v="Plaines Wilhems"/>
    <s v="Phoenix"/>
    <n v="58295729"/>
    <s v="Nab-Makeup"/>
    <x v="6"/>
    <d v="2025-05-03T00:00:00"/>
    <n v="150"/>
    <d v="2025-05-04T00:00:00"/>
    <m/>
  </r>
  <r>
    <s v="Priya Bundhoo"/>
    <s v="MCIA Head Office, MSIRI Complex, Reduit"/>
    <s v="Central"/>
    <s v="Reduit"/>
    <n v="57954180"/>
    <s v="OKASINA"/>
    <x v="5"/>
    <d v="2025-04-28T00:00:00"/>
    <n v="150"/>
    <d v="2025-05-04T00:00:00"/>
    <m/>
  </r>
  <r>
    <s v="Kivisti Naddali"/>
    <s v="Lot 44, Morc Louis Regnaud, Deep River, Olivia"/>
    <s v="Savanne"/>
    <s v="Deep River"/>
    <n v="59779756"/>
    <s v="Nab-Makeup"/>
    <x v="6"/>
    <d v="2025-05-03T00:00:00"/>
    <n v="150"/>
    <d v="2025-05-04T00:00:00"/>
    <m/>
  </r>
  <r>
    <s v="Jerome Kaudeer"/>
    <s v="Reetoo Road, Grande Retraite"/>
    <s v="South"/>
    <s v="Grande Retraite"/>
    <n v="55022798"/>
    <s v="Nab-Makeup"/>
    <x v="6"/>
    <d v="2025-05-01T00:00:00"/>
    <n v="150"/>
    <d v="2025-05-04T00:00:00"/>
    <m/>
  </r>
  <r>
    <s v="Julliette Sarah Leticha Manuellita"/>
    <s v="Sir Edgar Laurent, Roche Terre"/>
    <s v="Port Louis"/>
    <s v="Roche Terre"/>
    <n v="57389210"/>
    <s v="Nab-Makeup"/>
    <x v="6"/>
    <d v="2025-05-01T00:00:00"/>
    <n v="150"/>
    <d v="2025-05-04T00:00:00"/>
    <m/>
  </r>
  <r>
    <s v="Manesha Chunwan"/>
    <s v="Coteau Raffin, La Gaulette"/>
    <s v="Savanne"/>
    <s v="La Gaulette"/>
    <s v="58262767 / 59350595"/>
    <s v="Nab-Makeup"/>
    <x v="6"/>
    <d v="2025-05-03T00:00:00"/>
    <n v="150"/>
    <d v="2025-05-04T00:00:00"/>
    <m/>
  </r>
  <r>
    <s v="Varuna Ramburrun"/>
    <s v="Royal Road, St Julien D'Hotman"/>
    <s v="East"/>
    <s v="St Julien D'Hotman"/>
    <n v="52526373"/>
    <s v="OKASINA"/>
    <x v="5"/>
    <d v="2025-04-28T00:00:00"/>
    <n v="150"/>
    <d v="2025-05-04T00:00:00"/>
    <m/>
  </r>
  <r>
    <s v="Sarah Madina"/>
    <s v="Avenue Des Cateaux Vert, Mont Ida"/>
    <s v="Moka"/>
    <s v="Mont Ida"/>
    <n v="58347822"/>
    <s v="Nab-Makeup"/>
    <x v="6"/>
    <d v="2025-05-03T00:00:00"/>
    <n v="150"/>
    <d v="2025-05-04T00:00:00"/>
    <m/>
  </r>
  <r>
    <s v="Bibi Aisha Rujbally"/>
    <s v="Remy Oillier Avenue, Phoenix"/>
    <s v="Plaines Wilhems"/>
    <s v="Phoenix"/>
    <n v="54952189"/>
    <s v="Nab-Makeup"/>
    <x v="6"/>
    <d v="2025-05-01T00:00:00"/>
    <n v="150"/>
    <d v="2025-05-04T00:00:00"/>
    <m/>
  </r>
  <r>
    <s v="Deepa Shaib"/>
    <s v="Royal Road, Grand Gaube"/>
    <s v="North"/>
    <s v="Grand Gaube"/>
    <n v="57031259"/>
    <s v="Nab-Makeup"/>
    <x v="6"/>
    <d v="2025-05-01T00:00:00"/>
    <n v="150"/>
    <d v="2025-05-04T00:00:00"/>
    <m/>
  </r>
  <r>
    <s v="Shashthee Gooroochurun"/>
    <s v="La Ligne Road, Pavillon, Cap Malheureux"/>
    <s v="North"/>
    <s v="Cap Malheureux"/>
    <n v="57326905"/>
    <s v="Nab-Makeup"/>
    <x v="6"/>
    <d v="2025-05-01T00:00:00"/>
    <n v="150"/>
    <d v="2025-05-04T00:00:00"/>
    <m/>
  </r>
  <r>
    <s v="Keerty Chummah"/>
    <s v="ABC Banking Corporation, Place D’Armes, Port Louis"/>
    <s v="Port Louis"/>
    <s v="Port Louis"/>
    <n v="59461866"/>
    <s v="Nab-Makeup"/>
    <x v="6"/>
    <d v="2025-05-01T00:00:00"/>
    <n v="150"/>
    <d v="2025-05-04T00:00:00"/>
    <m/>
  </r>
  <r>
    <s v="Manisha Sanoo"/>
    <s v="La Mairee, Eau Coulee, Curepipe, Mauritius"/>
    <s v="Central"/>
    <s v="Curepipe"/>
    <n v="59067797"/>
    <s v="Nab-Makeup"/>
    <x v="6"/>
    <d v="2025-05-01T00:00:00"/>
    <n v="150"/>
    <d v="2025-05-04T00:00:00"/>
    <m/>
  </r>
  <r>
    <s v="Priya Bundhoo"/>
    <s v="MCIA Head Office, MSIRI Complex, Reduit"/>
    <s v="Central"/>
    <s v="Reduit"/>
    <n v="57954180"/>
    <s v="OKASINA"/>
    <x v="6"/>
    <d v="2025-05-05T00:00:00"/>
    <n v="150"/>
    <d v="2025-06-01T00:00:00"/>
    <m/>
  </r>
  <r>
    <s v="Survashi Neersoo"/>
    <s v="Savanne Road, Nouvelle France"/>
    <s v="South"/>
    <s v="Nouvelle France"/>
    <n v="58150318"/>
    <s v="OKASINA"/>
    <x v="6"/>
    <d v="2025-04-30T00:00:00"/>
    <n v="150"/>
    <d v="2025-05-04T00:00:00"/>
    <m/>
  </r>
  <r>
    <s v="Jaya Nunkoo"/>
    <s v="Seesunkur Road, Quartier Militaire"/>
    <s v="Central"/>
    <s v="Quartier Militaire"/>
    <n v="57967785"/>
    <s v="OKASINA"/>
    <x v="6"/>
    <d v="2025-05-01T00:00:00"/>
    <n v="150"/>
    <d v="2025-05-04T00:00:00"/>
    <m/>
  </r>
  <r>
    <s v="Madhvi Mungra"/>
    <s v="La Rue Lees, Curepipe, Near Housing"/>
    <s v="Central"/>
    <s v="Curepipe"/>
    <n v="55039098"/>
    <s v="OKASINA"/>
    <x v="6"/>
    <d v="2025-05-01T00:00:00"/>
    <n v="150"/>
    <d v="2025-05-04T00:00:00"/>
    <m/>
  </r>
  <r>
    <s v="Diksha Caussy"/>
    <s v="Royal Road, Grand Baie, Near La Terrasse Kot Ancien Post Office"/>
    <s v="North"/>
    <s v="Grand Baie"/>
    <n v="58086084"/>
    <s v="Nab-Makeup"/>
    <x v="7"/>
    <d v="2025-05-01T00:00:00"/>
    <n v="150"/>
    <d v="2025-05-04T00:00:00"/>
    <m/>
  </r>
  <r>
    <s v="Koorshida Khodabuccus"/>
    <s v="Royal Road, Morcellement Saint André"/>
    <s v="North"/>
    <s v="Morcellement Saint André"/>
    <n v="57691244"/>
    <s v="Nab-Makeup"/>
    <x v="7"/>
    <d v="2025-05-01T00:00:00"/>
    <n v="150"/>
    <d v="2025-05-04T00:00:00"/>
    <m/>
  </r>
  <r>
    <s v="Roshni Bhungee"/>
    <s v="9th Mile, Triolet, Maheshwar Nagri Rd"/>
    <s v="North"/>
    <s v="Triolet"/>
    <n v="59063468"/>
    <s v="Nab-Makeup"/>
    <x v="7"/>
    <d v="2025-05-01T00:00:00"/>
    <n v="150"/>
    <d v="2025-05-04T00:00:00"/>
    <m/>
  </r>
  <r>
    <s v="Dia Umanee"/>
    <s v="RSA Trading &amp; Engineering, 34 Ligne Berthaud, Vacoas"/>
    <s v="Central"/>
    <s v="Vacoas"/>
    <n v="57761412"/>
    <s v="Nab-Makeup"/>
    <x v="7"/>
    <d v="2025-05-01T00:00:00"/>
    <n v="150"/>
    <d v="2025-05-04T00:00:00"/>
    <m/>
  </r>
  <r>
    <s v="Prishni Seenundun"/>
    <s v="Shivala Road, Kewal Nagar, Bel Air"/>
    <s v="East"/>
    <s v="Bel Air"/>
    <n v="58223710"/>
    <s v="Nab-Makeup"/>
    <x v="7"/>
    <d v="2025-05-03T00:00:00"/>
    <n v="150"/>
    <d v="2025-05-04T00:00:00"/>
    <m/>
  </r>
  <r>
    <s v="Yassir Bholah"/>
    <s v="Camp Lilas, Triolet"/>
    <s v="North"/>
    <s v="Triolet"/>
    <n v="58125039"/>
    <s v="Nab-Makeup"/>
    <x v="7"/>
    <d v="2025-05-01T00:00:00"/>
    <n v="150"/>
    <d v="2025-05-04T00:00:00"/>
    <m/>
  </r>
  <r>
    <s v="Appadoo Vanishta"/>
    <s v="48 Avenue Telfair, Quatre Bornes"/>
    <s v="Plaines Wilhems"/>
    <s v="Quatre Bornes"/>
    <n v="59038642"/>
    <s v="Nab-Makeup"/>
    <x v="7"/>
    <d v="2025-05-01T00:00:00"/>
    <n v="150"/>
    <d v="2025-05-04T00:00:00"/>
    <m/>
  </r>
  <r>
    <s v="Saniah Raymode"/>
    <s v="Morcellement Highlands Rose, Highlands"/>
    <s v="Central"/>
    <s v="Highlands"/>
    <n v="58203530"/>
    <s v="Nab-Makeup"/>
    <x v="7"/>
    <d v="2025-05-01T00:00:00"/>
    <n v="150"/>
    <d v="2025-05-04T00:00:00"/>
    <m/>
  </r>
  <r>
    <s v="Hossain Bibi Saib Narmeen"/>
    <s v="Hermitage, Phoenix"/>
    <s v="Central"/>
    <s v="Phoenix"/>
    <n v="57658964"/>
    <s v="Nab-Makeup"/>
    <x v="7"/>
    <d v="2025-05-03T00:00:00"/>
    <n v="150"/>
    <d v="2025-05-04T00:00:00"/>
    <m/>
  </r>
  <r>
    <s v="Mallika Golap"/>
    <s v="Morcellement Leclezio, Forest Side"/>
    <s v="Central"/>
    <s v="Forest Side"/>
    <n v="59486718"/>
    <s v="Nab-Makeup"/>
    <x v="7"/>
    <d v="2025-05-01T00:00:00"/>
    <n v="150"/>
    <d v="2025-05-04T00:00:00"/>
    <m/>
  </r>
  <r>
    <s v="Shameerah Hajaree"/>
    <s v="Paradise Street, Batimarais"/>
    <s v="South"/>
    <s v="Batimarais"/>
    <n v="57474288"/>
    <s v="Nab-Makeup"/>
    <x v="7"/>
    <d v="2025-05-03T00:00:00"/>
    <n v="150"/>
    <d v="2025-05-04T00:00:00"/>
    <m/>
  </r>
  <r>
    <s v="Vandana Soodin"/>
    <s v="Mahatma Gandhi Road, Bonne Mere, Flacq"/>
    <s v="East"/>
    <s v="Flacq"/>
    <n v="57343139"/>
    <s v="Nab-Makeup"/>
    <x v="7"/>
    <d v="2025-05-01T00:00:00"/>
    <n v="150"/>
    <d v="2025-05-04T00:00:00"/>
    <m/>
  </r>
  <r>
    <s v="Isha Jyotee Jeebun"/>
    <s v="64 Rue Begonia, Morcellement Jubhroo, Trou Aux Biches"/>
    <s v="North"/>
    <s v="Trou Aux Biches"/>
    <n v="58119912"/>
    <s v="Nab-Makeup"/>
    <x v="7"/>
    <d v="2025-05-01T00:00:00"/>
    <n v="150"/>
    <d v="2025-05-04T00:00:00"/>
    <m/>
  </r>
  <r>
    <s v="Reema Chellaya"/>
    <s v="Rue Labourdonnais, Mahebourg"/>
    <s v="South East"/>
    <s v="Mahebourg"/>
    <n v="57667637"/>
    <s v="Nab-Makeup"/>
    <x v="7"/>
    <d v="2025-05-03T00:00:00"/>
    <n v="150"/>
    <d v="2025-05-04T00:00:00"/>
    <m/>
  </r>
  <r>
    <s v="Pooja Soomarooa"/>
    <s v="Charbon Lane, Montagne Blanche"/>
    <s v="East"/>
    <s v="Montagne Blanche"/>
    <n v="58166130"/>
    <s v="Nab-Makeup"/>
    <x v="7"/>
    <d v="2025-05-03T00:00:00"/>
    <n v="150"/>
    <d v="2025-05-04T00:00:00"/>
    <m/>
  </r>
  <r>
    <s v="Anusha Bhudhundee"/>
    <s v="Morcellement VRS 2, New Grove"/>
    <s v="South"/>
    <s v="New Grove"/>
    <n v="57945516"/>
    <s v="Nab-Makeup"/>
    <x v="7"/>
    <d v="2025-05-03T00:00:00"/>
    <n v="150"/>
    <d v="2025-05-04T00:00:00"/>
    <m/>
  </r>
  <r>
    <s v="Roukaya Joomun"/>
    <s v="River Side Street, Bel Air, Mauritius"/>
    <s v="East"/>
    <s v="Bel Air"/>
    <n v="57086557"/>
    <s v="OKASINA"/>
    <x v="7"/>
    <d v="2025-05-03T00:00:00"/>
    <n v="150"/>
    <d v="2025-05-04T00:00:00"/>
    <m/>
  </r>
  <r>
    <s v="Aatish"/>
    <s v="Prince of Wales Street, 7th Mile, Triolet"/>
    <s v="North"/>
    <s v="Triolet"/>
    <n v="58029594"/>
    <s v="OKASINA"/>
    <x v="7"/>
    <d v="2025-05-05T00:00:00"/>
    <n v="150"/>
    <d v="2025-06-01T00:00:00"/>
    <s v="COD 2700"/>
  </r>
  <r>
    <s v="Sadiyah Sarvar"/>
    <s v="Morcellement St Aubin No 100"/>
    <s v="Savanne"/>
    <s v="St Aubin"/>
    <n v="58150895"/>
    <s v="Nab-Makeup"/>
    <x v="8"/>
    <d v="2025-05-05T00:00:00"/>
    <n v="150"/>
    <d v="2025-06-01T00:00:00"/>
    <m/>
  </r>
  <r>
    <s v="Sabrina Parrianen"/>
    <s v="Appt NHDC N07, La Caverne, Vacoas"/>
    <s v="Plaines Wilhems"/>
    <s v="La Caverne"/>
    <n v="59778727"/>
    <s v="Nab-Makeup"/>
    <x v="8"/>
    <d v="2025-05-05T00:00:00"/>
    <n v="150"/>
    <d v="2025-06-01T00:00:00"/>
    <m/>
  </r>
  <r>
    <s v="Rushaa Boodhoo"/>
    <s v="Royal Road, Melle Laure, Terre Rouge"/>
    <s v="Pamplemousses"/>
    <s v="Terre Rouge"/>
    <n v="59085614"/>
    <s v="Nab-Makeup"/>
    <x v="8"/>
    <d v="2025-05-08T00:00:00"/>
    <n v="0"/>
    <s v="-"/>
    <s v="Not billed"/>
  </r>
  <r>
    <s v="Dusmahomed Mushirah"/>
    <s v="21 Chalet St, Vallee Pitot, Port Louis"/>
    <s v="North-East"/>
    <s v="Port Louis"/>
    <n v="57913184"/>
    <s v="Nab-Makeup"/>
    <x v="8"/>
    <d v="2025-05-05T00:00:00"/>
    <n v="150"/>
    <d v="2025-06-01T00:00:00"/>
    <m/>
  </r>
  <r>
    <s v="Keshnee Keenoo"/>
    <s v="Royal Road, Rivere du Poste"/>
    <s v="Savanne"/>
    <s v="Riviere Du Poste"/>
    <n v="58155058"/>
    <s v="Nab-Makeup"/>
    <x v="8"/>
    <d v="2025-05-05T00:00:00"/>
    <n v="150"/>
    <d v="2025-06-01T00:00:00"/>
    <m/>
  </r>
  <r>
    <s v="Pallavi Ramkissoon"/>
    <s v="Royal Rd, Fond du Sac"/>
    <s v="Rivière du Rempart"/>
    <s v="Fond Du Sac"/>
    <n v="57835977"/>
    <s v="Nab-Makeup"/>
    <x v="8"/>
    <d v="2025-05-05T00:00:00"/>
    <n v="150"/>
    <d v="2025-06-01T00:00:00"/>
    <m/>
  </r>
  <r>
    <s v="Annaelle St Cyr"/>
    <s v="8G Mere Theresa Street, Roches Brunes"/>
    <s v="Plaines Wilhems"/>
    <s v="Roches Brunes"/>
    <n v="59331930"/>
    <s v="Nab-Makeup"/>
    <x v="8"/>
    <d v="2025-05-05T00:00:00"/>
    <n v="150"/>
    <d v="2025-06-01T00:00:00"/>
    <m/>
  </r>
  <r>
    <s v="Mushiirah Lallmahomed"/>
    <s v="Stanley, Rose Hill"/>
    <s v="Plaines Wilhems"/>
    <s v="Rose Hill"/>
    <n v="57896692"/>
    <s v="Nab-Makeup"/>
    <x v="8"/>
    <d v="2025-05-05T00:00:00"/>
    <n v="150"/>
    <d v="2025-06-01T00:00:00"/>
    <m/>
  </r>
  <r>
    <s v="Nundlall Vedita"/>
    <s v="Health Centre, Mohit Road, L'avenir, Rose Hill"/>
    <s v="Plaines Wilhems"/>
    <s v="Rose Hill"/>
    <n v="57324285"/>
    <s v="Nab-Makeup"/>
    <x v="8"/>
    <d v="2025-05-05T00:00:00"/>
    <n v="150"/>
    <d v="2025-06-01T00:00:00"/>
    <m/>
  </r>
  <r>
    <s v="Dharshini Koolman"/>
    <s v="Chaussée Tromlin, Mer Rouge, Port Louis"/>
    <s v="Port Louis"/>
    <s v="Mer Rouge"/>
    <n v="58229138"/>
    <s v="Nab-Makeup"/>
    <x v="8"/>
    <d v="2025-05-05T00:00:00"/>
    <n v="150"/>
    <d v="2025-06-01T00:00:00"/>
    <m/>
  </r>
  <r>
    <s v="Ashley Shookhye"/>
    <s v="Mellish Street, Forest Side"/>
    <s v="Plaines Wilhems"/>
    <s v="Forest Side"/>
    <n v="57244141"/>
    <s v="Nab-Makeup"/>
    <x v="8"/>
    <d v="2025-05-05T00:00:00"/>
    <n v="150"/>
    <d v="2025-06-01T00:00:00"/>
    <m/>
  </r>
  <r>
    <s v="Kheshinibye Toocaram"/>
    <s v="MTML Square, 63, Cyber City, Ébène"/>
    <s v="Plaines Wilhems"/>
    <s v="Ebene"/>
    <n v="59332676"/>
    <s v="Nab-Makeup"/>
    <x v="8"/>
    <d v="2025-05-05T00:00:00"/>
    <n v="150"/>
    <d v="2025-06-01T00:00:00"/>
    <m/>
  </r>
  <r>
    <s v="Antish Sham"/>
    <s v="UoM, Réduit (Weekdays) / Curepipe (Weekend)"/>
    <s v="Moka / Plaines Wilhems"/>
    <s v="Curepipe"/>
    <n v="57571821"/>
    <s v="Nab-Makeup"/>
    <x v="8"/>
    <d v="2025-05-03T00:00:00"/>
    <n v="150"/>
    <d v="2025-06-01T00:00:00"/>
    <m/>
  </r>
  <r>
    <s v="Farheen Bhoodoo"/>
    <s v="Hossenbux Building, Vacoas"/>
    <s v="Plaines Wilhems"/>
    <s v="Vacoas"/>
    <n v="58071160"/>
    <s v="Nab-Makeup"/>
    <x v="8"/>
    <d v="2025-05-03T00:00:00"/>
    <n v="150"/>
    <d v="2025-06-01T00:00:00"/>
    <m/>
  </r>
  <r>
    <s v="Amirah Enayeth"/>
    <s v="La Marie Road, Vacoas"/>
    <s v="Plaines Wilhems"/>
    <s v="Vacoas"/>
    <n v="57777059"/>
    <s v="Nab-Makeup"/>
    <x v="8"/>
    <d v="2025-05-03T00:00:00"/>
    <n v="150"/>
    <d v="2025-06-01T00:00:00"/>
    <m/>
  </r>
  <r>
    <s v="Milene Bien Aimé"/>
    <s v="Rose Hill Police Station, Royal Road, Rose Hill"/>
    <s v="Plaines Wilhems"/>
    <s v="Rose Hill"/>
    <n v="57449964"/>
    <s v="Nab-Makeup"/>
    <x v="8"/>
    <d v="2025-05-05T00:00:00"/>
    <n v="150"/>
    <d v="2025-06-01T00:00:00"/>
    <m/>
  </r>
  <r>
    <s v="Jahaly Zainab"/>
    <s v="Morcellement Savannah, Camp Diable"/>
    <s v="Savanne"/>
    <s v="Camp Diable"/>
    <n v="59056904"/>
    <s v="Nab-Makeup"/>
    <x v="8"/>
    <d v="2025-05-05T00:00:00"/>
    <n v="150"/>
    <d v="2025-06-01T00:00:00"/>
    <m/>
  </r>
  <r>
    <s v="Kavya Chendradoo"/>
    <s v="Subash Chandra Bose Street, La Clemence"/>
    <s v="Rivière du Rempart"/>
    <s v="La Clemence"/>
    <n v="58146306"/>
    <s v="Nab-Makeup"/>
    <x v="8"/>
    <d v="2025-05-05T00:00:00"/>
    <n v="150"/>
    <d v="2025-06-01T00:00:00"/>
    <m/>
  </r>
  <r>
    <s v="Bassad Fatadin C/O Anuelle Fatadin"/>
    <s v="Caldwell Lane, Glen Park, Vacoas"/>
    <s v="Plaines Wilhems"/>
    <s v="Vacoas"/>
    <n v="59335265"/>
    <s v="Nab-Makeup"/>
    <x v="8"/>
    <d v="2025-05-03T00:00:00"/>
    <n v="150"/>
    <d v="2025-06-01T00:00:00"/>
    <m/>
  </r>
  <r>
    <s v="Soobug Vidoushi"/>
    <s v="Carreau Esnouf, Plaine Magnien"/>
    <s v="Grand Port"/>
    <s v="Plaine Magnien"/>
    <n v="59189038"/>
    <s v="Nab-Makeup"/>
    <x v="8"/>
    <d v="2025-05-03T00:00:00"/>
    <n v="150"/>
    <d v="2025-06-01T00:00:00"/>
    <m/>
  </r>
  <r>
    <s v="Bibi Ashïfa Hussein Vydelingum"/>
    <s v="19B La Caverne No1, Vacoas"/>
    <s v="Plaines Wilhems"/>
    <s v="La Caverne"/>
    <n v="59241697"/>
    <s v="Nab-Makeup"/>
    <x v="8"/>
    <d v="2025-05-03T00:00:00"/>
    <n v="150"/>
    <d v="2025-06-01T00:00:00"/>
    <m/>
  </r>
  <r>
    <s v="Yootika Soobhujhun"/>
    <s v="NHDC F12, Montagne Blanche"/>
    <s v="Flacq"/>
    <s v="Montagne Blanche"/>
    <n v="58137442"/>
    <s v="Nab-Makeup"/>
    <x v="8"/>
    <d v="2025-05-03T00:00:00"/>
    <n v="150"/>
    <d v="2025-06-01T00:00:00"/>
    <m/>
  </r>
  <r>
    <s v="Zahirah Maderbocus"/>
    <s v="18 Thomy d’Arifat, Curepipe"/>
    <s v="Plaines Wilhems"/>
    <s v="Curepipe"/>
    <n v="58466352"/>
    <s v="Nab-Makeup"/>
    <x v="8"/>
    <d v="2025-05-03T00:00:00"/>
    <n v="150"/>
    <d v="2025-06-01T00:00:00"/>
    <m/>
  </r>
  <r>
    <s v="Yashni Beetalah"/>
    <s v="10 Route Bassin, Quatre Bornes"/>
    <s v="Plaines Wilhems"/>
    <s v="Quatre Bornes"/>
    <n v="57850366"/>
    <s v="Nab-Makeup"/>
    <x v="8"/>
    <d v="2025-05-05T00:00:00"/>
    <n v="150"/>
    <d v="2025-06-01T00:00:00"/>
    <m/>
  </r>
  <r>
    <s v="Sarah Roussel"/>
    <s v="46 Morcellement Hillside, Butte Aux Papayes, Pamplemousses (Delivery from 5th May)"/>
    <s v="Butte Aux Papayes"/>
    <s v="Pamplemousses"/>
    <n v="70048502"/>
    <s v="Nab-Makeup"/>
    <x v="8"/>
    <d v="2025-05-05T00:00:00"/>
    <n v="150"/>
    <d v="2025-06-01T00:00:00"/>
    <m/>
  </r>
  <r>
    <s v="Madhvi Mungra"/>
    <s v="La Rue Lees, Curepipe, Near Housing"/>
    <s v="Central"/>
    <s v="Curepipe"/>
    <n v="55039098"/>
    <s v="OKASINA"/>
    <x v="9"/>
    <d v="2025-05-05T00:00:00"/>
    <n v="150"/>
    <d v="2025-06-01T00:00:00"/>
    <s v="COD 2470"/>
  </r>
  <r>
    <s v="Nouzhah Jeeroo"/>
    <s v="Gilbert Road, Plaine Magnien"/>
    <s v="East"/>
    <s v="Plaine Magnien"/>
    <n v="59153043"/>
    <s v="Nab-Makeup"/>
    <x v="9"/>
    <d v="2025-05-05T00:00:00"/>
    <n v="150"/>
    <d v="2025-06-01T00:00:00"/>
    <m/>
  </r>
  <r>
    <s v="Melina Juggapah"/>
    <s v="3, Cemetry Road, Circonstance, St Pierre"/>
    <s v="South"/>
    <s v="Saint Pierre"/>
    <n v="57081283"/>
    <s v="Nab-Makeup"/>
    <x v="9"/>
    <d v="2025-05-05T00:00:00"/>
    <n v="150"/>
    <d v="2025-06-01T00:00:00"/>
    <m/>
  </r>
  <r>
    <s v="Aunjum Samratty"/>
    <s v="Royal Road, Medine Camp De Masque"/>
    <s v="East"/>
    <s v="Medine Camp De Masque"/>
    <n v="58168860"/>
    <s v="Nab-Makeup"/>
    <x v="9"/>
    <d v="2025-05-05T00:00:00"/>
    <n v="150"/>
    <d v="2025-06-01T00:00:00"/>
    <m/>
  </r>
  <r>
    <s v="Surayyah Meeakhan"/>
    <s v="41, Paul Taureau, Port Louis"/>
    <s v="North-West"/>
    <s v="Port Louis"/>
    <n v="57400812"/>
    <s v="Nab-Makeup"/>
    <x v="9"/>
    <d v="2025-05-05T00:00:00"/>
    <n v="150"/>
    <d v="2025-06-01T00:00:00"/>
    <m/>
  </r>
  <r>
    <s v="Khushmita Rai Jalim"/>
    <s v="Shivala Road, Calebasses"/>
    <s v="North-West"/>
    <s v="Calebasses"/>
    <n v="57468188"/>
    <s v="Nab-Makeup"/>
    <x v="9"/>
    <d v="2025-05-05T00:00:00"/>
    <n v="150"/>
    <d v="2025-06-01T00:00:00"/>
    <m/>
  </r>
  <r>
    <s v="Adillah Aisha Toraubally"/>
    <s v="227 Boundary Rose, Muslun Lane No.2, Rose Hill"/>
    <s v="Plaines Wilhems"/>
    <s v="Rose Hill"/>
    <n v="59895059"/>
    <s v="Nab-Makeup"/>
    <x v="9"/>
    <d v="2025-05-05T00:00:00"/>
    <n v="150"/>
    <d v="2025-06-01T00:00:00"/>
    <m/>
  </r>
  <r>
    <s v="Neerooa Beebee Anbar Rushaa"/>
    <s v="Morisson Road, Pamplemousses"/>
    <s v="North-East"/>
    <s v="Pamplemousses"/>
    <n v="58014017"/>
    <s v="Nab-Makeup"/>
    <x v="9"/>
    <d v="2025-05-05T00:00:00"/>
    <n v="150"/>
    <d v="2025-06-01T00:00:00"/>
    <m/>
  </r>
  <r>
    <s v="Bibi Anbar Fadiilah Hosanee"/>
    <s v="Mosque Rd, Highlands, Phoenix"/>
    <s v="Central"/>
    <s v="Phoenix"/>
    <n v="58137551"/>
    <s v="Nab-Makeup"/>
    <x v="9"/>
    <d v="2025-05-05T00:00:00"/>
    <n v="150"/>
    <d v="2025-06-01T00:00:00"/>
    <m/>
  </r>
  <r>
    <s v="Yusra Nuckched"/>
    <s v="Avenue Mercure, Morc Raffray, Pailles"/>
    <s v="Central"/>
    <s v="Pailles"/>
    <n v="59237123"/>
    <s v="Nab-Makeup"/>
    <x v="9"/>
    <d v="2025-05-05T00:00:00"/>
    <n v="150"/>
    <d v="2025-06-01T00:00:00"/>
    <m/>
  </r>
  <r>
    <s v="Sheelanah Balloo"/>
    <s v="Madame Lolo Road, Rose Belle"/>
    <s v="South"/>
    <s v="Rose Belle"/>
    <n v="57796610"/>
    <s v="Nab-Makeup"/>
    <x v="9"/>
    <d v="2025-05-05T00:00:00"/>
    <n v="150"/>
    <d v="2025-06-01T00:00:00"/>
    <m/>
  </r>
  <r>
    <s v="Darseeny Mootoosamy"/>
    <s v="Camp Le Vieux, Rose Hill"/>
    <s v="Plaines Wilhems"/>
    <s v="Rose Hill"/>
    <n v="59292128"/>
    <s v="Nab-Makeup"/>
    <x v="9"/>
    <d v="2025-05-05T00:00:00"/>
    <n v="150"/>
    <d v="2025-06-01T00:00:00"/>
    <m/>
  </r>
  <r>
    <s v="Pooniavadee Parasuramen"/>
    <s v="MCB Port Louis"/>
    <s v="North-West"/>
    <s v="Port Louis"/>
    <n v="57313330"/>
    <s v="Nab-Makeup"/>
    <x v="9"/>
    <d v="2025-05-05T00:00:00"/>
    <n v="150"/>
    <d v="2025-06-01T00:00:00"/>
    <m/>
  </r>
  <r>
    <s v="Shiksha Sanmukhiya"/>
    <s v="Royal Road, Centre De Flacq, Mauritius"/>
    <s v="East"/>
    <s v="Central Flacq"/>
    <n v="57687500"/>
    <s v="Nab-Makeup"/>
    <x v="9"/>
    <d v="2025-05-05T00:00:00"/>
    <n v="150"/>
    <d v="2025-06-01T00:00:00"/>
    <m/>
  </r>
  <r>
    <s v="Appadoo Mansha"/>
    <s v="Pointe D’Esny Road, Beauvallon"/>
    <s v="East"/>
    <s v="Beau Vallon"/>
    <n v="57993764"/>
    <s v="Nab-Makeup"/>
    <x v="9"/>
    <d v="2025-05-05T00:00:00"/>
    <n v="150"/>
    <d v="2025-06-01T00:00:00"/>
    <m/>
  </r>
  <r>
    <s v="Nasreen Soopun-Jeetoo"/>
    <s v="Municipal Council of Vacoas-Phoenix, St Paul Road, Vacoas"/>
    <s v="Central"/>
    <s v="Vacoas"/>
    <n v="57873113"/>
    <s v="Nab-Makeup"/>
    <x v="9"/>
    <d v="2025-05-05T00:00:00"/>
    <n v="150"/>
    <d v="2025-06-01T00:00:00"/>
    <m/>
  </r>
  <r>
    <s v="Saagooftah Doarika"/>
    <s v="35 Les Guibes, Pailles, Mauritius"/>
    <s v="Central"/>
    <s v="Pailles"/>
    <n v="59221117"/>
    <s v="Nab-Makeup"/>
    <x v="9"/>
    <d v="2025-05-05T00:00:00"/>
    <n v="150"/>
    <d v="2025-06-01T00:00:00"/>
    <m/>
  </r>
  <r>
    <s v="Hans Purmah"/>
    <s v="PwC, Telfaire, Moka, Mauritius"/>
    <s v="Central"/>
    <s v="Moka"/>
    <n v="57831045"/>
    <s v="Nab-Makeup"/>
    <x v="9"/>
    <d v="2025-05-05T00:00:00"/>
    <n v="150"/>
    <d v="2025-06-01T00:00:00"/>
    <m/>
  </r>
  <r>
    <s v="Peerthee Yorita"/>
    <s v="Camp-Fauquereaux, Phoenix, Mauritius"/>
    <s v="Central"/>
    <s v="Phoenix"/>
    <n v="59158296"/>
    <s v="Nab-Makeup"/>
    <x v="9"/>
    <d v="2025-05-05T00:00:00"/>
    <n v="150"/>
    <d v="2025-06-01T00:00:00"/>
    <m/>
  </r>
  <r>
    <s v="Geetisha Sandhoo"/>
    <s v="Royal Road, Petit Raffray"/>
    <s v="Central"/>
    <s v="Petit Raffray"/>
    <n v="57722084"/>
    <s v="Nab-Makeup"/>
    <x v="9"/>
    <d v="2025-05-05T00:00:00"/>
    <n v="150"/>
    <d v="2025-06-01T00:00:00"/>
    <m/>
  </r>
  <r>
    <s v="Bhaveshni Seetaloo"/>
    <s v="Rue Boulangerie, Ville Noire, Mahebourg"/>
    <s v="East"/>
    <s v="Mahebourg"/>
    <n v="52782085"/>
    <s v="Nab-Makeup"/>
    <x v="9"/>
    <d v="2025-05-05T00:00:00"/>
    <n v="150"/>
    <d v="2025-06-01T00:00:00"/>
    <m/>
  </r>
  <r>
    <s v="Marie Christina Annabelle Moutou"/>
    <s v="Flamants Road, Pereybere, 30519, North"/>
    <s v="North"/>
    <s v="Pereybere"/>
    <n v="58403228"/>
    <s v="Nab-Makeup"/>
    <x v="9"/>
    <d v="2025-05-05T00:00:00"/>
    <n v="150"/>
    <d v="2025-06-01T00:00:00"/>
    <m/>
  </r>
  <r>
    <s v="Pallavi Ramkissoon"/>
    <s v="Royal Rd, Fond du Sac"/>
    <s v="Rivière du Rempart"/>
    <s v="Fond Du Sac"/>
    <n v="57835977"/>
    <s v="Nab-Makeup"/>
    <x v="9"/>
    <d v="2025-05-05T00:00:00"/>
    <n v="150"/>
    <d v="2025-06-01T00:00:00"/>
    <m/>
  </r>
  <r>
    <s v="Beegoo Janvee Devi"/>
    <s v="Royal Road, Union Park (vis-à-vis Cluny Road)"/>
    <s v="Central"/>
    <s v="Union Park"/>
    <n v="58060464"/>
    <s v="Nab-Makeup"/>
    <x v="9"/>
    <d v="2025-05-05T00:00:00"/>
    <n v="150"/>
    <d v="2025-06-01T00:00:00"/>
    <m/>
  </r>
  <r>
    <s v="Jessica Gurreeboo"/>
    <s v="Old Pailles Road, Ideco Ltd, Pailles West, Mauritius"/>
    <s v="Central"/>
    <s v="Pailles"/>
    <n v="59341806"/>
    <s v="Nab-Makeup"/>
    <x v="9"/>
    <d v="2025-05-05T00:00:00"/>
    <n v="150"/>
    <d v="2025-06-01T00:00:00"/>
    <s v="Exchange"/>
  </r>
  <r>
    <s v="Rhasna Bholee"/>
    <s v="Med Point (Hospital) Clinic - Vacoas-Phoenix"/>
    <s v="Central"/>
    <s v="Vacoas"/>
    <n v="54233131"/>
    <s v="OKASINA"/>
    <x v="9"/>
    <d v="2025-05-05T00:00:00"/>
    <n v="150"/>
    <d v="2025-06-01T00:00:00"/>
    <m/>
  </r>
  <r>
    <s v="Vanelli Modely Vyapooree"/>
    <s v="Royal Road, Amaury"/>
    <s v="South"/>
    <s v="Amaury"/>
    <n v="59188047"/>
    <s v="Nab-Makeup"/>
    <x v="9"/>
    <s v="Cancelled"/>
    <n v="0"/>
    <s v="Cancelled"/>
    <s v="Client bought the unit"/>
  </r>
  <r>
    <s v="Pryeshma Divya Chady-Samjawon"/>
    <s v="Veerasawmy Street, Cottage"/>
    <s v="Central"/>
    <s v="Cottage"/>
    <n v="59099852"/>
    <s v="Nab-Makeup"/>
    <x v="9"/>
    <d v="2025-05-05T00:00:00"/>
    <n v="150"/>
    <d v="2025-06-01T00:00:00"/>
    <m/>
  </r>
  <r>
    <s v="Ourvashi Benarasi"/>
    <s v="Princess Margaret 3 street _x000a_Mont Fertile New Grove "/>
    <s v="South"/>
    <s v="New Grove"/>
    <n v="55087432"/>
    <s v="OKASINA"/>
    <x v="9"/>
    <d v="2025-05-05T00:00:00"/>
    <n v="150"/>
    <d v="2025-06-01T00:00:00"/>
    <m/>
  </r>
  <r>
    <s v="Kelly Li Shing Cheong"/>
    <s v="219 Avenue Mgr Leen, Bassin, Quatre Bornes"/>
    <s v="Plaines Wilhems"/>
    <s v="Quatre Bornes"/>
    <n v="57018344"/>
    <s v="Nab-Makeup"/>
    <x v="10"/>
    <d v="2025-05-08T00:00:00"/>
    <n v="150"/>
    <d v="2025-06-01T00:00:00"/>
    <m/>
  </r>
  <r>
    <s v="Jhuboo Laila"/>
    <s v="Gustave Colin, Forest-Side, Curepipe"/>
    <s v="Plaines Wilhems"/>
    <s v="Curepipe"/>
    <n v="57346510"/>
    <s v="Nab-Makeup"/>
    <x v="10"/>
    <d v="2025-05-08T00:00:00"/>
    <n v="150"/>
    <d v="2025-06-01T00:00:00"/>
    <m/>
  </r>
  <r>
    <s v="Rushika Bahadoor"/>
    <s v="Football Lane, Mare D'Albert"/>
    <s v="Grand Port"/>
    <s v="Mare D'Albert"/>
    <n v="58262719"/>
    <s v="Nab-Makeup"/>
    <x v="10"/>
    <d v="2025-05-08T00:00:00"/>
    <n v="150"/>
    <d v="2025-06-01T00:00:00"/>
    <m/>
  </r>
  <r>
    <s v="Roukhaiya Horinaiko"/>
    <s v="C/o Mr Yousouf Ramjan, 4 Diego Garcia, Port Louis"/>
    <s v="Port Louis"/>
    <s v="Port Louis"/>
    <n v="54952355"/>
    <s v="Nab-Makeup"/>
    <x v="10"/>
    <d v="2025-05-08T00:00:00"/>
    <n v="150"/>
    <d v="2025-06-01T00:00:00"/>
    <m/>
  </r>
  <r>
    <s v="Reetoo Jayshree Jenita"/>
    <s v="St Joseph Road, Terre Rouge, St Joseph"/>
    <s v="Pamplemousses"/>
    <s v="Terre Rouge"/>
    <n v="58281246"/>
    <s v="Nab-Makeup"/>
    <x v="10"/>
    <d v="2025-05-08T00:00:00"/>
    <n v="150"/>
    <d v="2025-06-01T00:00:00"/>
    <m/>
  </r>
  <r>
    <s v="Yaasin Munsah"/>
    <s v="Cemetery Road, L'Escalier"/>
    <s v="Grand Port"/>
    <s v="L'Escalier"/>
    <n v="57551100"/>
    <s v="Nab-Makeup"/>
    <x v="10"/>
    <d v="2025-05-08T00:00:00"/>
    <n v="150"/>
    <d v="2025-06-01T00:00:00"/>
    <m/>
  </r>
  <r>
    <s v="Terry-Ann Appadoo"/>
    <s v="F12 NHDC La Concorde, Camp-Levieux, Rose-Hill 71255"/>
    <s v="Plaines Wilhems"/>
    <s v="Rose Hill"/>
    <n v="57359491"/>
    <s v="Nab-Makeup"/>
    <x v="10"/>
    <d v="2025-05-08T00:00:00"/>
    <n v="150"/>
    <d v="2025-06-01T00:00:00"/>
    <m/>
  </r>
  <r>
    <s v="Shirine Bahsu"/>
    <s v="Branch Road, Gros-Billot, New-Grove"/>
    <s v="Grand Port"/>
    <s v="New Grove"/>
    <n v="57696381"/>
    <s v="Nab-Makeup"/>
    <x v="10"/>
    <d v="2025-05-08T00:00:00"/>
    <n v="150"/>
    <d v="2025-06-01T00:00:00"/>
    <m/>
  </r>
  <r>
    <s v="Bhaveshni Seetaloo"/>
    <s v="Rue Boulangerie, Ville Noire, Mahebourg"/>
    <s v="Grand Port"/>
    <s v="Mahebourg"/>
    <n v="52782085"/>
    <s v="Nab-Makeup"/>
    <x v="10"/>
    <d v="2025-05-08T00:00:00"/>
    <n v="150"/>
    <d v="2025-06-01T00:00:00"/>
    <m/>
  </r>
  <r>
    <s v="Gorayah Swatty"/>
    <s v="Jkalachand, Shivala Road, 45, Dubreuil"/>
    <s v="Moka"/>
    <s v="Dubreuil"/>
    <n v="57051435"/>
    <s v="Nab-Makeup"/>
    <x v="10"/>
    <d v="2025-05-08T00:00:00"/>
    <n v="150"/>
    <d v="2025-06-01T00:00:00"/>
    <m/>
  </r>
  <r>
    <s v="Muhammud Ali Callachand"/>
    <s v="1, Pont St Louis, Pailles, Port Louis"/>
    <s v="Port Louis"/>
    <s v="Pailles"/>
    <n v="57605755"/>
    <s v="Nab-Makeup"/>
    <x v="10"/>
    <d v="2025-05-08T00:00:00"/>
    <n v="150"/>
    <d v="2025-06-01T00:00:00"/>
    <m/>
  </r>
  <r>
    <s v="Vanessa Nagamootoo"/>
    <s v="Sir Emile Series Lane, St Julien Dhotman"/>
    <s v="East"/>
    <s v="St Julien D'Hotman"/>
    <n v="58408662"/>
    <s v="Nab-Makeup"/>
    <x v="10"/>
    <d v="2025-05-08T00:00:00"/>
    <n v="150"/>
    <d v="2025-06-01T00:00:00"/>
    <m/>
  </r>
  <r>
    <s v="Gajadar Preeshani"/>
    <s v="Avenue la forge, Palma, Quatre Bornes"/>
    <s v="Plaines Wilhems"/>
    <s v="Quatre Bornes"/>
    <n v="57536446"/>
    <s v="Nab-Makeup"/>
    <x v="10"/>
    <d v="2025-05-08T00:00:00"/>
    <n v="150"/>
    <d v="2025-06-01T00:00:00"/>
    <m/>
  </r>
  <r>
    <s v="Karishma Jeetah"/>
    <s v="43, Sir Edward Nairac Street, Chebel, Beau Bassin"/>
    <s v="Plaines Wilhems"/>
    <s v="Beau Bassin"/>
    <n v="57025491"/>
    <s v="Nab-Makeup"/>
    <x v="10"/>
    <d v="2025-05-08T00:00:00"/>
    <n v="150"/>
    <d v="2025-06-01T00:00:00"/>
    <m/>
  </r>
  <r>
    <s v="Roshni Bhungee"/>
    <s v="9th Mile, Triolet, Maheshwar Nagri Rd"/>
    <s v="Pamplemousses"/>
    <s v="Triolet"/>
    <n v="59063468"/>
    <s v="Nab-Makeup"/>
    <x v="10"/>
    <d v="2025-05-08T00:00:00"/>
    <n v="150"/>
    <d v="2025-06-01T00:00:00"/>
    <m/>
  </r>
  <r>
    <s v="Sadi Delior"/>
    <s v="Cnr Ave De Coriolis, Royal Road, Belle Rose"/>
    <s v="Plaines Wilhems"/>
    <s v="Belle Rose"/>
    <n v="59718556"/>
    <s v="Nab-Makeup"/>
    <x v="10"/>
    <d v="2025-05-08T00:00:00"/>
    <n v="150"/>
    <d v="2025-06-01T00:00:00"/>
    <m/>
  </r>
  <r>
    <s v="Deelasha Mandil"/>
    <s v="NeXSky Building, Ebene"/>
    <s v="Plaines Wilhems"/>
    <s v="Ebene"/>
    <n v="59055516"/>
    <s v="Nab-Makeup"/>
    <x v="10"/>
    <d v="2025-05-12T00:00:00"/>
    <n v="150"/>
    <d v="2025-06-01T00:00:00"/>
    <m/>
  </r>
  <r>
    <s v="Simran Swamber"/>
    <s v="La Source, Centre de Flacq"/>
    <s v="Flacq"/>
    <s v="Central Flacq"/>
    <n v="58304085"/>
    <s v="Nab-Makeup"/>
    <x v="10"/>
    <d v="2025-05-08T00:00:00"/>
    <n v="150"/>
    <d v="2025-06-01T00:00:00"/>
    <m/>
  </r>
  <r>
    <s v="Allyocha Burridge"/>
    <s v="Avenue Jérôme Tranquille, Artichaut Lane 1, Vacoas"/>
    <s v="Plaines Wilhems"/>
    <s v="Vacoas"/>
    <n v="58097960"/>
    <s v="Nab-Makeup"/>
    <x v="10"/>
    <d v="2025-05-08T00:00:00"/>
    <n v="150"/>
    <d v="2025-06-01T00:00:00"/>
    <m/>
  </r>
  <r>
    <s v="Sushila Mootoorajah"/>
    <s v="Clairfonds No 1, Vacoas"/>
    <s v="Plaines Wilhems"/>
    <s v="Vacoas"/>
    <n v="57849017"/>
    <s v="Nab-Makeup"/>
    <x v="10"/>
    <d v="2025-05-08T00:00:00"/>
    <n v="150"/>
    <d v="2025-06-01T00:00:00"/>
    <m/>
  </r>
  <r>
    <s v="Radhaluxmee Joggessur"/>
    <s v="Poudre D'Or Hamlet Government School"/>
    <s v="Riviere du Rempart"/>
    <s v="Poudre D'or Hamlet"/>
    <n v="57567891"/>
    <s v="Nab-Makeup"/>
    <x v="10"/>
    <d v="2025-05-08T00:00:00"/>
    <n v="150"/>
    <d v="2025-06-01T00:00:00"/>
    <m/>
  </r>
  <r>
    <s v="Divya Beekaree"/>
    <s v="Royal Road, Lower Vale"/>
    <s v="Riviere du Rempart"/>
    <s v="Lower Vale"/>
    <n v="58096679"/>
    <s v="Nab-Makeup"/>
    <x v="10"/>
    <d v="2025-05-12T00:00:00"/>
    <n v="150"/>
    <d v="2025-06-01T00:00:00"/>
    <m/>
  </r>
  <r>
    <s v="Shabneez Hosenbocus"/>
    <s v="The Docks, Port-Louis"/>
    <s v="Port Louis"/>
    <s v="Port Louis"/>
    <n v="57054932"/>
    <s v="Nab-Makeup"/>
    <x v="10"/>
    <d v="2025-05-08T00:00:00"/>
    <n v="150"/>
    <d v="2025-06-01T00:00:00"/>
    <m/>
  </r>
  <r>
    <s v="Pooja Ramcharitar"/>
    <s v="Evaco Group, Riviere Citron, Arsenal"/>
    <s v="Pamplemousses"/>
    <s v="Arsenal"/>
    <n v="59864950"/>
    <s v="Nab-Makeup"/>
    <x v="10"/>
    <d v="2025-05-08T00:00:00"/>
    <n v="150"/>
    <d v="2025-06-01T00:00:00"/>
    <m/>
  </r>
  <r>
    <s v="Varuna Nunoo"/>
    <s v="Royal Road, Nouvelle Decouverte"/>
    <s v="Moka"/>
    <s v="Nouvelle Decouverte"/>
    <n v="57781608"/>
    <s v="Nab-Makeup"/>
    <x v="10"/>
    <d v="2025-05-08T00:00:00"/>
    <n v="150"/>
    <d v="2025-06-01T00:00:00"/>
    <m/>
  </r>
  <r>
    <s v="Zeenat Jahaleea"/>
    <s v="Jahaleea Avenue, Quatre Cocos"/>
    <s v="Flacq"/>
    <s v="Quatre Cocos"/>
    <n v="59125807"/>
    <s v="Nab-Makeup"/>
    <x v="10"/>
    <d v="2025-05-08T00:00:00"/>
    <n v="150"/>
    <d v="2025-06-01T00:00:00"/>
    <m/>
  </r>
  <r>
    <s v="Veena Dookhit"/>
    <s v="H Rault Co Ltd, Rue Fabien, Ville Noire, MahÃ©bourg"/>
    <s v="Grand Port"/>
    <s v="Ville Noire"/>
    <n v="59875123"/>
    <s v="Nab-Makeup"/>
    <x v="10"/>
    <d v="2025-05-08T00:00:00"/>
    <n v="150"/>
    <d v="2025-06-01T00:00:00"/>
    <m/>
  </r>
  <r>
    <s v="Hiswaree Ramloll"/>
    <s v="Paul et Virginie Street, L'Esperance, Quartier Militaire"/>
    <s v="Moka"/>
    <s v="Quartier Militaire"/>
    <n v="57743751"/>
    <s v="Nab-Makeup"/>
    <x v="10"/>
    <d v="2025-05-08T00:00:00"/>
    <n v="150"/>
    <d v="2025-06-01T00:00:00"/>
    <m/>
  </r>
  <r>
    <s v="Ganeshwaree Haronia"/>
    <s v="Bhunjun Lane, Mare Tabac"/>
    <s v="Savanne"/>
    <s v="Mare Tabac"/>
    <n v="57953690"/>
    <s v="Nab-Makeup"/>
    <x v="10"/>
    <d v="2025-05-08T00:00:00"/>
    <n v="150"/>
    <d v="2025-06-01T00:00:00"/>
    <m/>
  </r>
  <r>
    <s v="Kalleechurn Keshika"/>
    <s v="Bon Air Road, Morcellement St Andre"/>
    <s v="Pamplemousses"/>
    <s v="Morcellement Saint Andre"/>
    <n v="59231709"/>
    <s v="Nab-Makeup"/>
    <x v="10"/>
    <d v="2025-05-08T00:00:00"/>
    <n v="150"/>
    <d v="2025-06-01T00:00:00"/>
    <m/>
  </r>
  <r>
    <s v="Tylamma Mary Natasha"/>
    <s v="Apartment 60, Domaine de L’Intendance, Pere Laval Street, Rose-Hill"/>
    <s v="Plaines Wilhems"/>
    <s v="Rose Hill"/>
    <s v="55060626 / 54842733"/>
    <s v="Nab-Makeup"/>
    <x v="10"/>
    <d v="2025-05-12T00:00:00"/>
    <n v="150"/>
    <d v="2025-06-01T00:00:00"/>
    <m/>
  </r>
  <r>
    <s v="Tanisha Ramsurn"/>
    <s v="Royal Road, Roches Noires"/>
    <s v="Riviere du Rempart"/>
    <s v="Roches Noires"/>
    <n v="58051240"/>
    <s v="Nab-Makeup"/>
    <x v="10"/>
    <d v="2025-05-08T00:00:00"/>
    <n v="150"/>
    <d v="2025-06-01T00:00:00"/>
    <m/>
  </r>
  <r>
    <s v="Vedishka Pandoo"/>
    <s v="Wall Street, 7 Exchange Square Building, Ebene"/>
    <s v="Plaines Wilhems"/>
    <s v="Ebene"/>
    <n v="57718586"/>
    <s v="Nab-Makeup"/>
    <x v="10"/>
    <d v="2025-05-08T00:00:00"/>
    <n v="150"/>
    <d v="2025-06-01T00:00:00"/>
    <m/>
  </r>
  <r>
    <s v="Harshini Ramdowar"/>
    <s v="Edgar Adolphe Street, Beau Bassin"/>
    <s v="Plaines Wilhems"/>
    <s v="Beau Bassin"/>
    <n v="59796600"/>
    <s v="Nab-Makeup"/>
    <x v="10"/>
    <d v="2025-05-08T00:00:00"/>
    <n v="150"/>
    <d v="2025-06-01T00:00:00"/>
    <m/>
  </r>
  <r>
    <s v="Nazneen Gheesah"/>
    <s v="5 Maurice Poupard Street, Port Louis"/>
    <s v="Port Louis"/>
    <s v="Port Louis"/>
    <n v="59790984"/>
    <s v="Nab-Makeup"/>
    <x v="10"/>
    <d v="2025-05-08T00:00:00"/>
    <n v="150"/>
    <d v="2025-06-01T00:00:00"/>
    <m/>
  </r>
  <r>
    <s v="Dhanishta Daliah"/>
    <s v="6, Avenue Doyen, Quatre Bornes"/>
    <s v="Plaines Wilhems"/>
    <s v="Quatre Bornes"/>
    <n v="57481259"/>
    <s v="Nab-Makeup"/>
    <x v="10"/>
    <d v="2025-05-08T00:00:00"/>
    <n v="150"/>
    <d v="2025-06-01T00:00:00"/>
    <m/>
  </r>
  <r>
    <s v="Sia Chayetun"/>
    <s v="Subhash Chandra Bose Street, Pointe Aux Piments"/>
    <s v="Pamplemousses"/>
    <s v="Pointe Aux Piments"/>
    <n v="58182223"/>
    <s v="Nab-Makeup"/>
    <x v="10"/>
    <d v="2025-05-08T00:00:00"/>
    <n v="150"/>
    <d v="2025-06-01T00:00:00"/>
    <m/>
  </r>
  <r>
    <s v="Girvana Hazareesing"/>
    <s v="9 Beyts Street, Beau Bassin"/>
    <s v="Plaines Wilhems"/>
    <s v="Beau Bassin"/>
    <n v="57976413"/>
    <s v="Nab-Makeup"/>
    <x v="10"/>
    <d v="2025-05-08T00:00:00"/>
    <n v="150"/>
    <d v="2025-06-01T00:00:00"/>
    <m/>
  </r>
  <r>
    <s v="Dushina Yelligadu"/>
    <s v="Rotin 2, La Source, Quatre Bornes"/>
    <s v="Plaines Wilhems"/>
    <s v="Quatre Bornes"/>
    <n v="58042521"/>
    <s v="OKASINA"/>
    <x v="10"/>
    <d v="2025-05-08T00:00:00"/>
    <n v="150"/>
    <d v="2025-06-01T00:00:00"/>
    <m/>
  </r>
  <r>
    <s v="Anusha"/>
    <s v="Nab Make-UP, Port Louis"/>
    <s v="Port Louis"/>
    <s v="Port Louis"/>
    <n v="57084302"/>
    <s v="OKASINA"/>
    <x v="10"/>
    <d v="2025-05-08T00:00:00"/>
    <n v="150"/>
    <d v="2025-06-01T00:00:00"/>
    <m/>
  </r>
  <r>
    <s v="Swatee Sonagadu"/>
    <s v="Rainbow Lane, Mlle Jeanne Road, Goodlands"/>
    <s v="Rivière du Rempart"/>
    <s v="Goodlands"/>
    <n v="57557920"/>
    <s v="Nab-Makeup"/>
    <x v="11"/>
    <d v="2025-05-12T00:00:00"/>
    <n v="150"/>
    <d v="2025-06-01T00:00:00"/>
    <m/>
  </r>
  <r>
    <s v="Jayendi Samy"/>
    <s v="Rishi Dayanand Road, Mahebourg"/>
    <s v="Grand Port"/>
    <s v="Mahebourg"/>
    <n v="58220347"/>
    <s v="Nab-Makeup"/>
    <x v="11"/>
    <d v="2025-05-12T00:00:00"/>
    <n v="150"/>
    <d v="2025-06-01T00:00:00"/>
    <m/>
  </r>
  <r>
    <s v="Surayyah Meeakhan"/>
    <s v="41, Paul Taureau, Port Louis"/>
    <s v="Port Louis"/>
    <s v="Port Louis"/>
    <n v="57400812"/>
    <s v="Nab-Makeup"/>
    <x v="11"/>
    <d v="2025-05-12T00:00:00"/>
    <n v="150"/>
    <d v="2025-06-01T00:00:00"/>
    <m/>
  </r>
  <r>
    <s v="Azdine Surfraz"/>
    <s v="Teeluck Lane, Castel"/>
    <s v="Plaines Wilhems"/>
    <s v="Castel"/>
    <n v="52577790"/>
    <s v="Nab-Makeup"/>
    <x v="11"/>
    <d v="2025-05-12T00:00:00"/>
    <n v="150"/>
    <d v="2025-06-01T00:00:00"/>
    <m/>
  </r>
  <r>
    <s v="Aamirah Cassim"/>
    <s v="Morcellement Nandanee, Fond du Sac"/>
    <s v="Rivière du Rempart"/>
    <s v="Fond Du Sac"/>
    <n v="57901382"/>
    <s v="Nab-Makeup"/>
    <x v="11"/>
    <d v="2025-05-12T00:00:00"/>
    <n v="150"/>
    <d v="2025-06-01T00:00:00"/>
    <m/>
  </r>
  <r>
    <s v="Noshaabah Huzooree"/>
    <s v="Morc Saint Antoine, Goodlands Avenue Rossignol, P11/Phase 3"/>
    <s v="Rivière du Rempart"/>
    <s v="Goodlands"/>
    <n v="58129373"/>
    <s v="Nab-Makeup"/>
    <x v="11"/>
    <d v="2025-05-12T00:00:00"/>
    <n v="150"/>
    <d v="2025-06-01T00:00:00"/>
    <m/>
  </r>
  <r>
    <s v="Kesha Gukhool"/>
    <s v="25 Chateau Neuf, Beau Bassin"/>
    <s v="Plaines Wilhems"/>
    <s v="Beau Bassin"/>
    <n v="59066701"/>
    <s v="Nab-Makeup"/>
    <x v="11"/>
    <d v="2025-05-12T00:00:00"/>
    <n v="150"/>
    <d v="2025-06-01T00:00:00"/>
    <m/>
  </r>
  <r>
    <s v="Farheen Hossenbocus"/>
    <s v="Camp Berthaud, Britannia"/>
    <s v="Savanne"/>
    <s v="Britannia"/>
    <n v="57045624"/>
    <s v="Nab-Makeup"/>
    <x v="11"/>
    <d v="2025-05-12T00:00:00"/>
    <n v="150"/>
    <d v="2025-06-01T00:00:00"/>
    <m/>
  </r>
  <r>
    <s v="Nyasha Ngorima"/>
    <s v="104B Avenue Trianon 2, Quatre Bornes"/>
    <s v="Plaines Wilhems"/>
    <s v="Quatre Bornes"/>
    <n v="57876037"/>
    <s v="Nab-Makeup"/>
    <x v="11"/>
    <d v="2025-05-12T00:00:00"/>
    <n v="150"/>
    <d v="2025-06-01T00:00:00"/>
    <m/>
  </r>
  <r>
    <s v="Harshini Nursing"/>
    <s v="Royal Road, Plaine des Roches"/>
    <s v="Rivière du Rempart"/>
    <s v="Plaines des Roches"/>
    <n v="58004246"/>
    <s v="Nab-Makeup"/>
    <x v="11"/>
    <d v="2025-05-12T00:00:00"/>
    <n v="150"/>
    <d v="2025-06-01T00:00:00"/>
    <m/>
  </r>
  <r>
    <s v="Miss Ramsamy Yhovina Devi"/>
    <s v="Tagore Lane, L'Escalier (Can also pick up at Rosebelle on some days)"/>
    <s v="Grand Port"/>
    <s v="L'Escalier"/>
    <n v="59127558"/>
    <s v="Nab-Makeup"/>
    <x v="11"/>
    <d v="2025-05-12T00:00:00"/>
    <n v="150"/>
    <d v="2025-06-01T00:00:00"/>
    <m/>
  </r>
  <r>
    <s v="Kyria Evodie Siraz"/>
    <s v="Geetanjalee Road, 3 Boutiques, Triolet"/>
    <s v="Pamplemousses"/>
    <s v="Triolet"/>
    <n v="57947140"/>
    <s v="Nab-Makeup"/>
    <x v="11"/>
    <d v="2025-05-12T00:00:00"/>
    <n v="150"/>
    <d v="2025-06-01T00:00:00"/>
    <m/>
  </r>
  <r>
    <s v="Vedishka Pandoo"/>
    <s v="Wall Street, 7 Exchange Square Building, Ebene"/>
    <s v="Plaines Wilhems"/>
    <s v="Ebene"/>
    <n v="57718586"/>
    <s v="Nab-Makeup"/>
    <x v="11"/>
    <d v="2025-05-12T00:00:00"/>
    <n v="150"/>
    <d v="2025-06-01T00:00:00"/>
    <m/>
  </r>
  <r>
    <s v="Nailah Jumun"/>
    <s v="Kalimayed Rd, Lalmatie"/>
    <s v="Flacq"/>
    <s v="Lallmatie"/>
    <n v="52586838"/>
    <s v="Nab-Makeup"/>
    <x v="11"/>
    <d v="2025-05-12T00:00:00"/>
    <n v="150"/>
    <d v="2025-06-01T00:00:00"/>
    <m/>
  </r>
  <r>
    <s v="Vandana Veerasoo"/>
    <s v="Camp le Juge, Curepipe"/>
    <s v="Plaines Wilhems"/>
    <s v="Curepipe"/>
    <n v="59064475"/>
    <s v="Nab-Makeup"/>
    <x v="11"/>
    <d v="2025-05-12T00:00:00"/>
    <n v="150"/>
    <d v="2025-06-01T00:00:00"/>
    <m/>
  </r>
  <r>
    <s v="Yusheeka Gunga"/>
    <s v="Royal road, 9th Mille, Triolet"/>
    <s v="Pamplemousses"/>
    <s v="Triolet"/>
    <n v="58318558"/>
    <s v="Nab-Makeup"/>
    <x v="11"/>
    <d v="2025-05-12T00:00:00"/>
    <n v="150"/>
    <d v="2025-06-01T00:00:00"/>
    <m/>
  </r>
  <r>
    <s v="Bitasha Mohun"/>
    <s v="Royal Road, St François, Cap Malheureux"/>
    <s v="Rivière du Rempart"/>
    <s v="Cap Malheureux"/>
    <n v="58107110"/>
    <s v="Nab-Makeup"/>
    <x v="11"/>
    <d v="2025-05-12T00:00:00"/>
    <n v="150"/>
    <d v="2025-06-01T00:00:00"/>
    <m/>
  </r>
  <r>
    <s v="Vikesh Goundowry"/>
    <s v="Royal Road, Cottage Mapou"/>
    <s v="Rivière du Rempart"/>
    <s v="Mapou"/>
    <n v="57761919"/>
    <s v="Nab-Makeup"/>
    <x v="11"/>
    <d v="2025-05-12T00:00:00"/>
    <n v="150"/>
    <d v="2025-06-01T00:00:00"/>
    <m/>
  </r>
  <r>
    <s v="Madyha Kaudeer"/>
    <s v="Dispensary road, Midlands"/>
    <s v="Grand Port"/>
    <s v="Midlands"/>
    <s v="58091971; 6645549"/>
    <s v="Nab-Makeup"/>
    <x v="11"/>
    <d v="2025-05-12T00:00:00"/>
    <n v="150"/>
    <d v="2025-06-01T00:00:00"/>
    <m/>
  </r>
  <r>
    <s v="Oomeela Bissessur"/>
    <s v="Royal Road, Pont Parslin"/>
    <s v="Flacq"/>
    <s v="Flacq"/>
    <n v="58032276"/>
    <s v="Nab-Makeup"/>
    <x v="11"/>
    <d v="2025-05-12T00:00:00"/>
    <n v="150"/>
    <d v="2025-06-01T00:00:00"/>
    <m/>
  </r>
  <r>
    <s v="Samiksha Khurug"/>
    <s v="129, Canal Bathurst Street, Sainte Croix, Port Louis"/>
    <s v="Port Louis"/>
    <s v="Sainte Croix"/>
    <n v="57704496"/>
    <s v="Nab-Makeup"/>
    <x v="11"/>
    <d v="2025-05-12T00:00:00"/>
    <n v="150"/>
    <d v="2025-06-01T00:00:00"/>
    <m/>
  </r>
  <r>
    <s v="Kajal Sunkur"/>
    <s v="SSR road, Camp Diable"/>
    <s v="Savanne"/>
    <s v="Camp Diable"/>
    <s v="58333086; 58250625"/>
    <s v="Nab-Makeup"/>
    <x v="11"/>
    <d v="2025-05-12T00:00:00"/>
    <n v="150"/>
    <d v="2025-06-01T00:00:00"/>
    <m/>
  </r>
  <r>
    <s v="Sideshwari Rambaran"/>
    <s v="Royal Road, Ecroignard"/>
    <s v="Flacq"/>
    <s v="Ecroignard"/>
    <n v="58023701"/>
    <s v="Nab-Makeup"/>
    <x v="11"/>
    <d v="2025-05-12T00:00:00"/>
    <n v="150"/>
    <d v="2025-06-01T00:00:00"/>
    <m/>
  </r>
  <r>
    <s v="Shamila Warsalee"/>
    <s v="Quinze Cantons Road, Vacoas"/>
    <s v="Plaines Wilhems"/>
    <s v="Vacoas"/>
    <n v="52511111"/>
    <s v="Nab-Makeup"/>
    <x v="11"/>
    <d v="2025-05-12T00:00:00"/>
    <n v="150"/>
    <d v="2025-06-01T00:00:00"/>
    <m/>
  </r>
  <r>
    <s v="Bhoomita Kooblall"/>
    <s v="Morc Blueprint, lot no.90 (2), Tyack"/>
    <s v="Savanne"/>
    <s v="Tyack"/>
    <n v="57023580"/>
    <s v="Nab-Makeup"/>
    <x v="11"/>
    <d v="2025-05-12T00:00:00"/>
    <n v="150"/>
    <d v="2025-06-01T00:00:00"/>
    <m/>
  </r>
  <r>
    <s v="Neeshma Ballgobin Chengee"/>
    <s v="Royal Road, l'Esperence, Piton"/>
    <s v="Rivière du Rempart"/>
    <s v="Piton"/>
    <n v="59124845"/>
    <s v="Nab-Makeup"/>
    <x v="11"/>
    <d v="2025-05-12T00:00:00"/>
    <n v="150"/>
    <d v="2025-06-01T00:00:00"/>
    <m/>
  </r>
  <r>
    <s v="Shakeela Rawah"/>
    <s v="Kendra Mall, St Pierre"/>
    <s v="Moka"/>
    <s v="St Pierre"/>
    <n v="58092563"/>
    <s v="Nab-Makeup"/>
    <x v="11"/>
    <d v="2025-05-12T00:00:00"/>
    <n v="150"/>
    <d v="2025-06-01T00:00:00"/>
    <m/>
  </r>
  <r>
    <s v="Khaveena Gurewan"/>
    <s v="12, Benny Narain Lallah Street, Mont Roches, Beau Bassin"/>
    <s v="Plaines Wilhems"/>
    <s v="Beau Bassin"/>
    <n v="57511441"/>
    <s v="Nab-Makeup"/>
    <x v="11"/>
    <d v="2025-05-12T00:00:00"/>
    <n v="150"/>
    <d v="2025-06-01T00:00:00"/>
    <m/>
  </r>
  <r>
    <s v="Noorjahan Nohur Nesha"/>
    <s v="Keijou Road, Goodlands, Petit Village"/>
    <s v="Rivière du Rempart"/>
    <s v="Goodlands"/>
    <n v="57733826"/>
    <s v="Nab-Makeup"/>
    <x v="11"/>
    <d v="2025-05-12T00:00:00"/>
    <n v="150"/>
    <d v="2025-06-01T00:00:00"/>
    <m/>
  </r>
  <r>
    <s v="Joyeuse Caroline"/>
    <s v="Beethoven Street, Block B34, Cite Malherbes 74319, Curepipe"/>
    <s v="Plaines Wilhems"/>
    <s v="Curepipe"/>
    <n v="59775259"/>
    <s v="Nab-Makeup"/>
    <x v="11"/>
    <d v="2025-05-12T00:00:00"/>
    <n v="150"/>
    <d v="2025-06-01T00:00:00"/>
    <m/>
  </r>
  <r>
    <s v="Tanouka Approo"/>
    <s v="Mahatma Gandhi Road, 3 Boutiques, Triolet"/>
    <s v="Pamplemousses"/>
    <s v="Triolet"/>
    <n v="57644700"/>
    <s v="Nab-Makeup"/>
    <x v="11"/>
    <d v="2025-05-12T00:00:00"/>
    <n v="150"/>
    <d v="2025-06-01T00:00:00"/>
    <m/>
  </r>
  <r>
    <s v="Drishti Devi Seenarain"/>
    <s v="Kalimaye road, Calebasses"/>
    <s v="Pamplemousses"/>
    <s v="Calebasses"/>
    <n v="54944095"/>
    <s v="Nab-Makeup"/>
    <x v="11"/>
    <d v="2025-05-12T00:00:00"/>
    <n v="150"/>
    <d v="2025-06-01T00:00:00"/>
    <m/>
  </r>
  <r>
    <s v="Zohra Peerbux"/>
    <s v="Maurice Raffray Street, Roche Brunes, Beaubassin"/>
    <s v="Plaines Wilhems"/>
    <s v="Beau Bassin"/>
    <n v="59347288"/>
    <s v="Nab-Makeup"/>
    <x v="11"/>
    <d v="2025-05-12T00:00:00"/>
    <n v="150"/>
    <d v="2025-06-01T00:00:00"/>
    <m/>
  </r>
  <r>
    <s v="Sanjana Ramlugun"/>
    <s v="55 Avenue des Ibis, Sodnac, Quatre-Bornes"/>
    <s v="Plaines Wilhems"/>
    <s v="Quatre Bornes"/>
    <n v="59847654"/>
    <s v="Nab-Makeup"/>
    <x v="11"/>
    <d v="2025-05-12T00:00:00"/>
    <n v="150"/>
    <d v="2025-06-01T00:00:00"/>
    <m/>
  </r>
  <r>
    <s v="Soobug Vidoushi"/>
    <s v="Carreau Esnouf, Plaine Magnien"/>
    <s v="Grand Port"/>
    <s v="Plaine Magnien"/>
    <n v="59189038"/>
    <s v="Nab-Makeup"/>
    <x v="11"/>
    <d v="2025-05-12T00:00:00"/>
    <n v="150"/>
    <d v="2025-06-01T00:00:00"/>
    <m/>
  </r>
  <r>
    <s v="Bhookhul Sadhvi"/>
    <s v="Verger Road, Goodlands"/>
    <s v="Rivière du Rempart"/>
    <s v="Goodlands"/>
    <n v="58020784"/>
    <s v="Nab-Makeup"/>
    <x v="11"/>
    <d v="2025-05-12T00:00:00"/>
    <n v="150"/>
    <d v="2025-06-01T00:00:00"/>
    <m/>
  </r>
  <r>
    <s v="Marie Benjamine Grancourt"/>
    <s v="Mt. Cabris Citron, Rodrigues"/>
    <s v="Rodrigues"/>
    <s v="Rodrigues"/>
    <n v="58510450"/>
    <s v="Nab-Makeup"/>
    <x v="11"/>
    <d v="2025-05-14T00:00:00"/>
    <n v="39"/>
    <d v="2025-06-01T00:00:00"/>
    <m/>
  </r>
  <r>
    <s v="Potiron Marie Annety"/>
    <s v="MHC Building, Camp Au Roi, Rodrigues, Port Mathurin"/>
    <s v="Rodrigues"/>
    <s v="Rodrigues"/>
    <n v="57116047"/>
    <s v="Nab-Makeup"/>
    <x v="11"/>
    <d v="2025-05-14T00:00:00"/>
    <n v="39"/>
    <d v="2025-06-01T00:00:00"/>
    <m/>
  </r>
  <r>
    <s v="Aarti Joyram"/>
    <s v="Morc Koenig, Phoenix"/>
    <s v="Plaines Wilhems"/>
    <s v="Phoenix"/>
    <n v="57663201"/>
    <s v="Nab-Makeup"/>
    <x v="12"/>
    <d v="2025-05-15T00:00:00"/>
    <n v="150"/>
    <d v="2025-06-01T00:00:00"/>
    <m/>
  </r>
  <r>
    <s v="Aliah Rengony"/>
    <s v="Absa House, Ebene"/>
    <s v="Plaines Wilhems"/>
    <s v="Ebene"/>
    <n v="57601772"/>
    <s v="Nab-Makeup"/>
    <x v="12"/>
    <d v="2025-05-15T00:00:00"/>
    <n v="150"/>
    <d v="2025-06-01T00:00:00"/>
    <m/>
  </r>
  <r>
    <s v="Aumeer Farheen Bibi Amina"/>
    <s v="Morc Coombes, Camp Caval, Curepipe"/>
    <s v="Plaines Wilhems"/>
    <s v="Curepipe"/>
    <n v="52522607"/>
    <s v="Nab-Makeup"/>
    <x v="12"/>
    <d v="2025-05-15T00:00:00"/>
    <n v="150"/>
    <d v="2025-06-01T00:00:00"/>
    <m/>
  </r>
  <r>
    <s v="Ayushee Subron"/>
    <s v="Camp Bombaye, Forest-Side, Curepipe"/>
    <s v="Plaines Wilhems"/>
    <s v="Curepipe"/>
    <n v="58391422"/>
    <s v="Nab-Makeup"/>
    <x v="12"/>
    <d v="2025-05-15T00:00:00"/>
    <n v="150"/>
    <d v="2025-06-01T00:00:00"/>
    <m/>
  </r>
  <r>
    <s v="Bibi Nazifa Jathoonia"/>
    <s v="Branch Road, Highlands, Phoenix"/>
    <s v="Plaines Wilhems"/>
    <s v="Highlands"/>
    <n v="58563468"/>
    <s v="Nab-Makeup"/>
    <x v="12"/>
    <d v="2025-05-15T00:00:00"/>
    <n v="150"/>
    <d v="2025-06-01T00:00:00"/>
    <m/>
  </r>
  <r>
    <s v="Darrenee Payen"/>
    <s v="39 Cambridge Lane, Ollier, Quatre Bornes"/>
    <s v="Plaines Wilhems"/>
    <s v="Quatre Bornes"/>
    <n v="59847082"/>
    <s v="Nab-Makeup"/>
    <x v="12"/>
    <d v="2025-05-19T00:00:00"/>
    <n v="150"/>
    <d v="2025-06-01T00:00:00"/>
    <m/>
  </r>
  <r>
    <s v="Geetika Jhurry"/>
    <s v="State Secondary School Lane, 8th Mile, Triolet"/>
    <s v="Pamplemousses"/>
    <s v="Triolet"/>
    <n v="57950634"/>
    <s v="Nab-Makeup"/>
    <x v="12"/>
    <d v="2025-05-15T00:00:00"/>
    <n v="150"/>
    <d v="2025-06-01T00:00:00"/>
    <m/>
  </r>
  <r>
    <s v="Havisha Adhin"/>
    <s v="Jackson Road, Vacoas"/>
    <s v="Plaines Wilhems"/>
    <s v="Vacoas"/>
    <n v="58060901"/>
    <s v="Nab-Makeup"/>
    <x v="12"/>
    <d v="2025-05-15T00:00:00"/>
    <n v="150"/>
    <d v="2025-06-01T00:00:00"/>
    <m/>
  </r>
  <r>
    <s v="Husaifah Bukurally"/>
    <s v="Shivala Road, Providence, Quartier Militaire"/>
    <s v="Moka"/>
    <s v="Quartier Militaire"/>
    <n v="58356258"/>
    <s v="Nab-Makeup"/>
    <x v="12"/>
    <d v="2025-05-15T00:00:00"/>
    <n v="150"/>
    <d v="2025-06-01T00:00:00"/>
    <m/>
  </r>
  <r>
    <s v="Karishma D Ramnauth"/>
    <s v="SSR Lane, Camp Ithier, Flacq"/>
    <s v="Flacq"/>
    <s v="Camp Ithier"/>
    <n v="55366403"/>
    <s v="Nab-Makeup"/>
    <x v="12"/>
    <d v="2025-05-15T00:00:00"/>
    <n v="150"/>
    <d v="2025-06-01T00:00:00"/>
    <m/>
  </r>
  <r>
    <s v="Mansurah Khedarun"/>
    <s v="Royal Road, L’Escalier"/>
    <s v="Grand Port"/>
    <s v="L'Escalier"/>
    <n v="57560236"/>
    <s v="Nab-Makeup"/>
    <x v="12"/>
    <d v="2025-05-15T00:00:00"/>
    <n v="150"/>
    <d v="2025-06-01T00:00:00"/>
    <m/>
  </r>
  <r>
    <s v="Mrs Boodhoo"/>
    <s v="Jeeto Hospital, Port Louis"/>
    <s v="Port Louis"/>
    <s v="Port Louis"/>
    <n v="57881628"/>
    <s v="OKASINA"/>
    <x v="12"/>
    <d v="2025-05-15T00:00:00"/>
    <n v="150"/>
    <d v="2025-06-01T00:00:00"/>
    <m/>
  </r>
  <r>
    <s v="Navelee Nemdharry"/>
    <s v="JurisTax Ltd, Ebene House, Ebene"/>
    <s v="Plaines Wilhems"/>
    <s v="Ebene"/>
    <n v="58045188"/>
    <s v="Nab-Makeup"/>
    <x v="12"/>
    <d v="2025-05-15T00:00:00"/>
    <n v="150"/>
    <d v="2025-06-01T00:00:00"/>
    <m/>
  </r>
  <r>
    <s v="Peeally Nazranah"/>
    <s v="Camp Fouqueraux, Serin Lane"/>
    <s v="Moka"/>
    <s v="Camp Fouqueraux"/>
    <n v="58062193"/>
    <s v="Nab-Makeup"/>
    <x v="12"/>
    <d v="2025-05-15T00:00:00"/>
    <n v="150"/>
    <d v="2025-06-01T00:00:00"/>
    <m/>
  </r>
  <r>
    <s v="Rubina Cateau"/>
    <s v="204 Morcellement VRS 2, L’Avenir, St Pierre"/>
    <s v="Moka"/>
    <s v="St Pierre"/>
    <n v="57225307"/>
    <s v="Nab-Makeup"/>
    <x v="12"/>
    <s v="Cancelled"/>
    <n v="0"/>
    <s v="Cancelled"/>
    <m/>
  </r>
  <r>
    <s v="Saba Khayrattee"/>
    <s v="Durgahee Lane, L’Avenir"/>
    <s v="Moka"/>
    <s v="Saint Pierre"/>
    <n v="57143835"/>
    <s v="Nab-Makeup"/>
    <x v="12"/>
    <d v="2025-05-15T00:00:00"/>
    <n v="150"/>
    <d v="2025-06-01T00:00:00"/>
    <m/>
  </r>
  <r>
    <s v="Sandhya"/>
    <s v="Dreamprice, New Grove"/>
    <s v="Grand Port"/>
    <s v="New Grove"/>
    <n v="59204506"/>
    <s v="OKASINA"/>
    <x v="12"/>
    <d v="2025-05-15T00:00:00"/>
    <n v="150"/>
    <d v="2025-06-01T00:00:00"/>
    <m/>
  </r>
  <r>
    <s v="Sangeeta Moneea"/>
    <s v="Pavillon, Cap Malheureux"/>
    <s v="Rivière du Rempart"/>
    <s v="Cap Malheureux"/>
    <n v="58352822"/>
    <s v="Nab-Makeup"/>
    <x v="12"/>
    <d v="2025-05-15T00:00:00"/>
    <n v="150"/>
    <d v="2025-06-01T00:00:00"/>
    <m/>
  </r>
  <r>
    <s v="Shafaa Mirjane"/>
    <s v="Fleury sur Mer Lane, Trou aux Biches Road, Triolet"/>
    <s v="Pamplemousses"/>
    <s v="Triolet"/>
    <n v="57869587"/>
    <s v="Nab-Makeup"/>
    <x v="12"/>
    <d v="2025-05-19T00:00:00"/>
    <n v="150"/>
    <d v="2025-06-01T00:00:00"/>
    <m/>
  </r>
  <r>
    <s v="Summuyyah Edun"/>
    <s v="Conde 6, Anse Courtoise, Pailles"/>
    <s v="Port Louis"/>
    <s v="Pailles"/>
    <n v="59022668"/>
    <s v="Nab-Makeup"/>
    <x v="12"/>
    <d v="2025-05-15T00:00:00"/>
    <n v="150"/>
    <d v="2025-06-01T00:00:00"/>
    <m/>
  </r>
  <r>
    <s v="Varsha Gheeseewonee"/>
    <s v="Canton Nancy, Pamplemousses"/>
    <s v="North-East"/>
    <s v="Pamplemousses"/>
    <n v="57586880"/>
    <s v="Nab-Makeup"/>
    <x v="12"/>
    <d v="2025-05-15T00:00:00"/>
    <n v="150"/>
    <d v="2025-06-01T00:00:00"/>
    <m/>
  </r>
  <r>
    <s v="Vidoushi Jaddoo"/>
    <s v="Camp Mumbai, Sebastopol"/>
    <s v="Moka"/>
    <s v="Sebastopol"/>
    <n v="59249794"/>
    <s v="OKASINA"/>
    <x v="12"/>
    <d v="2025-05-15T00:00:00"/>
    <n v="150"/>
    <d v="2025-06-01T00:00:00"/>
    <m/>
  </r>
  <r>
    <s v="Yasir Rummun"/>
    <s v="Royal Road, L’Avenir, St Pierre"/>
    <s v="Moka"/>
    <s v="St Pierre"/>
    <s v=" 57982230 / 59235745"/>
    <s v="Nab-Makeup"/>
    <x v="12"/>
    <d v="2025-05-15T00:00:00"/>
    <n v="150"/>
    <d v="2025-06-01T00:00:00"/>
    <m/>
  </r>
  <r>
    <s v="Yousrah Jeewuth"/>
    <s v="Royal Road, Chamouny"/>
    <s v="Savanne"/>
    <s v="Chamouny"/>
    <n v="58115768"/>
    <s v="Nab-Makeup"/>
    <x v="12"/>
    <d v="2025-05-15T00:00:00"/>
    <n v="150"/>
    <d v="2025-06-01T00:00:00"/>
    <m/>
  </r>
  <r>
    <s v="Zahrah Dhunnoo"/>
    <s v="Ramgutty Street, Floréal"/>
    <s v="Plaines Wilhems"/>
    <s v="Floréal"/>
    <n v="59260105"/>
    <s v="Nab-Makeup"/>
    <x v="12"/>
    <d v="2025-05-15T00:00:00"/>
    <n v="150"/>
    <d v="2025-06-01T00:00:00"/>
    <m/>
  </r>
  <r>
    <s v="Zainab Auckburally"/>
    <s v="Pharmacy Lo, Royal Road, Grand Baie"/>
    <s v="Rivière du Rempart"/>
    <s v="Grand Baie"/>
    <n v="58291827"/>
    <s v="Nab-Makeup"/>
    <x v="12"/>
    <d v="2025-05-15T00:00:00"/>
    <n v="150"/>
    <d v="2025-06-01T00:00:00"/>
    <m/>
  </r>
  <r>
    <s v="Zakiya Sobratee"/>
    <s v="Citadelle Mall"/>
    <s v="Port Louis"/>
    <s v="Port Louis"/>
    <n v="57371530"/>
    <s v="OKASINA"/>
    <x v="12"/>
    <d v="2025-05-15T00:00:00"/>
    <n v="150"/>
    <d v="2025-06-01T00:00:00"/>
    <m/>
  </r>
  <r>
    <s v="Zoya Dowlut"/>
    <s v="07 Inkerman Street, Rose Hill (Near GFA Building)"/>
    <s v="Plaines Wilhems"/>
    <s v="Rose Hill"/>
    <n v="59138037"/>
    <s v="Nab-Makeup"/>
    <x v="12"/>
    <d v="2025-05-15T00:00:00"/>
    <n v="150"/>
    <d v="2025-06-01T00:00:00"/>
    <m/>
  </r>
  <r>
    <s v="Muhammad Qaadir"/>
    <s v="52, Hermitage Road, Coromandel"/>
    <s v="Plaines Wilhems"/>
    <s v="Coromandel"/>
    <n v="58089291"/>
    <s v="Nab-Makeup"/>
    <x v="13"/>
    <d v="2025-05-19T00:00:00"/>
    <n v="150"/>
    <d v="2025-06-01T00:00:00"/>
    <m/>
  </r>
  <r>
    <s v="Chesnabye Pittea"/>
    <s v="Royal Road, La Rosa, New-Grove, 51213"/>
    <s v="Grand Port"/>
    <s v="New Grove"/>
    <n v="57049037"/>
    <s v="Nab-Makeup"/>
    <x v="13"/>
    <d v="2025-05-19T00:00:00"/>
    <n v="150"/>
    <d v="2025-06-01T00:00:00"/>
    <m/>
  </r>
  <r>
    <s v="Yukta Basuntoo"/>
    <s v="Rishi Dayanand Road No. 1, Mahebourg"/>
    <s v="Grand Port"/>
    <s v="Mahebourg"/>
    <n v="59176744"/>
    <s v="Nab-Makeup"/>
    <x v="13"/>
    <d v="2025-05-19T00:00:00"/>
    <n v="150"/>
    <d v="2025-06-01T00:00:00"/>
    <m/>
  </r>
  <r>
    <s v="Hanshinee Mokhram"/>
    <s v="11 Rue Martindale, Beau Bassin"/>
    <s v="Plaines Wilhems"/>
    <s v="Beau Bassin"/>
    <n v="59297458"/>
    <s v="Nab-Makeup"/>
    <x v="13"/>
    <d v="2025-05-19T00:00:00"/>
    <n v="150"/>
    <d v="2025-06-01T00:00:00"/>
    <m/>
  </r>
  <r>
    <s v="Nishita Kisoon"/>
    <s v="Reunion Maurel, Trois Bras, Petit Raffray"/>
    <s v="Rivière du Rempart"/>
    <s v="Petit Raffray"/>
    <n v="58098168"/>
    <s v="Nab-Makeup"/>
    <x v="13"/>
    <d v="2025-05-19T00:00:00"/>
    <n v="150"/>
    <d v="2025-06-01T00:00:00"/>
    <m/>
  </r>
  <r>
    <s v="Bibi Farisha Roukshar Tagaully"/>
    <s v="Bel Vedere Road, Brisée Verdière"/>
    <s v="Flacq"/>
    <s v="Brisée Verdiere"/>
    <n v="59052095"/>
    <s v="Nab-Makeup"/>
    <x v="13"/>
    <d v="2025-05-19T00:00:00"/>
    <n v="150"/>
    <d v="2025-06-01T00:00:00"/>
    <m/>
  </r>
  <r>
    <s v="Martha Asio"/>
    <s v="Lot 47 Morcellement VRS, Cascavelle 90203"/>
    <s v="Black River"/>
    <s v="Cascavelle"/>
    <n v="57476358"/>
    <s v="Nab-Makeup"/>
    <x v="13"/>
    <d v="2025-05-19T00:00:00"/>
    <n v="150"/>
    <d v="2025-06-01T00:00:00"/>
    <m/>
  </r>
  <r>
    <s v="Raaidah Elaheebocus"/>
    <s v="Edgar Hughes Street, Curepipe"/>
    <s v="Plaines Wilhems"/>
    <s v="Curepipe"/>
    <n v="57615763"/>
    <s v="Nab-Makeup"/>
    <x v="13"/>
    <d v="2025-05-19T00:00:00"/>
    <n v="150"/>
    <d v="2025-06-01T00:00:00"/>
    <m/>
  </r>
  <r>
    <s v="Lubnaa Codabaccus"/>
    <s v="22 Serang, Port Louis"/>
    <s v="Port Louis"/>
    <s v="Port Louis"/>
    <n v="58249157"/>
    <s v="Nab-Makeup"/>
    <x v="13"/>
    <d v="2025-05-19T00:00:00"/>
    <n v="150"/>
    <d v="2025-06-01T00:00:00"/>
    <m/>
  </r>
  <r>
    <s v="Bissoon Shreshika"/>
    <s v="Très Bon No. 4, Vacoas"/>
    <s v="Plaines Wilhems"/>
    <s v="Vacoas"/>
    <n v="58019771"/>
    <s v="Nab-Makeup"/>
    <x v="13"/>
    <d v="2025-05-19T00:00:00"/>
    <n v="150"/>
    <d v="2025-06-01T00:00:00"/>
    <m/>
  </r>
  <r>
    <s v="Elisha Dowlutta"/>
    <s v="Bissessur Lane, Palma, Quatre Bornes"/>
    <s v="Plaines Wilhems"/>
    <s v="Quatre Bornes"/>
    <n v="58161626"/>
    <s v="Nab-Makeup"/>
    <x v="13"/>
    <d v="2025-05-19T00:00:00"/>
    <n v="150"/>
    <d v="2025-06-01T00:00:00"/>
    <m/>
  </r>
  <r>
    <s v="Niveda Moorghen"/>
    <s v="Petit Paquet, Montagne Blanche"/>
    <s v="Flacq"/>
    <s v="Montagne Blanche"/>
    <n v="57957626"/>
    <s v="Nab-Makeup"/>
    <x v="13"/>
    <d v="2025-05-19T00:00:00"/>
    <n v="150"/>
    <d v="2025-06-01T00:00:00"/>
    <m/>
  </r>
  <r>
    <s v="Seena Seburuth"/>
    <s v="Sottise Road, Grand Baie / SBM Tower, Port Louis (Weekdays)"/>
    <s v="Rivière du Rempart"/>
    <s v="Grand Baie"/>
    <n v="57081703"/>
    <s v="Nab-Makeup"/>
    <x v="13"/>
    <d v="2025-05-19T00:00:00"/>
    <n v="150"/>
    <d v="2025-06-01T00:00:00"/>
    <m/>
  </r>
  <r>
    <s v="Mousheerah Bakerally"/>
    <s v="Branch Road, L’Escalier"/>
    <s v="Grand Port"/>
    <s v="L'Escalier"/>
    <n v="58316872"/>
    <s v="Nab-Makeup"/>
    <x v="13"/>
    <d v="2025-05-19T00:00:00"/>
    <n v="150"/>
    <d v="2025-06-01T00:00:00"/>
    <m/>
  </r>
  <r>
    <s v="Dhunnookchand Khousma"/>
    <s v="Morc Nouvelle Industrie, Baillache Road, Long Mountain"/>
    <s v="Pamplemousses"/>
    <s v="Long Mountain"/>
    <n v="59111590"/>
    <s v="Nab-Makeup"/>
    <x v="13"/>
    <d v="2025-05-19T00:00:00"/>
    <n v="150"/>
    <d v="2025-06-01T00:00:00"/>
    <m/>
  </r>
  <r>
    <s v="Mehrine Soobraty / Fadil Soobraty"/>
    <s v="Royal Road, Bon Accueil, Near Patisserie Soobraty"/>
    <s v="Flacq"/>
    <s v="Bon Accueil"/>
    <s v="57743072 / 58405567"/>
    <s v="Nab-Makeup"/>
    <x v="13"/>
    <d v="2025-05-19T00:00:00"/>
    <n v="150"/>
    <d v="2025-06-01T00:00:00"/>
    <m/>
  </r>
  <r>
    <s v="Yoseeta Beejadhur (Amisha)"/>
    <s v="Branch Road, Belle Rose, Clemencia, Bel Air 40101"/>
    <s v="Flacq"/>
    <s v="Bel Air"/>
    <n v="57836772"/>
    <s v="Nab-Makeup"/>
    <x v="13"/>
    <d v="2025-05-19T00:00:00"/>
    <n v="150"/>
    <d v="2025-06-01T00:00:00"/>
    <m/>
  </r>
  <r>
    <s v="Elizabeth Desmarais"/>
    <s v="Royal Road, Le Bouchon"/>
    <s v="Grand Port"/>
    <s v="Le Bouchon"/>
    <n v="57822066"/>
    <s v="Nab-Makeup"/>
    <x v="13"/>
    <d v="2025-05-19T00:00:00"/>
    <n v="150"/>
    <d v="2025-06-01T00:00:00"/>
    <m/>
  </r>
  <r>
    <s v="Cheekhooree Rina"/>
    <s v="RCA Leon, School Lane, Quartier Militaire (Golden Care Home)"/>
    <s v="Moka"/>
    <s v="Quartier Militaire"/>
    <n v="57984707"/>
    <s v="Nab-Makeup"/>
    <x v="13"/>
    <d v="2025-05-19T00:00:00"/>
    <n v="150"/>
    <d v="2025-06-01T00:00:00"/>
    <m/>
  </r>
  <r>
    <s v="Miniopoo Karishma"/>
    <s v="Avenue Longane, Stanley, Rose-Hill"/>
    <s v="Plaines Wilhems"/>
    <s v="Rose Hill"/>
    <n v="57539651"/>
    <s v="Nab-Makeup"/>
    <x v="13"/>
    <d v="2025-05-19T00:00:00"/>
    <n v="150"/>
    <d v="2025-06-01T00:00:00"/>
    <m/>
  </r>
  <r>
    <s v="Micha Ahnna Therese"/>
    <s v="Artemis Curepipe Hospital, Royal Road, Curepipe"/>
    <s v="Plaines Wilhems"/>
    <s v="Curepipe"/>
    <n v="58082124"/>
    <s v="Nab-Makeup"/>
    <x v="13"/>
    <d v="2025-05-19T00:00:00"/>
    <n v="150"/>
    <d v="2025-06-01T00:00:00"/>
    <m/>
  </r>
  <r>
    <s v="Joëmie Labonne"/>
    <s v="Raoul Lamarque, La Gaulette"/>
    <s v="Black River"/>
    <s v="La Gaulette"/>
    <n v="57319206"/>
    <s v="Nab-Makeup"/>
    <x v="13"/>
    <d v="2025-05-19T00:00:00"/>
    <n v="150"/>
    <d v="2025-06-01T00:00:00"/>
    <m/>
  </r>
  <r>
    <s v="Ophelie Pigeot"/>
    <s v="Saint Louis Business Centre"/>
    <s v="Port Louis"/>
    <s v="Port Louis"/>
    <n v="59474962"/>
    <s v="Nab-Makeup"/>
    <x v="13"/>
    <d v="2025-05-19T00:00:00"/>
    <n v="150"/>
    <d v="2025-06-01T00:00:00"/>
    <m/>
  </r>
  <r>
    <s v="Bhavna Mohesh"/>
    <s v="Gourdin Lane, Mahebourg"/>
    <s v="Grand Port"/>
    <s v="Mahebourg"/>
    <n v="58810707"/>
    <s v="OKASINA"/>
    <x v="13"/>
    <d v="2025-05-19T00:00:00"/>
    <n v="150"/>
    <d v="2025-06-01T00:00:00"/>
    <s v="COD: 3250"/>
  </r>
  <r>
    <s v="Madhvi Mungra"/>
    <s v="La Rue Lees, Curepipe"/>
    <s v="Plaines Wilhems"/>
    <s v="Curepipe"/>
    <n v="55039098"/>
    <s v="OKASINA"/>
    <x v="13"/>
    <d v="2025-05-19T00:00:00"/>
    <n v="150"/>
    <d v="2025-06-01T00:00:00"/>
    <s v="COD: 2795"/>
  </r>
  <r>
    <s v="Shalini Hawoldar"/>
    <s v="3Rd Floor, The Hybrid, 634 La Promenade, Telfair, Moka"/>
    <s v="Moka"/>
    <s v="Saint Pierre"/>
    <n v="57187715"/>
    <s v="OKASINA"/>
    <x v="13"/>
    <d v="2025-05-19T00:00:00"/>
    <n v="150"/>
    <d v="2025-06-01T00:00:00"/>
    <m/>
  </r>
  <r>
    <s v="Shivani Lukhoo"/>
    <s v="SSRN Hospital - Pamplemousses"/>
    <s v="North-East"/>
    <s v="Pamplemousses"/>
    <n v="58562553"/>
    <s v="OKASINA"/>
    <x v="13"/>
    <d v="2025-05-19T00:00:00"/>
    <n v="150"/>
    <d v="2025-06-01T00:00:00"/>
    <m/>
  </r>
  <r>
    <s v="Saroja Samigoundan"/>
    <s v="14 Eagle Street, Morcellement  La Confiance, Beau Bassin"/>
    <s v="Plaines Wilhems"/>
    <s v="Beau Bassin"/>
    <n v="59450164"/>
    <s v="OKASINA"/>
    <x v="13"/>
    <d v="2025-05-19T00:00:00"/>
    <n v="150"/>
    <d v="2025-06-01T00:00:00"/>
    <s v="COD: 4245"/>
  </r>
  <r>
    <s v="Mrs Buldawoo"/>
    <s v="Middle Rd, Plaines Des Papayes"/>
    <s v="North"/>
    <s v="Plaines des Papayes"/>
    <n v="58139242"/>
    <s v="OKASINA"/>
    <x v="13"/>
    <d v="2025-05-19T00:00:00"/>
    <n v="150"/>
    <d v="2025-06-01T00:00:00"/>
    <s v="COD: 1700"/>
  </r>
  <r>
    <s v="Rakesh Raggoo"/>
    <s v="Phoenix, Industrial Zone, Valentina, Ex Sonia Wear Building"/>
    <s v="Phoenix"/>
    <s v="Phoenix"/>
    <n v="59498751"/>
    <s v="OKASINA"/>
    <x v="13"/>
    <d v="2025-05-19T00:00:00"/>
    <n v="150"/>
    <d v="2025-06-01T00:00:00"/>
    <s v="COD: 1145"/>
  </r>
  <r>
    <s v="Indira Bhugun"/>
    <s v="Maheshwar Nagri Road, 9Th Miles, Triolet"/>
    <s v="Triolet"/>
    <s v="Triolet"/>
    <n v="57016453"/>
    <s v="OKASINA"/>
    <x v="13"/>
    <d v="2025-05-19T00:00:00"/>
    <n v="150"/>
    <d v="2025-06-01T00:00:00"/>
    <s v="COD: 1700"/>
  </r>
  <r>
    <s v="Anne Marie Couttee"/>
    <s v="Rte Clairfond No.1"/>
    <s v="Plaine Wilhems"/>
    <s v="Vacoas"/>
    <n v="57771103"/>
    <s v="Timeless Trends"/>
    <x v="14"/>
    <d v="2025-05-22T00:00:00"/>
    <n v="75"/>
    <d v="2025-06-01T00:00:00"/>
    <s v="COD: 1150"/>
  </r>
  <r>
    <s v="Nariman Kayamdy"/>
    <s v="Royal road plaine magnien - C/o southern sun boutic - Vis a vis shivala"/>
    <s v="Grand Port"/>
    <s v="Plaine Magnien"/>
    <n v="57164343"/>
    <s v="OKASINA"/>
    <x v="15"/>
    <d v="2025-05-26T00:00:00"/>
    <n v="150"/>
    <d v="2025-06-01T00:00:00"/>
    <m/>
  </r>
  <r>
    <s v="Sounita Naiko"/>
    <s v="St. Julien D'Hotman"/>
    <s v="East"/>
    <s v="St Julien D'Hotman"/>
    <n v="57170672"/>
    <s v="OKASINA"/>
    <x v="15"/>
    <d v="2025-05-22T00:00:00"/>
    <n v="150"/>
    <d v="2025-06-01T00:00:00"/>
    <m/>
  </r>
  <r>
    <s v="Miriam Yakowa"/>
    <s v="Oasis Boulevard/Shotz"/>
    <s v="Black River"/>
    <s v="Flic En Flac"/>
    <n v="54864473"/>
    <s v="Timeless Trends"/>
    <x v="16"/>
    <d v="2025-05-22T00:00:00"/>
    <n v="75"/>
    <d v="2025-06-01T00:00:00"/>
    <s v="COD: 1150 - Juice"/>
  </r>
  <r>
    <s v="Suman"/>
    <s v="The Vale Govt School (if before 15h) or Petit Raffray after 15:30"/>
    <s v="Riviere du Rempart"/>
    <s v="The Vale"/>
    <n v="57540682"/>
    <s v="Timeless Trends"/>
    <x v="16"/>
    <d v="2025-05-22T00:00:00"/>
    <n v="75"/>
    <d v="2025-06-01T00:00:00"/>
    <s v="COD: 1000"/>
  </r>
  <r>
    <s v="Nishal Singh"/>
    <s v="Dreamprice, Pamplemousses"/>
    <s v="North-East"/>
    <s v="Pamplemousses"/>
    <n v="57620335"/>
    <s v="OKASINA"/>
    <x v="17"/>
    <d v="2025-05-22T00:00:00"/>
    <n v="150"/>
    <d v="2025-06-01T00:00:00"/>
    <m/>
  </r>
  <r>
    <s v="Madhvi Mungra"/>
    <s v="La Rue Lees, Curepipe"/>
    <s v="Plaines Wilhems"/>
    <s v="Curepipe"/>
    <n v="55039098"/>
    <s v="OKASINA"/>
    <x v="17"/>
    <d v="2025-05-22T00:00:00"/>
    <n v="150"/>
    <d v="2025-06-01T00:00:00"/>
    <s v="COD: 1800"/>
  </r>
  <r>
    <s v="Mrs Dukhi"/>
    <s v="Royal Road, La Flora"/>
    <s v="South"/>
    <s v="La Flora"/>
    <n v="57823684"/>
    <s v="OKASINA"/>
    <x v="17"/>
    <d v="2025-05-22T00:00:00"/>
    <n v="150"/>
    <d v="2025-06-01T00:00:00"/>
    <s v="COD: 5245"/>
  </r>
  <r>
    <s v="Ms. Munjoolah Budloo"/>
    <s v="SOCOTA Phoenicia, Phoenix"/>
    <s v="Central"/>
    <s v="Phoenix"/>
    <n v="57990392"/>
    <s v="OKASINA"/>
    <x v="17"/>
    <d v="2025-05-22T00:00:00"/>
    <n v="150"/>
    <d v="2025-06-01T00:00:00"/>
    <s v="COD: 3495"/>
  </r>
  <r>
    <s v="Varuna Ramburrun"/>
    <s v="Royal Road, St Julien D'Hotman"/>
    <s v="East"/>
    <s v="St Julien D'Hotman"/>
    <n v="52526373"/>
    <s v="OKASINA"/>
    <x v="17"/>
    <d v="2025-05-22T00:00:00"/>
    <n v="150"/>
    <d v="2025-06-01T00:00:00"/>
    <s v="COD: 3395"/>
  </r>
  <r>
    <s v="Virginie Frédéric"/>
    <s v="Rue Arc En Ciel, Baie du Tombeau"/>
    <s v="Pamplemousses"/>
    <s v="Baie du Tombeau"/>
    <n v="52517739"/>
    <s v="Nab-Makeup"/>
    <x v="17"/>
    <d v="2025-05-22T00:00:00"/>
    <n v="150"/>
    <d v="2025-06-01T00:00:00"/>
    <m/>
  </r>
  <r>
    <s v="Maryam Mungroo"/>
    <s v="Tower A, Ebene"/>
    <s v="Plaines Wilhems"/>
    <s v="Ebene"/>
    <n v="59283079"/>
    <s v="Nab-Makeup"/>
    <x v="17"/>
    <d v="2025-05-22T00:00:00"/>
    <n v="150"/>
    <d v="2025-06-01T00:00:00"/>
    <m/>
  </r>
  <r>
    <s v="Karishma Bhujun"/>
    <s v="Plot 129, Morcellement Orchidee, Rose Belle"/>
    <s v="Grand Port"/>
    <s v="Rose Belle"/>
    <n v="58282698"/>
    <s v="Nab-Makeup"/>
    <x v="17"/>
    <d v="2025-05-22T00:00:00"/>
    <n v="150"/>
    <d v="2025-06-01T00:00:00"/>
    <m/>
  </r>
  <r>
    <s v="Husaifah Bukurally"/>
    <s v="Shivala Road, Providence, Quartier Militaire"/>
    <s v="Moka"/>
    <s v="Quartier Militaire"/>
    <n v="58356258"/>
    <s v="Nab-Makeup"/>
    <x v="17"/>
    <d v="2025-05-22T00:00:00"/>
    <n v="150"/>
    <d v="2025-06-01T00:00:00"/>
    <m/>
  </r>
  <r>
    <s v="Yashvini Issur"/>
    <s v="Royal Road, Case Noyale"/>
    <s v="Black River"/>
    <s v="Case Noyale"/>
    <n v="59143903"/>
    <s v="Nab-Makeup"/>
    <x v="17"/>
    <d v="2025-05-22T00:00:00"/>
    <n v="150"/>
    <d v="2025-06-01T00:00:00"/>
    <m/>
  </r>
  <r>
    <s v="Annastasia Rejana"/>
    <s v="Telfair Road, Moka"/>
    <s v="Moka"/>
    <s v="Moka"/>
    <n v="55077018"/>
    <s v="Nab-Makeup"/>
    <x v="17"/>
    <d v="2025-05-22T00:00:00"/>
    <n v="150"/>
    <d v="2025-06-01T00:00:00"/>
    <m/>
  </r>
  <r>
    <s v="Hritika Kissoon"/>
    <s v="Camp Beton Road, Bramsthan, Flacq"/>
    <s v="Flacq"/>
    <s v="Bramsthan"/>
    <n v="57689442"/>
    <s v="Nab-Makeup"/>
    <x v="17"/>
    <d v="2025-05-22T00:00:00"/>
    <n v="150"/>
    <d v="2025-06-01T00:00:00"/>
    <m/>
  </r>
  <r>
    <s v="Litesha Heera"/>
    <s v="EDC Road, Petit Raffray"/>
    <s v="Rivière du Rempart"/>
    <s v="Petit Raffray"/>
    <n v="57566842"/>
    <s v="Nab-Makeup"/>
    <x v="17"/>
    <d v="2025-05-22T00:00:00"/>
    <n v="150"/>
    <d v="2025-06-01T00:00:00"/>
    <m/>
  </r>
  <r>
    <s v="Darshinee Sunassee"/>
    <s v="Tagore Avenue, Ernest-Florent, Bel-Air"/>
    <s v="Flacq"/>
    <s v="Bel Air"/>
    <n v="58205520"/>
    <s v="Nab-Makeup"/>
    <x v="17"/>
    <d v="2025-05-22T00:00:00"/>
    <n v="150"/>
    <d v="2025-06-01T00:00:00"/>
    <m/>
  </r>
  <r>
    <s v="Sheena Auckloo"/>
    <s v="44 Quartier de la Fontaine, Domaine de Bon Espoir, Piton"/>
    <s v="Rivière du Rempart"/>
    <s v="Piton"/>
    <n v="57043495"/>
    <s v="Nab-Makeup"/>
    <x v="17"/>
    <d v="2025-05-22T00:00:00"/>
    <n v="150"/>
    <d v="2025-06-01T00:00:00"/>
    <m/>
  </r>
  <r>
    <s v="Diya Jugessur"/>
    <s v="ICONE EBENE (Next to Shell Filing Station)"/>
    <s v="Plaines Wilhems"/>
    <s v="Ebene"/>
    <n v="52505724"/>
    <s v="Nab-Makeup"/>
    <x v="17"/>
    <d v="2025-05-22T00:00:00"/>
    <n v="150"/>
    <d v="2025-06-01T00:00:00"/>
    <m/>
  </r>
  <r>
    <s v="Kodaï Bhoomesha"/>
    <s v="Royal Road, Melrose, Montagne Blanche"/>
    <s v="Flacq"/>
    <s v="Montagne Blanche"/>
    <n v="58248423"/>
    <s v="Nab-Makeup"/>
    <x v="17"/>
    <d v="2025-05-26T00:00:00"/>
    <n v="150"/>
    <d v="2025-06-01T00:00:00"/>
    <m/>
  </r>
  <r>
    <s v="Zarine Lowtun"/>
    <s v="Beedassy Lane, 8th Mile, Triolet"/>
    <s v="Pamplemousses"/>
    <s v="Triolet"/>
    <n v="57735020"/>
    <s v="Nab-Makeup"/>
    <x v="17"/>
    <d v="2025-05-22T00:00:00"/>
    <n v="150"/>
    <d v="2025-06-01T00:00:00"/>
    <m/>
  </r>
  <r>
    <s v="Poornima Rughoonath"/>
    <s v="Royal Road, Surinam"/>
    <s v="Savanne"/>
    <s v="Surinam"/>
    <n v="57965594"/>
    <s v="Timeless Trends"/>
    <x v="16"/>
    <d v="2025-05-22T00:00:00"/>
    <n v="75"/>
    <d v="2025-06-01T00:00:00"/>
    <m/>
  </r>
  <r>
    <s v="Premila Ramchurn"/>
    <s v="Social Welfare road"/>
    <s v="Goodlands"/>
    <s v="Goodlands"/>
    <n v="58200498"/>
    <s v="Glow And Aura"/>
    <x v="18"/>
    <d v="2025-05-26T00:00:00"/>
    <n v="75"/>
    <d v="2025-06-01T00:00:00"/>
    <m/>
  </r>
  <r>
    <s v="Minou"/>
    <s v="L'Aventure"/>
    <s v="L'Aventure"/>
    <s v="L'Aventure"/>
    <n v="59142212"/>
    <s v="Glow And Aura"/>
    <x v="18"/>
    <d v="2025-05-26T00:00:00"/>
    <n v="75"/>
    <d v="2025-06-01T00:00:00"/>
    <s v="COD: 1725"/>
  </r>
  <r>
    <s v="Subratty Zafiirah"/>
    <s v="Vallee Pitot"/>
    <s v="Port Louis"/>
    <s v="Port Louis"/>
    <n v="59818744"/>
    <s v="Glow And Aura"/>
    <x v="18"/>
    <d v="2025-05-26T00:00:00"/>
    <n v="75"/>
    <d v="2025-06-01T00:00:00"/>
    <s v="COD: 702"/>
  </r>
  <r>
    <s v="Aarti Babajee"/>
    <s v="34 Avenue Ylang Ylang, Quatre Bornes"/>
    <s v="Plaines Wilhems"/>
    <s v="Quatre Bornes"/>
    <n v="57893397"/>
    <s v="OKASINA"/>
    <x v="19"/>
    <d v="2025-05-26T00:00:00"/>
    <n v="150"/>
    <d v="2025-06-01T00:00:00"/>
    <s v="COD: 1300"/>
  </r>
  <r>
    <s v="Faeza"/>
    <s v="Proffessor Hassan Raffa Lane, _x000a_Highlands, Phoenix"/>
    <s v="Phoenix"/>
    <s v="Highlands"/>
    <n v="57829719"/>
    <s v="OKASINA"/>
    <x v="19"/>
    <d v="2025-05-26T00:00:00"/>
    <n v="150"/>
    <d v="2025-06-01T00:00:00"/>
    <s v="COD: 1900"/>
  </r>
  <r>
    <s v="Neha Beeharry"/>
    <s v="14 Avenue Yang Ylang"/>
    <s v="Plaines Wilhems"/>
    <s v="Quatre Bornes"/>
    <n v="59120596"/>
    <s v="OKASINA"/>
    <x v="19"/>
    <d v="2025-05-26T00:00:00"/>
    <n v="150"/>
    <d v="2025-06-01T00:00:00"/>
    <s v="COD: 2100"/>
  </r>
  <r>
    <s v="Varsha Luchoo"/>
    <s v="Jaylall Lane, Avenue Berthaud, Quatre Bornes"/>
    <s v="Plaines Wilhems"/>
    <s v="Quatre Bornes"/>
    <n v="57852775"/>
    <s v="OKASINA"/>
    <x v="19"/>
    <d v="2025-05-26T00:00:00"/>
    <n v="150"/>
    <d v="2025-06-01T00:00:00"/>
    <m/>
  </r>
  <r>
    <s v="Zarine Lowtun"/>
    <s v="Beedassy Lane, 8th Mile, Triolet"/>
    <s v="Pamplemousses"/>
    <s v="Triolet"/>
    <n v="57735020"/>
    <s v="Nab-Makeup"/>
    <x v="19"/>
    <d v="2025-05-26T00:00:00"/>
    <n v="150"/>
    <d v="2025-06-01T00:00:00"/>
    <m/>
  </r>
  <r>
    <s v="Sajeenaz Jugon"/>
    <s v="Royal Road, Camp Diable"/>
    <s v="Savanne"/>
    <s v="Camp Diable"/>
    <n v="57657019"/>
    <s v="Nab-Makeup"/>
    <x v="19"/>
    <d v="2025-05-26T00:00:00"/>
    <n v="150"/>
    <d v="2025-06-01T00:00:00"/>
    <m/>
  </r>
  <r>
    <s v="Nootaybah Ausrafally"/>
    <s v="Royal Road, Bel Air Rivière Sèche"/>
    <s v="Flacq"/>
    <s v="Bel Air"/>
    <n v="57867050"/>
    <s v="Nab-Makeup"/>
    <x v="19"/>
    <d v="2025-05-26T00:00:00"/>
    <n v="150"/>
    <d v="2025-06-01T00:00:00"/>
    <m/>
  </r>
  <r>
    <s v="Shabnam Emamdeen"/>
    <s v="Ganachaud Road, Castel, Eau Coulee"/>
    <s v="Plaines Wilhems"/>
    <s v="Castel"/>
    <n v="57851354"/>
    <s v="Nab-Makeup"/>
    <x v="19"/>
    <d v="2025-05-26T00:00:00"/>
    <n v="150"/>
    <d v="2025-06-01T00:00:00"/>
    <m/>
  </r>
  <r>
    <s v="Heelona Appadoo"/>
    <s v="257, Avenue des Hérons, Morc Bismic, Flic en Flac"/>
    <s v="Black River"/>
    <s v="Flic En Flac"/>
    <n v="57925275"/>
    <s v="Nab-Makeup"/>
    <x v="19"/>
    <d v="2025-05-26T00:00:00"/>
    <n v="150"/>
    <d v="2025-06-01T00:00:00"/>
    <m/>
  </r>
  <r>
    <s v="Litesha Heera"/>
    <s v="EDC Road, Petit Raffray"/>
    <s v="Rivière du Rempart"/>
    <s v="Petit Raffray"/>
    <n v="57566842"/>
    <s v="Nab-Makeup"/>
    <x v="19"/>
    <d v="2025-05-26T00:00:00"/>
    <n v="150"/>
    <d v="2025-06-01T00:00:00"/>
    <m/>
  </r>
  <r>
    <s v="Ashika Jhumun"/>
    <s v="Morcellement VRS, Camp Ithier"/>
    <s v="Flacq"/>
    <s v="Camp Ithier"/>
    <n v="59297148"/>
    <s v="Nab-Makeup"/>
    <x v="19"/>
    <d v="2025-05-26T00:00:00"/>
    <n v="150"/>
    <d v="2025-06-01T00:00:00"/>
    <m/>
  </r>
  <r>
    <s v="Sharine Aumjeedally"/>
    <s v="Royal Road, Brisée Verdière"/>
    <s v="Flacq"/>
    <s v="Brisée Verdiere"/>
    <n v="52583212"/>
    <s v="Nab-Makeup"/>
    <x v="19"/>
    <d v="2025-05-26T00:00:00"/>
    <n v="150"/>
    <d v="2025-06-01T00:00:00"/>
    <m/>
  </r>
  <r>
    <s v="Wardha Sandhoo"/>
    <s v="Nyon Street, Mahebourg"/>
    <s v="Grand Port"/>
    <s v="Mahebourg"/>
    <n v="58167198"/>
    <s v="Nab-Makeup"/>
    <x v="19"/>
    <d v="2025-05-26T00:00:00"/>
    <n v="150"/>
    <d v="2025-06-01T00:00:00"/>
    <m/>
  </r>
  <r>
    <s v="Anjali Soneechora"/>
    <s v="Balance Road, Caroline, Bel Air"/>
    <s v="Flacq"/>
    <s v="Bel Air"/>
    <n v="57139834"/>
    <s v="Nab-Makeup"/>
    <x v="19"/>
    <d v="2025-05-26T00:00:00"/>
    <n v="150"/>
    <d v="2025-06-01T00:00:00"/>
    <m/>
  </r>
  <r>
    <s v="Davisha Thandan"/>
    <s v="Avenue Soobiah, Réduit"/>
    <s v="Moka"/>
    <s v="Réduit"/>
    <n v="54931174"/>
    <s v="Nab-Makeup"/>
    <x v="19"/>
    <d v="2025-05-29T00:00:00"/>
    <n v="150"/>
    <d v="2025-06-01T00:00:00"/>
    <m/>
  </r>
  <r>
    <s v="Dilshad Badaloo"/>
    <s v="26A Captain Bruce Street, Rose Hill"/>
    <s v="Plaines Wilhems"/>
    <s v="Rose Hill"/>
    <n v="57010100"/>
    <s v="Nab-Makeup"/>
    <x v="19"/>
    <d v="2025-05-26T00:00:00"/>
    <n v="150"/>
    <d v="2025-06-01T00:00:00"/>
    <m/>
  </r>
  <r>
    <s v="Deelasha Putten"/>
    <s v="G5 Avenue Tamarinier, Stanley"/>
    <s v="Plaines Wilhems"/>
    <s v="Stanley"/>
    <n v="59759654"/>
    <s v="Nab-Makeup"/>
    <x v="19"/>
    <d v="2025-05-26T00:00:00"/>
    <n v="150"/>
    <d v="2025-06-01T00:00:00"/>
    <m/>
  </r>
  <r>
    <s v="Varoona Chamilall"/>
    <s v="Bank Road, Goodlands"/>
    <s v="Rivière du Rempart"/>
    <s v="Goodlands"/>
    <n v="54734133"/>
    <s v="Nab-Makeup"/>
    <x v="19"/>
    <d v="2025-05-26T00:00:00"/>
    <n v="150"/>
    <d v="2025-06-01T00:00:00"/>
    <m/>
  </r>
  <r>
    <s v="Zahrah Bolaky"/>
    <s v="St Pierre (Weekdays) / 15, Pierre Arthur Rayeroux, Camp Chapelon, Pailles (Weekends)"/>
    <s v="Moka / Port Louis"/>
    <s v="St Pierre"/>
    <n v="57643927"/>
    <s v="Nab-Makeup"/>
    <x v="19"/>
    <d v="2025-05-26T00:00:00"/>
    <n v="150"/>
    <d v="2025-06-01T00:00:00"/>
    <m/>
  </r>
  <r>
    <s v="Jean-Louis Elisabeth"/>
    <s v="Avenue de Vergues, Glen Park, Vacoas"/>
    <s v="Plaines Wilhems"/>
    <s v="Vacoas"/>
    <n v="58597176"/>
    <s v="Nab-Makeup"/>
    <x v="19"/>
    <d v="2025-05-29T00:00:00"/>
    <n v="150"/>
    <d v="2025-06-01T00:00:00"/>
    <m/>
  </r>
  <r>
    <s v="Bibi Sahanaze Rojeedawa"/>
    <s v="Royal Road, Medine, Camp De Masque"/>
    <s v="East"/>
    <s v="Medine Camp De Masque"/>
    <n v="58240240"/>
    <s v="Timeless Trends"/>
    <x v="18"/>
    <d v="2025-05-26T00:00:00"/>
    <n v="75"/>
    <d v="2025-06-01T00:00:00"/>
    <m/>
  </r>
  <r>
    <s v="Kamila Stesy Arekion"/>
    <s v="216, Avenue Ollier, Quatres Bornes"/>
    <s v="Plaines Wilhems"/>
    <s v="Quatre Bornes"/>
    <n v="58195974"/>
    <s v="Timeless Trends"/>
    <x v="18"/>
    <d v="2025-05-26T00:00:00"/>
    <n v="75"/>
    <d v="2025-06-01T00:00:00"/>
    <m/>
  </r>
  <r>
    <s v="Gabriella Batour"/>
    <s v="62,Firmin Street, Camp-Levieux, Rose-Hill"/>
    <s v="Plaines Wilhems"/>
    <s v="Rose Hill"/>
    <n v="54905493"/>
    <s v="Timeless Trends"/>
    <x v="18"/>
    <d v="2025-05-26T00:00:00"/>
    <n v="75"/>
    <d v="2025-06-01T00:00:00"/>
    <m/>
  </r>
  <r>
    <s v="Mrs Bekha Sookun"/>
    <s v="Tagore Road, Mon Gout, Pamplemousses"/>
    <s v="North-East"/>
    <s v="Pamplemousses"/>
    <n v="59452427"/>
    <s v="Timeless Trends"/>
    <x v="18"/>
    <d v="2025-05-26T00:00:00"/>
    <n v="75"/>
    <d v="2025-06-01T00:00:00"/>
    <m/>
  </r>
  <r>
    <s v="Linda Armandine "/>
    <s v="C4, AVENUE DIGNITÉ, RES. KENNEDY, QUATRE BORNES"/>
    <s v="Plaines Wilhems"/>
    <s v="Quatre Bornes"/>
    <n v="59053648"/>
    <s v="Timeless Trends"/>
    <x v="18"/>
    <d v="2025-05-29T00:00:00"/>
    <n v="75"/>
    <d v="2025-06-01T00:00:00"/>
    <m/>
  </r>
  <r>
    <s v="Subratty Zafiirah"/>
    <s v="Vallee Pitot, Port Louis"/>
    <s v="Port Louis"/>
    <s v="Port Louis"/>
    <n v="59818744"/>
    <s v="Glow And Aura"/>
    <x v="20"/>
    <d v="2025-05-29T00:00:00"/>
    <n v="75"/>
    <d v="2025-06-01T00:00:00"/>
    <s v="COD: 304"/>
  </r>
  <r>
    <s v="Pratima Devi Dookhit"/>
    <s v="Royal Rd Creve Coeur"/>
    <s v="Creve Coeur"/>
    <s v="Creve Coeur"/>
    <n v="57971865"/>
    <s v="OKASINA"/>
    <x v="20"/>
    <d v="2025-05-29T00:00:00"/>
    <n v="150"/>
    <d v="2025-06-01T00:00:00"/>
    <s v="COD: 1700"/>
  </r>
  <r>
    <s v="Reena Gooriah"/>
    <s v="Royal Rd, Goodlands"/>
    <s v="Goodlands"/>
    <s v="Goodlands"/>
    <n v="57756071"/>
    <s v="OKASINA"/>
    <x v="20"/>
    <d v="2025-05-29T00:00:00"/>
    <n v="150"/>
    <d v="2025-06-01T00:00:00"/>
    <m/>
  </r>
  <r>
    <s v="Prinita Ramlugun"/>
    <s v="World Knits, Vullemin"/>
    <s v="Vullemin"/>
    <s v="Vullemin"/>
    <n v="52551902"/>
    <s v="OKASINA"/>
    <x v="20"/>
    <d v="2025-05-29T00:00:00"/>
    <n v="150"/>
    <d v="2025-06-01T00:00:00"/>
    <s v="COD: 325O"/>
  </r>
  <r>
    <s v="Mrs Dowlat"/>
    <s v="Gmg Atchia, Champ Des Mars, Port Louis"/>
    <s v="Port Louis"/>
    <s v="Port Louis"/>
    <n v="54830680"/>
    <s v="OKASINA"/>
    <x v="20"/>
    <d v="2025-05-29T00:00:00"/>
    <n v="150"/>
    <d v="2025-06-01T00:00:00"/>
    <s v="COD: 2145"/>
  </r>
  <r>
    <s v="Ms. Shenaz Jaunmohamed"/>
    <s v="Rue Pope Henessy, Curepipe"/>
    <s v="Curepipe"/>
    <s v="Curepipe"/>
    <n v="58300874"/>
    <s v="OKASINA"/>
    <x v="20"/>
    <d v="2025-05-29T00:00:00"/>
    <n v="150"/>
    <d v="2025-06-01T00:00:00"/>
    <s v="COD: 1700"/>
  </r>
  <r>
    <s v="Mrs Dukhi"/>
    <s v="Royal Road, La Flora"/>
    <s v="South"/>
    <s v="La Flora"/>
    <n v="57823684"/>
    <s v="OKASINA"/>
    <x v="20"/>
    <d v="2025-05-29T00:00:00"/>
    <n v="150"/>
    <d v="2025-06-01T00:00:00"/>
    <s v="COD: 3975"/>
  </r>
  <r>
    <s v="Varsha Luchoo"/>
    <s v="Jaylall Lane, Avenue Berthaud, Quatre Bornes"/>
    <s v="Plaines Wilhems"/>
    <s v="Quatre Bornes"/>
    <n v="57852775"/>
    <s v="OKASINA"/>
    <x v="20"/>
    <d v="2025-05-29T00:00:00"/>
    <n v="150"/>
    <d v="2025-06-01T00:00:00"/>
    <m/>
  </r>
  <r>
    <s v="Raksha Ramma"/>
    <s v="Ramlagun Road, Baie Du Cap"/>
    <s v="Savanne"/>
    <s v="Baie Du Cap"/>
    <n v="58210959"/>
    <s v="Nab-Makeup"/>
    <x v="20"/>
    <d v="2025-05-31T00:00:00"/>
    <n v="150"/>
    <d v="2025-06-01T00:00:00"/>
    <m/>
  </r>
  <r>
    <s v="Havisha Adhin"/>
    <s v="Jackson Road, Vacoas"/>
    <s v="Plaines Wilhems"/>
    <s v="Vacoas"/>
    <n v="58060901"/>
    <s v="Nab-Makeup"/>
    <x v="20"/>
    <d v="2025-05-29T00:00:00"/>
    <n v="150"/>
    <d v="2025-06-01T00:00:00"/>
    <m/>
  </r>
  <r>
    <s v="Latouche Cheshta Jessica"/>
    <s v="Temple Road, Providence, Quartier Militaire"/>
    <s v="Moka"/>
    <s v="Quartier Militaire"/>
    <s v="58325352 / 57144639"/>
    <s v="Nab-Makeup"/>
    <x v="20"/>
    <d v="2025-05-29T00:00:00"/>
    <n v="150"/>
    <d v="2025-06-01T00:00:00"/>
    <m/>
  </r>
  <r>
    <s v="Rati Cawroo"/>
    <s v="Lot 127, Residence Les Jardins D'Anna, Flic En Flac"/>
    <s v="Black River"/>
    <s v="Flic En Flac"/>
    <n v="55029138"/>
    <s v="Nab-Makeup"/>
    <x v="20"/>
    <d v="2025-06-02T00:00:00"/>
    <n v="150"/>
    <d v="2025-08-01T00:00:00"/>
    <m/>
  </r>
  <r>
    <s v="Sajja Kawshar Moideen"/>
    <s v="Gulzare Madina Road, Belvedere, Lalmatie"/>
    <s v="Flacq"/>
    <s v="Lallmatie"/>
    <n v="57801348"/>
    <s v="Nab-Makeup"/>
    <x v="20"/>
    <d v="2025-05-29T00:00:00"/>
    <n v="150"/>
    <d v="2025-06-01T00:00:00"/>
    <m/>
  </r>
  <r>
    <s v="Manisha Seechurn"/>
    <s v="Dispensary Road, Petit Raffray"/>
    <s v="Rivière Du Rempart"/>
    <s v="Petit Raffray"/>
    <n v="58192191"/>
    <s v="Nab-Makeup"/>
    <x v="20"/>
    <d v="2025-05-29T00:00:00"/>
    <n v="150"/>
    <d v="2025-06-01T00:00:00"/>
    <m/>
  </r>
  <r>
    <s v="Priyanka Baulah"/>
    <s v="Mahatma Gandhi Road, Quatre Cocos"/>
    <s v="Flacq"/>
    <s v="Quatre Cocos"/>
    <s v="57018649 / 59212196"/>
    <s v="Nab-Makeup"/>
    <x v="20"/>
    <d v="2025-05-29T00:00:00"/>
    <n v="150"/>
    <d v="2025-06-01T00:00:00"/>
    <m/>
  </r>
  <r>
    <s v="Meeshita Teetaree"/>
    <s v="Charbon Lane, Montagne Blanche"/>
    <s v="Flacq"/>
    <s v="Montagne Blanche"/>
    <n v="57560789"/>
    <s v="Nab-Makeup"/>
    <x v="20"/>
    <d v="2025-05-29T00:00:00"/>
    <n v="150"/>
    <d v="2025-06-01T00:00:00"/>
    <m/>
  </r>
  <r>
    <s v="Waliyya Sundhoo"/>
    <s v="5 Dr Bour Street, Rose-Hill"/>
    <s v="Plaines Wilhems"/>
    <s v="Rose Hill"/>
    <n v="58002834"/>
    <s v="Nab-Makeup"/>
    <x v="20"/>
    <d v="2025-05-29T00:00:00"/>
    <n v="150"/>
    <d v="2025-06-01T00:00:00"/>
    <m/>
  </r>
  <r>
    <s v="Brenda Dursoniah"/>
    <s v="La Fleur Road, Pailles"/>
    <s v="Port Louis"/>
    <s v="Pailles"/>
    <n v="54832846"/>
    <s v="Nab-Makeup"/>
    <x v="20"/>
    <d v="2025-06-02T00:00:00"/>
    <n v="150"/>
    <d v="2025-08-01T00:00:00"/>
    <m/>
  </r>
  <r>
    <s v="Mohammad Shabil Lagan"/>
    <s v="Avenue Hibiscus Lane, Brisée Verdière"/>
    <s v="Flacq"/>
    <s v="Brisée Verdiere"/>
    <n v="58257885"/>
    <s v="Nab-Makeup"/>
    <x v="20"/>
    <d v="2025-05-29T00:00:00"/>
    <n v="150"/>
    <d v="2025-06-01T00:00:00"/>
    <m/>
  </r>
  <r>
    <s v="Gungaram Drishtee Sing"/>
    <s v="Mosque Road, Plaine Magnien"/>
    <s v="Grand Port"/>
    <s v="Plaine Magnien"/>
    <n v="58373568"/>
    <s v="Nab-Makeup"/>
    <x v="20"/>
    <d v="2025-05-29T00:00:00"/>
    <n v="150"/>
    <d v="2025-06-01T00:00:00"/>
    <m/>
  </r>
  <r>
    <s v="Faarheen Bibi Jaumeer"/>
    <s v="Church Road, Auckbarally Lane, Notre Dame"/>
    <s v="Pamplemousses"/>
    <s v="Notre Dame"/>
    <n v="58240985"/>
    <s v="Nab-Makeup"/>
    <x v="20"/>
    <d v="2025-05-29T00:00:00"/>
    <n v="150"/>
    <d v="2025-06-01T00:00:00"/>
    <m/>
  </r>
  <r>
    <s v="Ayesha Heetun Aumeerbocus"/>
    <s v="Schoenfeld Road, First Lane, Rivière Du Rempart"/>
    <s v="Rivière Du Rempart"/>
    <s v="Riviere Du Poste"/>
    <n v="58031553"/>
    <s v="Nab-Makeup"/>
    <x v="20"/>
    <d v="2025-05-29T00:00:00"/>
    <n v="150"/>
    <d v="2025-06-01T00:00:00"/>
    <m/>
  </r>
  <r>
    <s v="Zahrah Soobhan"/>
    <s v="Edith Cavell Street, Maison Coco, Edith Cavell Mall"/>
    <s v="Port Louis"/>
    <s v="Port Louis"/>
    <n v="52592727"/>
    <s v="Nab-Makeup"/>
    <x v="20"/>
    <d v="2025-05-29T00:00:00"/>
    <n v="150"/>
    <d v="2025-06-01T00:00:00"/>
    <m/>
  </r>
  <r>
    <s v="Veshika Devi Bhoodhoo"/>
    <s v="Bel Vedere Road, Brisée Verdière"/>
    <s v="Flacq"/>
    <s v="Brisée Verdiere"/>
    <n v="59456396"/>
    <s v="Nab-Makeup"/>
    <x v="20"/>
    <d v="2025-05-29T00:00:00"/>
    <n v="150"/>
    <d v="2025-06-01T00:00:00"/>
    <m/>
  </r>
  <r>
    <s v="Manshika Pultoo"/>
    <s v="Sooben Lane, L’Escalier"/>
    <s v="Grand Port"/>
    <s v="L'Escalier"/>
    <n v="57741698"/>
    <s v="Nab-Makeup"/>
    <x v="20"/>
    <d v="2025-05-29T00:00:00"/>
    <n v="150"/>
    <d v="2025-06-01T00:00:00"/>
    <m/>
  </r>
  <r>
    <s v="Jhumunn Imran"/>
    <s v="Royal Road, Montagne Blanche"/>
    <s v="Flacq"/>
    <s v="Montagne Blanche"/>
    <n v="57575292"/>
    <s v="Nab-Makeup"/>
    <x v="20"/>
    <d v="2025-06-02T00:00:00"/>
    <n v="150"/>
    <d v="2025-08-01T00:00:00"/>
    <m/>
  </r>
  <r>
    <s v="Neha Sohabul"/>
    <s v="Temple Road, Quartier Militaire"/>
    <s v="Moka"/>
    <s v="Quartier Militaire"/>
    <n v="57771164"/>
    <s v="Nab-Makeup"/>
    <x v="20"/>
    <d v="2025-05-29T00:00:00"/>
    <n v="150"/>
    <d v="2025-06-01T00:00:00"/>
    <m/>
  </r>
  <r>
    <s v="Mrs Nursing"/>
    <s v="La Marie Vacoas"/>
    <s v="Central"/>
    <s v="Vacoas"/>
    <n v="58100050"/>
    <s v="OKASINA"/>
    <x v="20"/>
    <d v="2025-05-29T00:00:00"/>
    <n v="150"/>
    <d v="2025-06-01T00:00:00"/>
    <s v="COD: 1245"/>
  </r>
  <r>
    <s v="Norah Jowaheer"/>
    <s v="16, Léoville L'Homme St, Rosehill"/>
    <s v="Plaines Wilhems"/>
    <s v="Rose Hill"/>
    <n v="54938560"/>
    <s v="OKASINA"/>
    <x v="20"/>
    <d v="2025-05-29T00:00:00"/>
    <n v="150"/>
    <d v="2025-06-01T00:00:00"/>
    <m/>
  </r>
  <r>
    <s v="Dr Poonam"/>
    <s v="Royal Road Lalmatie (In The Same Yard As Car Show Room Ki Motors)"/>
    <s v="Lalmatie"/>
    <s v="Lallmatie"/>
    <n v="58260475"/>
    <s v="OKASINA"/>
    <x v="20"/>
    <d v="2025-05-29T00:00:00"/>
    <n v="150"/>
    <d v="2025-06-01T00:00:00"/>
    <s v="COD: 6225"/>
  </r>
  <r>
    <s v="Janvi "/>
    <s v="St Georges Road Behind Hospital Jeetoo "/>
    <s v="Port Louis"/>
    <s v="Port Louis"/>
    <n v="55063920"/>
    <s v="Timeless Trends"/>
    <x v="21"/>
    <d v="2025-05-29T00:00:00"/>
    <n v="75"/>
    <d v="2025-06-01T00:00:00"/>
    <m/>
  </r>
  <r>
    <s v="Anne Sophie Isabel"/>
    <s v="School Lane Grand Bel Air Mahebourg"/>
    <s v="South East"/>
    <s v="Mahebourg"/>
    <n v="57144737"/>
    <s v="Timeless Trends"/>
    <x v="21"/>
    <d v="2025-06-02T00:00:00"/>
    <n v="150"/>
    <d v="2025-07-02T00:00:00"/>
    <m/>
  </r>
  <r>
    <s v="Ruwayda"/>
    <s v="Port Louis"/>
    <s v="Port Louis"/>
    <s v="Port Louis"/>
    <n v="57255363"/>
    <s v="Little Star Boutique"/>
    <x v="22"/>
    <d v="2025-06-02T00:00:00"/>
    <n v="75"/>
    <d v="2025-07-02T00:00:00"/>
    <s v="COD: 1075"/>
  </r>
  <r>
    <s v="Esmail Osman"/>
    <s v="Mahebourg"/>
    <s v="South East"/>
    <s v="Mahebourg"/>
    <n v="57456700"/>
    <s v="Little Star Boutique"/>
    <x v="22"/>
    <d v="2025-06-02T00:00:00"/>
    <n v="75"/>
    <d v="2025-07-02T00:00:00"/>
    <s v="COD: 1600"/>
  </r>
  <r>
    <s v="Vanisha"/>
    <s v="Plaines Des Papayes"/>
    <s v="North"/>
    <s v="Plaines des Papayes"/>
    <n v="58084430"/>
    <s v="Little Star Boutique"/>
    <x v="22"/>
    <d v="2025-06-02T00:00:00"/>
    <n v="75"/>
    <d v="2025-07-02T00:00:00"/>
    <m/>
  </r>
  <r>
    <s v="Vada Reetoo"/>
    <s v="Royal Road (Nr Chez Manuel Restaurant), St Julien Village"/>
    <s v="North"/>
    <s v="St Julien Village"/>
    <n v="57694424"/>
    <s v="OKASINA"/>
    <x v="23"/>
    <d v="2025-06-05T00:00:00"/>
    <n v="150"/>
    <d v="2025-07-02T00:00:00"/>
    <s v="COD: 3500"/>
  </r>
  <r>
    <s v="Saima Abdool"/>
    <s v="Avenue Dodo 2, les Guibies Pailles, Port Louis District"/>
    <s v="Port Louis"/>
    <s v="Pailles"/>
    <n v="58384663"/>
    <s v="OKASINA"/>
    <x v="23"/>
    <d v="2025-06-02T00:00:00"/>
    <n v="150"/>
    <d v="2025-07-02T00:00:00"/>
    <m/>
  </r>
  <r>
    <s v="Sabeehah Jowaheer"/>
    <s v="252 royal road, Vallees Des Pretes"/>
    <s v="Port louis"/>
    <s v="Port Louis"/>
    <n v="57059733"/>
    <s v="OKASINA"/>
    <x v="23"/>
    <d v="2025-06-02T00:00:00"/>
    <n v="150"/>
    <d v="2025-07-02T00:00:00"/>
    <m/>
  </r>
  <r>
    <s v="Pooja Rampersad"/>
    <s v="Royal Road L'Aventure near Social Welfare Centre"/>
    <s v="L'Aventure"/>
    <s v="L'Aventure"/>
    <n v="59119682"/>
    <s v="OKASINA"/>
    <x v="23"/>
    <d v="2025-06-02T00:00:00"/>
    <n v="150"/>
    <d v="2025-07-02T00:00:00"/>
    <s v="COD: 1500"/>
  </r>
  <r>
    <s v="Varuna Ramburrun"/>
    <s v="Royal Road, St Julien D'Hotman"/>
    <s v="East"/>
    <s v="St Julien D'Hotman"/>
    <n v="52526373"/>
    <s v="OKASINA"/>
    <x v="23"/>
    <d v="2025-06-05T00:00:00"/>
    <n v="150"/>
    <d v="2025-07-02T00:00:00"/>
    <s v="COD: 6100"/>
  </r>
  <r>
    <s v="Hadiyyah Lallmahomed"/>
    <s v="41 Dr Hassen Sakir, Port Louis (near Magasin Populaire)"/>
    <s v="Port Louis"/>
    <s v="Port Louis"/>
    <n v="57618728"/>
    <s v="Nab-Makeup"/>
    <x v="23"/>
    <d v="2025-06-02T00:00:00"/>
    <n v="150"/>
    <d v="2025-07-02T00:00:00"/>
    <m/>
  </r>
  <r>
    <s v="Beebee Husna Banu Jumun"/>
    <s v="Hermitage, Phoenix"/>
    <s v="Plaines Wilhems"/>
    <s v="Phoenix"/>
    <n v="57544290"/>
    <s v="Nab-Makeup"/>
    <x v="23"/>
    <d v="2025-06-02T00:00:00"/>
    <n v="150"/>
    <d v="2025-07-02T00:00:00"/>
    <m/>
  </r>
  <r>
    <s v="Prakash Goomany"/>
    <s v="Cremation Street, Riviere Du Poste"/>
    <s v="Savanne"/>
    <s v="Riviere Du Poste"/>
    <n v="58211997"/>
    <s v="Nab-Makeup"/>
    <x v="23"/>
    <d v="2025-06-02T00:00:00"/>
    <n v="150"/>
    <d v="2025-07-02T00:00:00"/>
    <m/>
  </r>
  <r>
    <s v="Adilah Bheekhun"/>
    <s v="Roshni Lane, Glen Park, Vacoas"/>
    <s v="Plaines Wilhems"/>
    <s v="Vacoas"/>
    <n v="57805076"/>
    <s v="Nab-Makeup"/>
    <x v="23"/>
    <d v="2025-06-02T00:00:00"/>
    <n v="150"/>
    <d v="2025-07-02T00:00:00"/>
    <m/>
  </r>
  <r>
    <s v="Hayfa Sundhoo"/>
    <s v="218 Pagoda Street, Stanley, Rose Hill"/>
    <s v="Plaines Wilhems"/>
    <s v="Rose Hill"/>
    <n v="58098404"/>
    <s v="Nab-Makeup"/>
    <x v="23"/>
    <d v="2025-06-02T00:00:00"/>
    <n v="150"/>
    <d v="2025-07-02T00:00:00"/>
    <m/>
  </r>
  <r>
    <s v="Shabneez Tuhaloo"/>
    <s v="Parisot Road, Galea 2 Mesnil, Phoenix"/>
    <s v="Plaines Wilhems"/>
    <s v="Phoenix"/>
    <n v="58007660"/>
    <s v="Nab-Makeup"/>
    <x v="23"/>
    <d v="2025-06-02T00:00:00"/>
    <n v="150"/>
    <d v="2025-07-02T00:00:00"/>
    <m/>
  </r>
  <r>
    <s v="Lovena Veerapin"/>
    <s v="Boulet Rouge, Centre de Flacq, Shivala Road, Riche Mare"/>
    <s v="Flacq"/>
    <s v="Central Flacq"/>
    <n v="58196379"/>
    <s v="Nab-Makeup"/>
    <x v="23"/>
    <d v="2025-06-02T00:00:00"/>
    <n v="150"/>
    <d v="2025-07-02T00:00:00"/>
    <m/>
  </r>
  <r>
    <s v="Meeshita Teetaree"/>
    <s v="Charbon Lane, Montagne Blanche"/>
    <s v="Flacq"/>
    <s v="Montagne Blanche"/>
    <n v="57560789"/>
    <s v="Nab-Makeup"/>
    <x v="23"/>
    <d v="2025-06-02T00:00:00"/>
    <n v="150"/>
    <d v="2025-07-02T00:00:00"/>
    <m/>
  </r>
  <r>
    <s v="Zaynab Gueas"/>
    <s v="Trois Bras, Surinam"/>
    <s v="Savanne"/>
    <s v="Surinam"/>
    <n v="57875377"/>
    <s v="Nab-Makeup"/>
    <x v="23"/>
    <d v="2025-06-02T00:00:00"/>
    <n v="150"/>
    <d v="2025-07-02T00:00:00"/>
    <m/>
  </r>
  <r>
    <s v="Naziba Elaheebocus"/>
    <s v="Royal Road, Goodlands"/>
    <s v="Rivière du Rempart"/>
    <s v="Goodlands"/>
    <n v="57633463"/>
    <s v="Nab-Makeup"/>
    <x v="23"/>
    <d v="2025-06-02T00:00:00"/>
    <n v="150"/>
    <d v="2025-07-02T00:00:00"/>
    <m/>
  </r>
  <r>
    <s v="Mr Ahmad Dowlut"/>
    <s v="Mauritius Housing Company, next to Air Mauritius Building, Port Louis"/>
    <s v="Port Louis"/>
    <s v="Port Louis"/>
    <n v="58251317"/>
    <s v="Nab-Makeup"/>
    <x v="23"/>
    <d v="2025-06-02T00:00:00"/>
    <n v="150"/>
    <d v="2025-07-02T00:00:00"/>
    <m/>
  </r>
  <r>
    <s v="Inaara Badoorally"/>
    <s v="Chundunsing Lane, Morcellement St. André"/>
    <s v="Pamplemousses"/>
    <s v="St. André"/>
    <n v="59052621"/>
    <s v="Nab-Makeup"/>
    <x v="23"/>
    <d v="2025-06-02T00:00:00"/>
    <n v="150"/>
    <d v="2025-07-02T00:00:00"/>
    <m/>
  </r>
  <r>
    <s v="Aparna Ramgoolam"/>
    <s v="Avenue Des Colombes, Medine, Camp De Masque"/>
    <s v="Flacq"/>
    <s v="Camp De Masque"/>
    <n v="57726954"/>
    <s v="Nab-Makeup"/>
    <x v="23"/>
    <d v="2025-06-02T00:00:00"/>
    <n v="150"/>
    <d v="2025-07-02T00:00:00"/>
    <m/>
  </r>
  <r>
    <s v="Sandrina Ramessur"/>
    <s v="Avenue Cardineaux, Seaview Terrace, Flic en Flac"/>
    <s v="Black River"/>
    <s v="Flic En Flac"/>
    <n v="58200662"/>
    <s v="Nab-Makeup"/>
    <x v="23"/>
    <d v="2025-06-02T00:00:00"/>
    <n v="150"/>
    <d v="2025-07-02T00:00:00"/>
    <m/>
  </r>
  <r>
    <s v="Bibi Naseerah Ibrahim"/>
    <s v="Lolo Hyper, Consigne"/>
    <s v="Grand Port"/>
    <s v="Consigne"/>
    <s v="57072226 / 57583196"/>
    <s v="Nab-Makeup"/>
    <x v="23"/>
    <d v="2025-06-02T00:00:00"/>
    <n v="150"/>
    <d v="2025-07-02T00:00:00"/>
    <m/>
  </r>
  <r>
    <s v="Roukayya Bibi Abdool Cader"/>
    <s v="22 Avenue Caramboles, Vallée des Prêtres"/>
    <s v="Port Louis"/>
    <s v="Vallée des Prêtres"/>
    <n v="59043019"/>
    <s v="Nab-Makeup"/>
    <x v="23"/>
    <d v="2025-06-02T00:00:00"/>
    <n v="150"/>
    <d v="2025-07-02T00:00:00"/>
    <m/>
  </r>
  <r>
    <s v="Avinash Cheenatur"/>
    <s v="Royal Road, Nouvelle France"/>
    <s v="Grand Port"/>
    <s v="Nouvelle France"/>
    <n v="52593875"/>
    <s v="Nab-Makeup"/>
    <x v="23"/>
    <d v="2025-06-02T00:00:00"/>
    <n v="150"/>
    <d v="2025-07-02T00:00:00"/>
    <m/>
  </r>
  <r>
    <s v="Nathalie Ramsaran"/>
    <s v="Royal Road, Grand Pointe aux Piments"/>
    <s v="Pamplemousses"/>
    <s v="Pointe Aux Piments"/>
    <n v="58101472"/>
    <s v="Nab-Makeup"/>
    <x v="23"/>
    <d v="2025-06-02T00:00:00"/>
    <n v="150"/>
    <d v="2025-07-02T00:00:00"/>
    <m/>
  </r>
  <r>
    <s v="Sharfaa Bahadoor"/>
    <s v="Jeetoo Hospital, Port Louis"/>
    <s v="Port Louis"/>
    <s v="Port Louis"/>
    <n v="52778745"/>
    <s v="Nab-Makeup"/>
    <x v="23"/>
    <d v="2025-06-02T00:00:00"/>
    <n v="150"/>
    <d v="2025-07-02T00:00:00"/>
    <m/>
  </r>
  <r>
    <s v="Amarah Cooper"/>
    <s v="Bois Cheri Road"/>
    <s v="Moka"/>
    <s v="Moka"/>
    <n v="55069135"/>
    <s v="Nab-Makeup"/>
    <x v="23"/>
    <d v="2025-06-02T00:00:00"/>
    <n v="150"/>
    <d v="2025-07-02T00:00:00"/>
    <m/>
  </r>
  <r>
    <s v="Aisha Nootaybah Ausrafally"/>
    <s v="Vivea Business Park"/>
    <s v="Moka"/>
    <s v="St Pierre"/>
    <n v="57867050"/>
    <s v="Nab-Makeup"/>
    <x v="23"/>
    <d v="2025-06-02T00:00:00"/>
    <n v="150"/>
    <d v="2025-07-02T00:00:00"/>
    <m/>
  </r>
  <r>
    <s v="Gunesha Seewoopaul Jagroop"/>
    <s v="C/O Pravind Jagroop, Ramputh Lane, Saint Pierre"/>
    <s v="Moka"/>
    <s v="St Pierre"/>
    <n v="52588427"/>
    <s v="Nab-Makeup"/>
    <x v="23"/>
    <d v="2025-06-02T00:00:00"/>
    <n v="150"/>
    <d v="2025-07-02T00:00:00"/>
    <m/>
  </r>
  <r>
    <s v="Shannon Payen"/>
    <s v="Morcellement Siren View, Pointe aux Piments"/>
    <s v="Pamplemousses"/>
    <s v="Pointe Aux Piments"/>
    <n v="58394232"/>
    <s v="Nab-Makeup"/>
    <x v="23"/>
    <d v="2025-06-02T00:00:00"/>
    <n v="150"/>
    <d v="2025-07-02T00:00:00"/>
    <m/>
  </r>
  <r>
    <s v="Zafeerah"/>
    <s v="MRA building, Port Louis"/>
    <s v="Port Louis"/>
    <s v="Port Louis"/>
    <n v="58038537"/>
    <s v="Little Star Boutique"/>
    <x v="22"/>
    <d v="2025-06-02T00:00:00"/>
    <n v="75"/>
    <d v="2025-07-02T00:00:00"/>
    <s v="COD: 700"/>
  </r>
  <r>
    <s v="Saroja Samigoundan"/>
    <s v="14 Eagle Street, Morcellement  La Confiance, Beau Bassin"/>
    <s v="Plaines Wilhems"/>
    <s v="Beau Bassin"/>
    <n v="59450164"/>
    <s v="OKASINA"/>
    <x v="23"/>
    <d v="2025-06-02T00:00:00"/>
    <n v="150"/>
    <d v="2025-07-02T00:00:00"/>
    <s v="COD: 1145"/>
  </r>
  <r>
    <s v="Zohra Fateemah"/>
    <s v="BEFORE 4  PATS RD PALINE MAGNIEN  AFTER 4....CHEMIN BOIS D'OISEAU PLAINE MAGNIEN"/>
    <s v="Plaine Magnien"/>
    <s v="Plaine Magnien"/>
    <n v="59106944"/>
    <s v="OKASINA"/>
    <x v="23"/>
    <d v="2025-06-02T00:00:00"/>
    <n v="150"/>
    <d v="2025-07-02T00:00:00"/>
    <s v="COD: 2100"/>
  </r>
  <r>
    <s v="Lynda Ishak"/>
    <s v="BAGATELLE 10 - 11.. AFTER THAT  JEETOO PORT LOUIS    "/>
    <s v="Bagatelle"/>
    <s v="Bagatelle"/>
    <n v="52583317"/>
    <s v="OKASINA"/>
    <x v="23"/>
    <d v="2025-06-05T00:00:00"/>
    <n v="150"/>
    <d v="2025-07-02T00:00:00"/>
    <s v="COD: 1500"/>
  </r>
  <r>
    <s v="Madhvi Mungra"/>
    <s v="La Rue Lees, Curepipe"/>
    <s v="Plaines Wilhems"/>
    <s v="Curepipe"/>
    <n v="55039098"/>
    <s v="OKASINA"/>
    <x v="23"/>
    <d v="2025-06-02T00:00:00"/>
    <n v="150"/>
    <d v="2025-07-02T00:00:00"/>
    <s v="COD: 1700"/>
  </r>
  <r>
    <s v="Asha Roopah"/>
    <s v="Flic en Flac"/>
    <s v="Black River"/>
    <s v="Flic En Flac"/>
    <n v="59484572"/>
    <s v="OKASINA"/>
    <x v="23"/>
    <d v="2025-06-02T00:00:00"/>
    <n v="150"/>
    <d v="2025-07-02T00:00:00"/>
    <s v="COD: 2000"/>
  </r>
  <r>
    <s v="Poonam Jhary"/>
    <s v="Kalimaye Rd, Melle Jeanne, Goodlands"/>
    <s v="Goodlands"/>
    <s v="Goodlands"/>
    <n v="57470178"/>
    <s v="OKASINA"/>
    <x v="24"/>
    <d v="2025-06-05T00:00:00"/>
    <n v="150"/>
    <d v="2025-07-02T00:00:00"/>
    <s v="COD: 2000"/>
  </r>
  <r>
    <s v="Mitrani Ramnial Ramoutar"/>
    <s v="Kalimaye Road, Isidore Rose, Flacq"/>
    <s v="Flacq"/>
    <s v="Flacq"/>
    <n v="59278137"/>
    <s v="OKASINA"/>
    <x v="24"/>
    <d v="2025-06-05T00:00:00"/>
    <n v="150"/>
    <d v="2025-07-02T00:00:00"/>
    <s v="COD: 4275"/>
  </r>
  <r>
    <s v="Shalini Ramburn"/>
    <s v="Victoria House, Port Louis"/>
    <s v="Port Louis"/>
    <s v="Port Louis"/>
    <n v="57779044"/>
    <s v="OKASINA"/>
    <x v="24"/>
    <d v="2025-06-05T00:00:00"/>
    <n v="150"/>
    <d v="2025-07-02T00:00:00"/>
    <s v="COD: 1247.50"/>
  </r>
  <r>
    <s v="Kim Khoodoruth"/>
    <s v="Canda Lane, Boundary Lane, Rose Hill"/>
    <s v="Rose Hill"/>
    <s v="Rose Hill"/>
    <n v="52547810"/>
    <s v="OKASINA"/>
    <x v="24"/>
    <d v="2025-06-05T00:00:00"/>
    <n v="150"/>
    <d v="2025-07-02T00:00:00"/>
    <s v="COD: 1800"/>
  </r>
  <r>
    <s v="Janisha Ghurhoo"/>
    <s v="Tancrel Road, Montagne Blanche"/>
    <s v="Flacq"/>
    <s v="Montagne Blanche"/>
    <n v="58001530"/>
    <s v="Nab-Makeup"/>
    <x v="24"/>
    <d v="2025-06-05T00:00:00"/>
    <n v="150"/>
    <d v="2025-07-02T00:00:00"/>
    <m/>
  </r>
  <r>
    <s v="Shéléna Sauhoboa"/>
    <s v="Résidence CIM No. 24, Rivière du Rempart"/>
    <s v="Rivière du Rempart"/>
    <s v="Riviere Du Poste"/>
    <n v="58083400"/>
    <s v="Nab-Makeup"/>
    <x v="24"/>
    <d v="2025-06-05T00:00:00"/>
    <n v="150"/>
    <d v="2025-07-02T00:00:00"/>
    <m/>
  </r>
  <r>
    <s v="Mushiirah Emambocus"/>
    <s v="Nexsky Building, Ebene"/>
    <s v="Plaines Wilhems"/>
    <s v="Ebene"/>
    <n v="58444248"/>
    <s v="Nab-Makeup"/>
    <x v="24"/>
    <d v="2025-06-05T00:00:00"/>
    <n v="150"/>
    <d v="2025-07-02T00:00:00"/>
    <m/>
  </r>
  <r>
    <s v="Codabaccus Wazeefah"/>
    <s v="Camp le Juge, Forest Side"/>
    <s v="Plaines Wilhems"/>
    <s v="Forest Side"/>
    <n v="58147798"/>
    <s v="Nab-Makeup"/>
    <x v="24"/>
    <d v="2025-06-05T00:00:00"/>
    <n v="150"/>
    <d v="2025-07-02T00:00:00"/>
    <m/>
  </r>
  <r>
    <s v="Darsinee Aubeeluck"/>
    <s v="Filao Road, Roche Noires"/>
    <s v="Rivière du Rempart"/>
    <s v="Roches Noires"/>
    <n v="58114207"/>
    <s v="Nab-Makeup"/>
    <x v="24"/>
    <d v="2025-06-05T00:00:00"/>
    <n v="150"/>
    <d v="2025-07-02T00:00:00"/>
    <m/>
  </r>
  <r>
    <s v="Vandana Veerasoo"/>
    <s v="Camp le Juge, Curepipe"/>
    <s v="Plaines Wilhems"/>
    <s v="Curepipe"/>
    <n v="59064475"/>
    <s v="Nab-Makeup"/>
    <x v="24"/>
    <d v="2025-06-05T00:00:00"/>
    <n v="150"/>
    <d v="2025-07-02T00:00:00"/>
    <m/>
  </r>
  <r>
    <s v="Aisha Nootaybah Ausrafally"/>
    <s v="Royal Road, Bel Air Rivière Sèche"/>
    <s v="Flacq"/>
    <s v="Bel Air"/>
    <n v="57867050"/>
    <s v="Nab-Makeup"/>
    <x v="24"/>
    <d v="2025-06-05T00:00:00"/>
    <n v="150"/>
    <d v="2025-07-02T00:00:00"/>
    <m/>
  </r>
  <r>
    <s v="Anaïs Monchy"/>
    <s v="Lot 2, Bois Chandelle, Mont Choisy"/>
    <s v="Pamplemousses"/>
    <s v="Mont Choisy"/>
    <n v="59711158"/>
    <s v="Nab-Makeup"/>
    <x v="24"/>
    <d v="2025-06-05T00:00:00"/>
    <n v="150"/>
    <d v="2025-07-02T00:00:00"/>
    <m/>
  </r>
  <r>
    <s v="Girish Seebaluck"/>
    <s v="40, Sewsagur Road, Grand Bois"/>
    <s v="Savanne"/>
    <s v="Grand Bois"/>
    <n v="57650574"/>
    <s v="Nab-Makeup"/>
    <x v="24"/>
    <d v="2025-06-05T00:00:00"/>
    <n v="150"/>
    <d v="2025-07-02T00:00:00"/>
    <m/>
  </r>
  <r>
    <s v="Pooja Ramcharitar"/>
    <s v="Evaco Group, Rivière Citron, Arsenal"/>
    <s v="Pamplemousses"/>
    <s v="Arsenal"/>
    <n v="59864950"/>
    <s v="Nab-Makeup"/>
    <x v="24"/>
    <d v="2025-06-05T00:00:00"/>
    <n v="150"/>
    <d v="2025-07-02T00:00:00"/>
    <m/>
  </r>
  <r>
    <s v="Yashvi Kanhye"/>
    <s v="Melle Jeanne, Goodlands"/>
    <s v="Rivière du Rempart"/>
    <s v="Goodlands"/>
    <n v="57967823"/>
    <s v="Nab-Makeup"/>
    <x v="24"/>
    <d v="2025-06-05T00:00:00"/>
    <n v="150"/>
    <d v="2025-07-02T00:00:00"/>
    <m/>
  </r>
  <r>
    <s v="Aisha Khodabux"/>
    <s v="Apalise 4 Lane, Quinze Cantons, Vacoas"/>
    <s v="Plaines Wilhems"/>
    <s v="Vacoas"/>
    <n v="59742122"/>
    <s v="Nab-Makeup"/>
    <x v="24"/>
    <d v="2025-06-05T00:00:00"/>
    <n v="150"/>
    <d v="2025-07-02T00:00:00"/>
    <m/>
  </r>
  <r>
    <s v="Sailesh Roseeawon"/>
    <s v="Bois Cheri Road, Petit Verger, St Pierre"/>
    <s v="Moka"/>
    <s v="St Pierre"/>
    <n v="57630153"/>
    <s v="Nab-Makeup"/>
    <x v="24"/>
    <d v="2025-06-05T00:00:00"/>
    <n v="150"/>
    <d v="2025-07-02T00:00:00"/>
    <m/>
  </r>
  <r>
    <s v="Devya Dookhit/Veena Dookhit"/>
    <s v="Des Creoles Street, Mahebourg (La Maison) / H. Rault Co. Ltd, Rue Fabien VilleNoire, Mahebourg (Workplace)"/>
    <s v="Grand Port"/>
    <s v="Mahebourg"/>
    <n v="59875123"/>
    <s v="Nab-Makeup"/>
    <x v="24"/>
    <d v="2025-06-05T00:00:00"/>
    <n v="150"/>
    <d v="2025-07-02T00:00:00"/>
    <m/>
  </r>
  <r>
    <s v="Geetisha Sandhoo"/>
    <s v="Royal Road, Petit Raffray"/>
    <s v="Rivière du Rempart"/>
    <s v="Petit Raffray"/>
    <n v="57722084"/>
    <s v="Nab-Makeup"/>
    <x v="24"/>
    <d v="2025-06-05T00:00:00"/>
    <n v="150"/>
    <d v="2025-07-02T00:00:00"/>
    <m/>
  </r>
  <r>
    <s v="Amnah Soyfoo"/>
    <s v="Buldee Lane, Petit Paquet, Montagne Blanche"/>
    <s v="Flacq"/>
    <s v="Montagne Blanche"/>
    <n v="59264237"/>
    <s v="Nab-Makeup"/>
    <x v="24"/>
    <d v="2025-06-05T00:00:00"/>
    <n v="150"/>
    <d v="2025-07-02T00:00:00"/>
    <m/>
  </r>
  <r>
    <s v="Sweetlana Armoogum"/>
    <s v="8, Robertson Street, Beau Bassin"/>
    <s v="Plaines Wilhems"/>
    <s v="Beau Bassin"/>
    <n v="57045916"/>
    <s v="Nab-Makeup"/>
    <x v="24"/>
    <d v="2025-06-05T00:00:00"/>
    <n v="150"/>
    <d v="2025-07-02T00:00:00"/>
    <m/>
  </r>
  <r>
    <s v="Farahnaaz Modoolla"/>
    <s v="Cocotier 2, Parisot, Mesnil"/>
    <s v="Plaines Wilhems"/>
    <s v="Mesnil"/>
    <n v="57809971"/>
    <s v="OKASINA"/>
    <x v="24"/>
    <d v="2025-06-05T00:00:00"/>
    <n v="150"/>
    <d v="2025-07-02T00:00:00"/>
    <m/>
  </r>
  <r>
    <s v="Usha"/>
    <s v="Quartiere Militaire"/>
    <s v="Quartiere Militaire"/>
    <s v="Quartier Militaire"/>
    <n v="57375387"/>
    <s v="Glow And Aura"/>
    <x v="25"/>
    <d v="2025-06-05T00:00:00"/>
    <n v="75"/>
    <d v="2025-07-02T00:00:00"/>
    <m/>
  </r>
  <r>
    <s v="Sanjana Abba"/>
    <s v="Royal Road Melrose"/>
    <s v="Royal Road Melrose"/>
    <s v="Melrose"/>
    <n v="57361695"/>
    <s v="Glow And Aura"/>
    <x v="25"/>
    <d v="2025-06-05T00:00:00"/>
    <n v="75"/>
    <d v="2025-07-02T00:00:00"/>
    <m/>
  </r>
  <r>
    <s v="Ojaswini"/>
    <s v="Ebene"/>
    <s v="Ebene"/>
    <s v="Ebene"/>
    <n v="58535586"/>
    <s v="Glow And Aura"/>
    <x v="25"/>
    <d v="2025-06-05T00:00:00"/>
    <n v="75"/>
    <d v="2025-07-02T00:00:00"/>
    <s v="COD: 100"/>
  </r>
  <r>
    <s v="Yasmin Mamode"/>
    <s v="Couven De Lorette"/>
    <s v="Couven De Lorette"/>
    <s v="Curepipe"/>
    <n v="58169174"/>
    <s v="Glow And Aura"/>
    <x v="25"/>
    <d v="2025-06-05T00:00:00"/>
    <n v="75"/>
    <d v="2025-07-02T00:00:00"/>
    <m/>
  </r>
  <r>
    <s v="Islam Yusrah"/>
    <s v="15 Cantons, Vacoas"/>
    <s v="Plaines Wilhems"/>
    <s v="Vacoas"/>
    <n v="57635836"/>
    <s v="Little Star Boutique"/>
    <x v="25"/>
    <d v="2025-06-05T00:00:00"/>
    <n v="75"/>
    <d v="2025-07-02T00:00:00"/>
    <s v="COD: 2080"/>
  </r>
  <r>
    <s v="Girish Bekaroo"/>
    <s v="Ramnarain Road, Cottage"/>
    <s v="Cottage"/>
    <s v="Cottage"/>
    <n v="57717744"/>
    <s v="May's Shop"/>
    <x v="25"/>
    <d v="2025-06-05T00:00:00"/>
    <n v="150"/>
    <d v="2025-07-02T00:00:00"/>
    <m/>
  </r>
  <r>
    <s v="Cooppoosamy Botharrygadoo Tavina"/>
    <s v="Gandhi road, Lallmatie"/>
    <s v="Lallmatie"/>
    <s v="Lallmatie"/>
    <n v="57591340"/>
    <s v="Little Star Boutique"/>
    <x v="25"/>
    <d v="2025-06-05T00:00:00"/>
    <n v="75"/>
    <d v="2025-07-02T00:00:00"/>
    <s v="COD: 600"/>
  </r>
  <r>
    <s v="Aashna Mulliah"/>
    <s v="Petit Paquet Road, Montagne Blanche"/>
    <s v="Montagne Blanche"/>
    <s v="Montagne Blanche"/>
    <n v="58247066"/>
    <s v="Little Star Boutique"/>
    <x v="25"/>
    <d v="2025-06-05T00:00:00"/>
    <n v="75"/>
    <d v="2025-07-02T00:00:00"/>
    <s v="COD: 1100"/>
  </r>
  <r>
    <s v="Anne Sophie Isabel"/>
    <s v="School Lane, Grand Bel Air"/>
    <s v="Grand Port"/>
    <s v="Mahebourg"/>
    <n v="57144737"/>
    <s v="Timeless Trends"/>
    <x v="25"/>
    <d v="2025-06-05T00:00:00"/>
    <n v="150"/>
    <d v="2025-07-02T00:00:00"/>
    <m/>
  </r>
  <r>
    <s v="Yuktee Gopaul"/>
    <s v="7 Bernardin de St Pierre Avenue, Quatre Bornes 72350"/>
    <s v="Plaines Wilhems"/>
    <s v="Quatre Bornes"/>
    <n v="58326513"/>
    <s v="Nab-Makeup"/>
    <x v="24"/>
    <d v="2025-06-05T00:00:00"/>
    <n v="150"/>
    <d v="2025-07-02T00:00:00"/>
    <m/>
  </r>
  <r>
    <s v="Zaahirah Dinally"/>
    <s v="Mosque Road, Belvedere, Lallmatie"/>
    <s v="Flacq"/>
    <s v="Lallmatie"/>
    <n v="57023220"/>
    <s v="Nab-Makeup"/>
    <x v="24"/>
    <d v="2025-06-05T00:00:00"/>
    <n v="150"/>
    <d v="2025-07-02T00:00:00"/>
    <m/>
  </r>
  <r>
    <s v="Shikha Padaruth"/>
    <s v="Palladi Lane, Valetta"/>
    <s v="Moka"/>
    <s v="Valetta"/>
    <n v="59293243"/>
    <s v="Nab-Makeup"/>
    <x v="24"/>
    <d v="2025-06-05T00:00:00"/>
    <n v="150"/>
    <d v="2025-07-02T00:00:00"/>
    <m/>
  </r>
  <r>
    <s v="Domun Umme Haanee"/>
    <s v="Petit Chemin, Bel Air Rivière Sèche"/>
    <s v="Flacq"/>
    <s v="Bel Air"/>
    <n v="58094787"/>
    <s v="Nab-Makeup"/>
    <x v="24"/>
    <d v="2025-06-05T00:00:00"/>
    <n v="150"/>
    <d v="2025-07-02T00:00:00"/>
    <m/>
  </r>
  <r>
    <s v="Preety Dookhy"/>
    <s v="Associated Textiles, St Pierre"/>
    <s v="Moka"/>
    <s v="St Pierre"/>
    <n v="59135164"/>
    <s v="Nab-Makeup"/>
    <x v="24"/>
    <d v="2025-06-05T00:00:00"/>
    <n v="150"/>
    <d v="2025-07-02T00:00:00"/>
    <m/>
  </r>
  <r>
    <s v="Musheerah Ammeer"/>
    <s v="Hermitage Road, Camp Fouquereaux, Phoenix"/>
    <s v="Plaines Wilhems"/>
    <s v="Phoenix"/>
    <n v="58178429"/>
    <s v="Nab-Makeup"/>
    <x v="24"/>
    <d v="2025-06-05T00:00:00"/>
    <n v="150"/>
    <d v="2025-07-02T00:00:00"/>
    <m/>
  </r>
  <r>
    <s v="Umme Sadiyah Nauthoo"/>
    <s v="Belvedere Road, Brisée Verdière"/>
    <s v="Flacq"/>
    <s v="Brisée Verdiere"/>
    <n v="58823129"/>
    <s v="Nab-Makeup"/>
    <x v="24"/>
    <d v="2025-06-05T00:00:00"/>
    <n v="150"/>
    <d v="2025-07-02T00:00:00"/>
    <m/>
  </r>
  <r>
    <s v="Nazia Sunsary"/>
    <s v="Sainte Ursule, Central Flacq"/>
    <s v="Flacq"/>
    <s v="Central Flacq"/>
    <n v="57901986"/>
    <s v="Nab-Makeup"/>
    <x v="24"/>
    <d v="2025-06-05T00:00:00"/>
    <n v="150"/>
    <d v="2025-07-02T00:00:00"/>
    <m/>
  </r>
  <r>
    <s v="Shikha Sham"/>
    <s v="Royal Road, Valton, Long Mountain"/>
    <s v="Pamplemousses"/>
    <s v="Long Mountain"/>
    <n v="58014817"/>
    <s v="Nab-Makeup"/>
    <x v="24"/>
    <d v="2025-06-05T00:00:00"/>
    <n v="150"/>
    <d v="2025-07-02T00:00:00"/>
    <m/>
  </r>
  <r>
    <s v="Kavya Chendradoo"/>
    <s v="Subash Chandra Bose Street, Rivière du Rempart"/>
    <s v="Rivière du Rempart"/>
    <s v="Riviere Du Poste"/>
    <n v="58146306"/>
    <s v="Nab-Makeup"/>
    <x v="24"/>
    <d v="2025-06-05T00:00:00"/>
    <n v="150"/>
    <d v="2025-07-02T00:00:00"/>
    <m/>
  </r>
  <r>
    <s v="Shika Nagapin"/>
    <s v="Mahatma Gandhi Road, Ilot d'Epiney"/>
    <s v="Pamplemousses"/>
    <s v="Ilot d’Epiney"/>
    <n v="59211497"/>
    <s v="Nab-Makeup"/>
    <x v="24"/>
    <d v="2025-06-05T00:00:00"/>
    <n v="150"/>
    <d v="2025-07-02T00:00:00"/>
    <m/>
  </r>
  <r>
    <s v="Medeesha Choonucksing"/>
    <s v="Royal Road, Goodlands"/>
    <s v="Rivière du Rempart"/>
    <s v="Goodlands"/>
    <n v="57029805"/>
    <s v="Nab-Makeup"/>
    <x v="24"/>
    <d v="2025-06-05T00:00:00"/>
    <n v="150"/>
    <d v="2025-07-02T00:00:00"/>
    <m/>
  </r>
  <r>
    <s v="Krishni Jaymungul"/>
    <s v="Shivala Road, Bramsthan"/>
    <s v="Flacq"/>
    <s v="Bramsthan"/>
    <s v="57680998 / 55186306"/>
    <s v="Nab-Makeup"/>
    <x v="24"/>
    <d v="2025-06-05T00:00:00"/>
    <n v="150"/>
    <d v="2025-07-02T00:00:00"/>
    <m/>
  </r>
  <r>
    <s v="Umme Tashleemah Hosanee"/>
    <s v="Camp Mapou, Henrietta, Vacoas"/>
    <s v="Plaines Wilhems"/>
    <s v="Vacoas"/>
    <n v="58443803"/>
    <s v="Nab-Makeup"/>
    <x v="24"/>
    <d v="2025-06-05T00:00:00"/>
    <n v="150"/>
    <d v="2025-07-02T00:00:00"/>
    <m/>
  </r>
  <r>
    <s v="Roshan Seebundhun"/>
    <s v="Care 4 U Pharmacy"/>
    <s v="Plaines Wilhems"/>
    <s v="Curepipe"/>
    <n v="58292958"/>
    <s v="Nab-Makeup"/>
    <x v="24"/>
    <d v="2025-06-05T00:00:00"/>
    <n v="150"/>
    <d v="2025-07-02T00:00:00"/>
    <m/>
  </r>
  <r>
    <s v="Nailah Khodabukus"/>
    <s v="Middle Road, Plaine des Papayes"/>
    <s v="Pamplemousses"/>
    <s v="Plaine des Papayes"/>
    <n v="57193112"/>
    <s v="Nab-Makeup"/>
    <x v="24"/>
    <d v="2025-06-05T00:00:00"/>
    <n v="150"/>
    <d v="2025-07-02T00:00:00"/>
    <m/>
  </r>
  <r>
    <s v="Ghanpriya Aubeelack"/>
    <s v="Royal Road, Nouvelle France (Near Police Station)"/>
    <s v="Grand Port"/>
    <s v="Nouvelle France"/>
    <s v="57701300 / 59202789"/>
    <s v="Nab-Makeup"/>
    <x v="24"/>
    <d v="2025-06-05T00:00:00"/>
    <n v="150"/>
    <d v="2025-07-02T00:00:00"/>
    <m/>
  </r>
  <r>
    <s v="Beedwantee Auchoybur"/>
    <s v="Camp La Bouse"/>
    <s v="Montagne Longue"/>
    <s v="Montagne Longue"/>
    <n v="54955604"/>
    <s v="OKASINA"/>
    <x v="24"/>
    <d v="2025-06-05T00:00:00"/>
    <n v="150"/>
    <d v="2025-07-02T00:00:00"/>
    <s v="COD: 10000"/>
  </r>
  <r>
    <s v="Mulveena"/>
    <s v="FCC"/>
    <s v="Ebene"/>
    <s v="Ebene"/>
    <n v="57703327"/>
    <s v="OKASINA"/>
    <x v="24"/>
    <d v="2025-06-05T00:00:00"/>
    <n v="150"/>
    <d v="2025-07-02T00:00:00"/>
    <m/>
  </r>
  <r>
    <s v="Darshinee Gungah"/>
    <s v="Absa House, Ebene"/>
    <s v="Ebene"/>
    <s v="Ebene"/>
    <n v="58160275"/>
    <s v="Nab-Makeup"/>
    <x v="24"/>
    <d v="2025-06-05T00:00:00"/>
    <n v="150"/>
    <d v="2025-07-02T00:00:00"/>
    <m/>
  </r>
  <r>
    <s v="Vaishnavi Devi Khudny"/>
    <s v="Albion Road, Canot, Bamboo, Riviere Noire"/>
    <s v="Riviere Noire"/>
    <s v="Bambous"/>
    <n v="58263578"/>
    <s v="Nab-Makeup"/>
    <x v="24"/>
    <d v="2025-06-09T00:00:00"/>
    <n v="150"/>
    <d v="2025-07-02T00:00:00"/>
    <m/>
  </r>
  <r>
    <s v="Sampreeti Mungur"/>
    <s v="Gaby Lane, Palma, Quatre Bornes"/>
    <s v="Plaines Wilhems"/>
    <s v="Quatre Bornes"/>
    <n v="58207040"/>
    <s v="Nab-Makeup"/>
    <x v="24"/>
    <d v="2025-06-05T00:00:00"/>
    <n v="150"/>
    <d v="2025-07-02T00:00:00"/>
    <m/>
  </r>
  <r>
    <s v="Nush Maghoo"/>
    <s v="5, Royal Road, Unicorn House Building, Port Louis "/>
    <s v="Port Louis "/>
    <s v="Port Louis"/>
    <n v="57613687"/>
    <s v="Nab-Makeup"/>
    <x v="24"/>
    <d v="2025-06-05T00:00:00"/>
    <n v="150"/>
    <d v="2025-07-02T00:00:00"/>
    <m/>
  </r>
  <r>
    <s v="Karishma Jeetah"/>
    <s v="43, Sir Edward Nairac Street, Chebel, Beau Bassin"/>
    <s v="Chebel"/>
    <s v="Beau Bassin"/>
    <n v="57025491"/>
    <s v="Nab-Makeup"/>
    <x v="24"/>
    <d v="2025-06-05T00:00:00"/>
    <n v="150"/>
    <d v="2025-07-02T00:00:00"/>
    <m/>
  </r>
  <r>
    <s v="Sudesh Ramluckan"/>
    <s v="Beeharry Road, Petite Raffray"/>
    <s v="Petite Raffray"/>
    <s v="Petit Raffray"/>
    <n v="57517168"/>
    <s v="May's Shop"/>
    <x v="25"/>
    <d v="2025-06-05T00:00:00"/>
    <n v="150"/>
    <d v="2025-07-02T00:00:00"/>
    <s v="COD: 1400"/>
  </r>
  <r>
    <s v="Aneerah Ramatoolall"/>
    <s v="Le Cornu, Sainte Croix"/>
    <s v="Port Louis"/>
    <s v="Sainte Croix"/>
    <n v="57078879"/>
    <s v="Nab-Makeup"/>
    <x v="26"/>
    <d v="2025-06-09T00:00:00"/>
    <n v="150"/>
    <d v="2025-07-02T00:00:00"/>
    <m/>
  </r>
  <r>
    <s v="Benazir Mamdeen"/>
    <s v="Royal Road, Saint Julien Village"/>
    <s v="Flacq"/>
    <s v="Saint Julien"/>
    <n v="52504968"/>
    <s v="Nab-Makeup"/>
    <x v="26"/>
    <d v="2025-06-09T00:00:00"/>
    <n v="150"/>
    <d v="2025-07-02T00:00:00"/>
    <m/>
  </r>
  <r>
    <s v="Bhavishna Jugun"/>
    <s v="Trois Boutiques, Union Vale, Temple Road (Sud)"/>
    <s v="Grand Port"/>
    <s v="Trois Boutiques"/>
    <n v="59047514"/>
    <s v="Nab-Makeup"/>
    <x v="26"/>
    <d v="2025-06-09T00:00:00"/>
    <n v="150"/>
    <d v="2025-07-02T00:00:00"/>
    <m/>
  </r>
  <r>
    <s v="Bhavishnee Luckhun"/>
    <s v="School Lane, Rivières des Créoles"/>
    <s v="Grand Port"/>
    <s v="Rivières des Créoles"/>
    <n v="58156468"/>
    <s v="Nab-Makeup"/>
    <x v="26"/>
    <d v="2025-06-09T00:00:00"/>
    <n v="150"/>
    <d v="2025-07-02T00:00:00"/>
    <m/>
  </r>
  <r>
    <s v="Bibi Azleen Boojhawoonah"/>
    <s v="Royal Road, Grand Bay (Near Mosque)"/>
    <s v="Rivière du Rempart"/>
    <s v="Grand Baie"/>
    <n v="57848823"/>
    <s v="Nab-Makeup"/>
    <x v="26"/>
    <d v="2025-06-09T00:00:00"/>
    <n v="150"/>
    <d v="2025-07-02T00:00:00"/>
    <m/>
  </r>
  <r>
    <s v="Dhunoo Bhagyashree"/>
    <s v="Avenue des Roches, Route Bassin, Quatre Bornes"/>
    <s v="Plaines Wilhems"/>
    <s v="Quatre Bornes"/>
    <n v="58222874"/>
    <s v="Nab-Makeup"/>
    <x v="26"/>
    <d v="2025-06-09T00:00:00"/>
    <n v="150"/>
    <d v="2025-07-02T00:00:00"/>
    <m/>
  </r>
  <r>
    <s v="Hanshenee Punchaye"/>
    <s v="Verger Road, Goodlands"/>
    <s v="Rivière du Rempart"/>
    <s v="Goodlands"/>
    <n v="58346541"/>
    <s v="Nab-Makeup"/>
    <x v="26"/>
    <d v="2025-06-12T00:00:00"/>
    <n v="150"/>
    <d v="2025-07-02T00:00:00"/>
    <m/>
  </r>
  <r>
    <s v="Isha Mohes"/>
    <s v="Royal Road, Mapou"/>
    <s v="Rivière du Rempart"/>
    <s v="Mapou"/>
    <n v="58167542"/>
    <s v="Nab-Makeup"/>
    <x v="26"/>
    <d v="2025-06-09T00:00:00"/>
    <n v="150"/>
    <d v="2025-07-02T00:00:00"/>
    <m/>
  </r>
  <r>
    <s v="Issuree Vishuddha"/>
    <s v="Road Shantiniketan, Amaury"/>
    <s v="Flacq"/>
    <s v="Amaury"/>
    <n v="58396495"/>
    <s v="Nab-Makeup"/>
    <x v="26"/>
    <d v="2025-06-09T00:00:00"/>
    <n v="150"/>
    <d v="2025-07-02T00:00:00"/>
    <m/>
  </r>
  <r>
    <s v="Jemima Arnachellum"/>
    <s v="Hollyrood No. 1, Vacoas"/>
    <s v="Plaines Wilhems"/>
    <s v="Vacoas"/>
    <n v="57830376"/>
    <s v="Nab-Makeup"/>
    <x v="26"/>
    <d v="2025-06-09T00:00:00"/>
    <n v="150"/>
    <d v="2025-07-02T00:00:00"/>
    <m/>
  </r>
  <r>
    <s v="Kenza Boolakee"/>
    <s v="17 St François Xavier, Port Louis"/>
    <s v="Port Louis"/>
    <s v="Port Louis"/>
    <n v="58039455"/>
    <s v="Nab-Makeup"/>
    <x v="26"/>
    <d v="2025-06-12T00:00:00"/>
    <n v="150"/>
    <d v="2025-07-02T00:00:00"/>
    <m/>
  </r>
  <r>
    <s v="Lavena Kumar"/>
    <s v="Ayodhya Lane, Trois Boutiques, Union Vale"/>
    <s v="Grand Port"/>
    <s v="Trois Boutiques"/>
    <n v="57637943"/>
    <s v="Nab-Makeup"/>
    <x v="26"/>
    <d v="2025-06-09T00:00:00"/>
    <n v="150"/>
    <d v="2025-07-02T00:00:00"/>
    <m/>
  </r>
  <r>
    <s v="Lotun Shareefah"/>
    <s v="10 Avenue Bernardin de St Pierre, Quatre Bornes"/>
    <s v="Plaines Wilhems"/>
    <s v="Quatre Bornes"/>
    <n v="57868386"/>
    <s v="Nab-Makeup"/>
    <x v="26"/>
    <d v="2025-06-09T00:00:00"/>
    <n v="150"/>
    <d v="2025-07-02T00:00:00"/>
    <m/>
  </r>
  <r>
    <s v="Mandhita Aubeeluck"/>
    <s v="52 Cybercity, Ebene"/>
    <s v="Plaines Wilhems"/>
    <s v="Ebene"/>
    <n v="57582607"/>
    <s v="Nab-Makeup"/>
    <x v="26"/>
    <d v="2025-06-09T00:00:00"/>
    <n v="150"/>
    <d v="2025-07-02T00:00:00"/>
    <m/>
  </r>
  <r>
    <s v="Mansurah Khedarun"/>
    <s v="Royal Road, L’Escalier"/>
    <s v="Grand Port"/>
    <s v="L'Escalier"/>
    <n v="59152550"/>
    <s v="Nab-Makeup"/>
    <x v="26"/>
    <d v="2025-06-09T00:00:00"/>
    <n v="150"/>
    <d v="2025-07-02T00:00:00"/>
    <m/>
  </r>
  <r>
    <s v="Merry Paula Mesghna"/>
    <s v="Koosseal Lane, Bassin Road, Quatre Bornes"/>
    <s v="Plaines Wilhems"/>
    <s v="Quatre Bornes"/>
    <n v="58165100"/>
    <s v="Nab-Makeup"/>
    <x v="26"/>
    <d v="2025-06-09T00:00:00"/>
    <n v="150"/>
    <d v="2025-07-02T00:00:00"/>
    <m/>
  </r>
  <r>
    <s v="Moosnah Lakshana Devi"/>
    <s v="Mudhoo Road, Goodlands"/>
    <s v="Rivière du Rempart"/>
    <s v="Goodlands"/>
    <s v=" 59048425 / 55033136"/>
    <s v="Nab-Makeup"/>
    <x v="26"/>
    <d v="2025-06-09T00:00:00"/>
    <n v="150"/>
    <d v="2025-07-02T00:00:00"/>
    <m/>
  </r>
  <r>
    <s v="Myrka Kotadoo"/>
    <s v="SBM Branch, Hyvec Business Park, Wall Street, Ebene"/>
    <s v="Plaines Wilhems"/>
    <s v="Ebene"/>
    <n v="57863298"/>
    <s v="Nab-Makeup"/>
    <x v="26"/>
    <d v="2025-06-09T00:00:00"/>
    <n v="150"/>
    <d v="2025-07-02T00:00:00"/>
    <m/>
  </r>
  <r>
    <s v="Nabila Varsally"/>
    <s v="7 Exchange Square, Ebene"/>
    <s v="Plaines Wilhems"/>
    <s v="Ebene"/>
    <n v="57257131"/>
    <s v="Nab-Makeup"/>
    <x v="26"/>
    <d v="2025-06-09T00:00:00"/>
    <n v="150"/>
    <d v="2025-07-02T00:00:00"/>
    <m/>
  </r>
  <r>
    <s v="Nuzhar Noorbux"/>
    <s v="Lalljee Lane, Marie Jeannie, Rose Belle"/>
    <s v="Grand Port"/>
    <s v="Rose Belle"/>
    <n v="58139885"/>
    <s v="Nab-Makeup"/>
    <x v="26"/>
    <d v="2025-06-09T00:00:00"/>
    <n v="150"/>
    <d v="2025-07-02T00:00:00"/>
    <m/>
  </r>
  <r>
    <s v="Oumairah Amboorallee"/>
    <s v="Clairfonds No. 3, Vacoas"/>
    <s v="Plaines Wilhems"/>
    <s v="Vacoas"/>
    <n v="59395156"/>
    <s v="Nab-Makeup"/>
    <x v="26"/>
    <d v="2025-06-09T00:00:00"/>
    <n v="150"/>
    <d v="2025-07-02T00:00:00"/>
    <m/>
  </r>
  <r>
    <s v="Ourmila Choytun Bachu"/>
    <s v="Bhagelloo Lane, Mont Fertile, New Grove"/>
    <s v="Grand Port"/>
    <s v="New Grove"/>
    <n v="58336735"/>
    <s v="Nab-Makeup"/>
    <x v="26"/>
    <d v="2025-06-09T00:00:00"/>
    <n v="150"/>
    <d v="2025-07-02T00:00:00"/>
    <m/>
  </r>
  <r>
    <s v="Pooja Takah"/>
    <s v="Robinson River Lane, Eau Coulée"/>
    <s v="Plaines Wilhems"/>
    <s v="Eau Coulee"/>
    <n v="55157679"/>
    <s v="Nab-Makeup"/>
    <x v="26"/>
    <d v="2025-06-09T00:00:00"/>
    <n v="150"/>
    <d v="2025-07-02T00:00:00"/>
    <m/>
  </r>
  <r>
    <s v="Raaidah Elaheebocus"/>
    <s v="Edgar Hughes Street, Curepipe"/>
    <s v="Plaines Wilhems"/>
    <s v="Curepipe"/>
    <n v="57615763"/>
    <s v="Nab-Makeup"/>
    <x v="26"/>
    <d v="2025-06-09T00:00:00"/>
    <n v="150"/>
    <d v="2025-07-02T00:00:00"/>
    <m/>
  </r>
  <r>
    <s v="Rakshita Juggessur"/>
    <s v="4A VEL PLAZA, Royal Road, Goodlands"/>
    <s v="Rivière du Rempart"/>
    <s v="Goodlands"/>
    <n v="59251093"/>
    <s v="Nab-Makeup"/>
    <x v="26"/>
    <d v="2025-06-09T00:00:00"/>
    <n v="150"/>
    <d v="2025-07-02T00:00:00"/>
    <m/>
  </r>
  <r>
    <s v="Rosun Nuzhah"/>
    <s v="Rosun Street, Union Park"/>
    <s v="Grand Port"/>
    <s v="Union Park"/>
    <n v="59163093"/>
    <s v="Nab-Makeup"/>
    <x v="26"/>
    <d v="2025-06-09T00:00:00"/>
    <n v="150"/>
    <d v="2025-07-02T00:00:00"/>
    <m/>
  </r>
  <r>
    <s v="Rukhaya Peerbux"/>
    <s v="Camp La Serpe, Bel Air R/S"/>
    <s v="Flacq"/>
    <s v="Bel Air"/>
    <n v="57699801"/>
    <s v="Nab-Makeup"/>
    <x v="26"/>
    <d v="2025-06-09T00:00:00"/>
    <n v="150"/>
    <d v="2025-07-02T00:00:00"/>
    <m/>
  </r>
  <r>
    <s v="Rukshar Shamutally"/>
    <s v="Beekawoo Lane, Phoenix"/>
    <s v="Plaines Wilhems"/>
    <s v="Phoenix"/>
    <n v="58046068"/>
    <s v="Nab-Makeup"/>
    <x v="26"/>
    <d v="2025-06-09T00:00:00"/>
    <n v="150"/>
    <d v="2025-07-02T00:00:00"/>
    <m/>
  </r>
  <r>
    <s v="Samirah Dhuny Bheenick"/>
    <s v="Royal Road, Caroline, Bel Air Rivière Sèche"/>
    <s v="Flacq"/>
    <s v="Bel Air"/>
    <n v="59444636"/>
    <s v="Nab-Makeup"/>
    <x v="26"/>
    <d v="2025-06-09T00:00:00"/>
    <n v="150"/>
    <d v="2025-07-02T00:00:00"/>
    <m/>
  </r>
  <r>
    <s v="Shalini Moloo"/>
    <s v="Villa Chambly, Curepipe Road"/>
    <s v="Plaines Wilhems"/>
    <s v="Curepipe"/>
    <n v="57501485"/>
    <s v="Nab-Makeup"/>
    <x v="26"/>
    <d v="2025-06-09T00:00:00"/>
    <n v="150"/>
    <d v="2025-07-02T00:00:00"/>
    <m/>
  </r>
  <r>
    <s v="Simran Swamber"/>
    <s v="La Source, Centre de Flacq"/>
    <s v="Flacq"/>
    <s v="Central Flacq"/>
    <n v="58304085"/>
    <s v="Nab-Makeup"/>
    <x v="26"/>
    <d v="2025-06-09T00:00:00"/>
    <n v="150"/>
    <d v="2025-07-02T00:00:00"/>
    <m/>
  </r>
  <r>
    <s v="Sonali Bacorisen"/>
    <s v="Brick Empire Avenue, Morcellement Raffray, Albion"/>
    <s v="Black River"/>
    <s v="Albion"/>
    <n v="57032342"/>
    <s v="Nab-Makeup"/>
    <x v="26"/>
    <d v="2025-06-09T00:00:00"/>
    <n v="150"/>
    <d v="2025-07-02T00:00:00"/>
    <m/>
  </r>
  <r>
    <s v="Soohasi Sandhoo/Geetisha Sandhoo"/>
    <s v="Royal Road, Petit Raffray"/>
    <s v="Rivière du Rempart"/>
    <s v="Petit Raffray"/>
    <n v="57722084"/>
    <s v="Nab-Makeup"/>
    <x v="26"/>
    <d v="2025-06-09T00:00:00"/>
    <n v="150"/>
    <d v="2025-07-02T00:00:00"/>
    <m/>
  </r>
  <r>
    <s v="Vanelli Modely Vyapooree"/>
    <s v="Royal Road, Amaury"/>
    <s v="Flacq"/>
    <s v="Amaury"/>
    <n v="59188047"/>
    <s v="Nab-Makeup"/>
    <x v="26"/>
    <d v="2025-06-09T00:00:00"/>
    <n v="150"/>
    <d v="2025-07-02T00:00:00"/>
    <m/>
  </r>
  <r>
    <s v="Mrs Banymandhub"/>
    <s v="Royal Rd, Rose Hill"/>
    <s v="Rose Hill"/>
    <s v="Rose Hill"/>
    <s v="4546796 / 57041434"/>
    <s v="OKASINA"/>
    <x v="26"/>
    <d v="2025-06-09T00:00:00"/>
    <n v="150"/>
    <d v="2025-07-02T00:00:00"/>
    <s v="COD: 3550"/>
  </r>
  <r>
    <s v="Nazmeen"/>
    <s v="Riverside Lane II, Pamplemousses"/>
    <s v="Pamplemousses"/>
    <s v="Pamplemousses"/>
    <n v="57917239"/>
    <s v="OKASINA"/>
    <x v="26"/>
    <d v="2025-06-09T00:00:00"/>
    <n v="150"/>
    <d v="2025-07-02T00:00:00"/>
    <s v="COD: 1845"/>
  </r>
  <r>
    <s v="Samila Makhun"/>
    <s v="Swaraj Road, Petit Raffray"/>
    <s v="Petit Raffray"/>
    <s v="Petit Raffray"/>
    <n v="57893501"/>
    <s v="OKASINA"/>
    <x v="26"/>
    <d v="2025-06-09T00:00:00"/>
    <n v="150"/>
    <d v="2025-07-02T00:00:00"/>
    <s v="COD: 2400"/>
  </r>
  <r>
    <s v="Saroja Samigoundan"/>
    <s v="14 Eagle Street, Morcellement La Confiance, Beau Bassin"/>
    <s v="Plaines Wilhems"/>
    <s v="Beau Bassin"/>
    <n v="59450164"/>
    <s v="OKASINA"/>
    <x v="26"/>
    <d v="2025-06-09T00:00:00"/>
    <n v="150"/>
    <d v="2025-07-02T00:00:00"/>
    <s v="COD: 2000"/>
  </r>
  <r>
    <s v="Varsha Luchoo"/>
    <s v="Jaylall Lane, Avenue Berthaud, Quatre Bornes"/>
    <s v="Quatre Bornes"/>
    <s v="Quatre Bornes"/>
    <n v="57852775"/>
    <s v="OKASINA"/>
    <x v="26"/>
    <d v="2025-06-09T00:00:00"/>
    <n v="150"/>
    <d v="2025-07-02T00:00:00"/>
    <m/>
  </r>
  <r>
    <s v="Ravina Bungari"/>
    <s v="22, Palma Road, Quatre Bornes"/>
    <s v="Quatre Bornes"/>
    <s v="Quatre Bornes"/>
    <n v="59366000"/>
    <s v="Nab-Makeup"/>
    <x v="26"/>
    <d v="2025-06-09T00:00:00"/>
    <n v="150"/>
    <d v="2025-07-02T00:00:00"/>
    <m/>
  </r>
  <r>
    <s v="Nadira Bibi Saadia Hossen"/>
    <s v="Banarally Lane, Mesnil, Phoenix"/>
    <s v="Phoenix"/>
    <s v="Mesnil"/>
    <n v="54786476"/>
    <s v="Nab-Makeup"/>
    <x v="26"/>
    <d v="2025-06-09T00:00:00"/>
    <n v="150"/>
    <d v="2025-07-02T00:00:00"/>
    <m/>
  </r>
  <r>
    <s v="Sandhya Gangaram"/>
    <s v="Royal Road, Petit Raffray"/>
    <s v="Petit Raffray"/>
    <s v="Petit Raffray"/>
    <n v="59137510"/>
    <s v="Nab-Makeup"/>
    <x v="26"/>
    <d v="2025-06-09T00:00:00"/>
    <n v="150"/>
    <d v="2025-07-02T00:00:00"/>
    <m/>
  </r>
  <r>
    <s v="Suman Pooroosutton "/>
    <s v="New Morcellement, Britannia"/>
    <s v="South"/>
    <s v="Britannia"/>
    <n v="57669533"/>
    <s v="Nab-Makeup"/>
    <x v="26"/>
    <d v="2025-06-09T00:00:00"/>
    <n v="150"/>
    <d v="2025-07-02T00:00:00"/>
    <m/>
  </r>
  <r>
    <s v="Gabriella Batour"/>
    <s v="Plaza, Rose Hill"/>
    <s v="Plaines Wilhems"/>
    <s v="Rose Hill"/>
    <n v="54905493"/>
    <s v="Timeless Trends"/>
    <x v="27"/>
    <d v="2025-06-09T00:00:00"/>
    <n v="150"/>
    <d v="2025-07-02T00:00:00"/>
    <m/>
  </r>
  <r>
    <s v="Anne Sophie Isabel"/>
    <s v="School Lane Grand Bel Air Mahebourg"/>
    <s v="Grand Port"/>
    <s v="Mahebourg"/>
    <n v="57144737"/>
    <s v="Timeless Trends"/>
    <x v="27"/>
    <d v="2025-06-12T00:00:00"/>
    <n v="150"/>
    <d v="2025-07-02T00:00:00"/>
    <m/>
  </r>
  <r>
    <s v="Rookian Abdool Raheem"/>
    <s v="B108 Morc Raffray, Ave.Rosiers 2, Le Hochet, Terre Rouge"/>
    <s v="North"/>
    <s v="Terre Rouge"/>
    <n v="57749245"/>
    <s v="Timeless Trends"/>
    <x v="27"/>
    <d v="2025-06-09T00:00:00"/>
    <n v="150"/>
    <d v="2025-07-02T00:00:00"/>
    <s v="COD: 950"/>
  </r>
  <r>
    <s v="Sweta Groodoyal"/>
    <s v="Morcellement Beau Plateau, Cottage"/>
    <s v="Cottage"/>
    <s v="Cottage"/>
    <n v="57937253"/>
    <s v="OKASINA"/>
    <x v="26"/>
    <d v="2025-06-09T00:00:00"/>
    <n v="150"/>
    <d v="2025-07-02T00:00:00"/>
    <m/>
  </r>
  <r>
    <s v="Prateebah Jharee"/>
    <s v="Mahatma Gandhi Rd, Trois Boutik, Triolet"/>
    <s v="Triolet"/>
    <s v="Triolet"/>
    <n v="59291886"/>
    <s v="Glow And Aura"/>
    <x v="27"/>
    <d v="2025-06-09T00:00:00"/>
    <n v="75"/>
    <d v="2025-07-02T00:00:00"/>
    <s v="COD: 600"/>
  </r>
  <r>
    <s v="Drishti Ramchurn"/>
    <s v="146, Morcellement VRS, Gros Billot, New Grove"/>
    <s v="Grand Port"/>
    <s v="New Grove"/>
    <n v="58093231"/>
    <s v="Nab-Makeup"/>
    <x v="28"/>
    <d v="2025-06-12T00:00:00"/>
    <n v="150"/>
    <d v="2025-07-02T00:00:00"/>
    <m/>
  </r>
  <r>
    <s v="Karen Triton"/>
    <s v="55 Ave Dr PIARROUX, Camp-Levieux, Rose Hill"/>
    <s v="Plaines Wilhems"/>
    <s v="Rose Hill"/>
    <n v="57426350"/>
    <s v="Nab-Makeup"/>
    <x v="28"/>
    <d v="2025-06-12T00:00:00"/>
    <n v="150"/>
    <d v="2025-07-02T00:00:00"/>
    <m/>
  </r>
  <r>
    <s v="Karishma Omaree"/>
    <s v="Doya Street, Cent Gaulettes, St Hilaire"/>
    <s v="Grand Port"/>
    <s v="St Hilaire"/>
    <n v="57704232"/>
    <s v="Nab-Makeup"/>
    <x v="28"/>
    <d v="2025-06-12T00:00:00"/>
    <n v="150"/>
    <d v="2025-07-02T00:00:00"/>
    <m/>
  </r>
  <r>
    <s v="Fariyad Joomun"/>
    <s v="IndusInd International Holdings Ltd, Beau Plan Business Park, 1A GF North Building"/>
    <s v="Pamplemousses"/>
    <s v="Beau Plan"/>
    <n v="59427281"/>
    <s v="Nab-Makeup"/>
    <x v="28"/>
    <d v="2025-06-12T00:00:00"/>
    <n v="150"/>
    <d v="2025-07-02T00:00:00"/>
    <m/>
  </r>
  <r>
    <s v="Muskaan Santuck"/>
    <s v="Ave Eucalyptus, Domaine Du Moulin, Goodlands"/>
    <s v="Rivière du Rempart"/>
    <s v="Goodlands"/>
    <n v="58173590"/>
    <s v="Nab-Makeup"/>
    <x v="28"/>
    <d v="2025-06-12T00:00:00"/>
    <n v="150"/>
    <d v="2025-07-02T00:00:00"/>
    <m/>
  </r>
  <r>
    <s v="Nadia Chotoye"/>
    <s v="15 Aleppo Street, Port Louis"/>
    <s v="Port Louis"/>
    <s v="Port Louis"/>
    <n v="57987550"/>
    <s v="Nab-Makeup"/>
    <x v="28"/>
    <d v="2025-06-12T00:00:00"/>
    <n v="150"/>
    <d v="2025-07-02T00:00:00"/>
    <m/>
  </r>
  <r>
    <s v="Hasseena Mahamoodally"/>
    <s v="No. 71, Rue des Epices, Highlands Rose"/>
    <s v="Moka"/>
    <s v="Highlands"/>
    <n v="57755000"/>
    <s v="Nab-Makeup"/>
    <x v="28"/>
    <d v="2025-06-12T00:00:00"/>
    <n v="150"/>
    <d v="2025-07-02T00:00:00"/>
    <m/>
  </r>
  <r>
    <s v="Maneisha Manda Appadoo"/>
    <s v="Mosque Road, Rose-Belle"/>
    <s v="Grand Port"/>
    <s v="Rose Belle"/>
    <n v="58141471"/>
    <s v="Nab-Makeup"/>
    <x v="28"/>
    <d v="2025-06-12T00:00:00"/>
    <n v="150"/>
    <d v="2025-07-02T00:00:00"/>
    <m/>
  </r>
  <r>
    <s v="Sharlyn Tang Ying Yuen"/>
    <s v="Phoenix Mall Jumbo"/>
    <s v="Plaines Wilhems"/>
    <s v="Phoenix"/>
    <n v="57881293"/>
    <s v="Nab-Makeup"/>
    <x v="28"/>
    <d v="2025-06-12T00:00:00"/>
    <n v="150"/>
    <d v="2025-07-02T00:00:00"/>
    <m/>
  </r>
  <r>
    <s v="Hajrah Jowaheer"/>
    <s v="Saulick Lane, Highlands"/>
    <s v="Moka"/>
    <s v="Highlands"/>
    <n v="57412010"/>
    <s v="Nab-Makeup"/>
    <x v="28"/>
    <d v="2025-06-12T00:00:00"/>
    <n v="150"/>
    <d v="2025-07-02T00:00:00"/>
    <m/>
  </r>
  <r>
    <s v="Dhaoroop Deesha"/>
    <s v="Camp La Serpe, Bel-Air Rivière Sèche"/>
    <s v="Flacq"/>
    <s v="Bel Air"/>
    <n v="57659764"/>
    <s v="Nab-Makeup"/>
    <x v="28"/>
    <d v="2025-06-12T00:00:00"/>
    <n v="150"/>
    <d v="2025-07-02T00:00:00"/>
    <m/>
  </r>
  <r>
    <s v="Vidusha Kesri Singh"/>
    <s v="Lot 106, Morcellement Blue Print, Plaine Magnien"/>
    <s v="Grand Port"/>
    <s v="Plaine Magnien"/>
    <n v="58138137"/>
    <s v="Nab-Makeup"/>
    <x v="28"/>
    <d v="2025-06-12T00:00:00"/>
    <n v="150"/>
    <d v="2025-07-02T00:00:00"/>
    <m/>
  </r>
  <r>
    <s v="Yasmina Noormamode"/>
    <s v="Route Militaire, Terre Rouge"/>
    <s v="Pamplemousses"/>
    <s v="Terre Rouge"/>
    <n v="57051426"/>
    <s v="Nab-Makeup"/>
    <x v="28"/>
    <d v="2025-06-12T00:00:00"/>
    <n v="150"/>
    <d v="2025-07-02T00:00:00"/>
    <m/>
  </r>
  <r>
    <s v="Preeteesha Groodoyal"/>
    <s v="Royal Road, Malinga, St Pierre"/>
    <s v="Moka"/>
    <s v="St Pierre"/>
    <n v="58028160"/>
    <s v="Nab-Makeup"/>
    <x v="28"/>
    <d v="2025-06-12T00:00:00"/>
    <n v="150"/>
    <d v="2025-07-02T00:00:00"/>
    <m/>
  </r>
  <r>
    <s v="Ummay Rumaanah Mohungoo-Bhukoo"/>
    <s v="Victoria House, near PKL, Port Louis"/>
    <s v="Port Louis"/>
    <s v="Port Louis"/>
    <n v="57170110"/>
    <s v="Nab-Makeup"/>
    <x v="28"/>
    <d v="2025-06-12T00:00:00"/>
    <n v="150"/>
    <d v="2025-07-02T00:00:00"/>
    <m/>
  </r>
  <r>
    <s v="Sneha Seeboruth"/>
    <s v="Central Market, Port Louis, near MCB"/>
    <s v="Port Louis"/>
    <s v="Port Louis"/>
    <n v="58227543"/>
    <s v="Nab-Makeup"/>
    <x v="28"/>
    <d v="2025-06-12T00:00:00"/>
    <n v="150"/>
    <d v="2025-07-02T00:00:00"/>
    <m/>
  </r>
  <r>
    <s v="Sumayyah Furreed"/>
    <s v="Geranium Road, Lower Vale"/>
    <s v="Rivière du Rempart"/>
    <s v="Lower Vale"/>
    <n v="59294454"/>
    <s v="Nab-Makeup"/>
    <x v="28"/>
    <d v="2025-06-12T00:00:00"/>
    <n v="150"/>
    <d v="2025-07-02T00:00:00"/>
    <m/>
  </r>
  <r>
    <s v="Yumna Caderbavah"/>
    <s v="Caderbavah Lane, L’Escalier"/>
    <s v="Grand Port"/>
    <s v="L'Escalier"/>
    <n v="57593962"/>
    <s v="Nab-Makeup"/>
    <x v="28"/>
    <d v="2025-06-12T00:00:00"/>
    <n v="150"/>
    <d v="2025-07-02T00:00:00"/>
    <m/>
  </r>
  <r>
    <s v="Ashley Ration (C/O)"/>
    <s v="Harrow Lane, Avenue Belle Rose, Quatre Bornes"/>
    <s v="Plaines Wilhems"/>
    <s v="Quatre Bornes"/>
    <n v="54949449"/>
    <s v="Nab-Makeup"/>
    <x v="28"/>
    <d v="2025-06-12T00:00:00"/>
    <n v="150"/>
    <d v="2025-07-02T00:00:00"/>
    <m/>
  </r>
  <r>
    <s v="Alisha Rani Mittoo"/>
    <s v="Balaclava Rd, Arsenal"/>
    <s v="Pamplemousses"/>
    <s v="Arsenal"/>
    <n v="57601675"/>
    <s v="Nab-Makeup"/>
    <x v="28"/>
    <d v="2025-06-12T00:00:00"/>
    <n v="150"/>
    <d v="2025-07-02T00:00:00"/>
    <m/>
  </r>
  <r>
    <s v="Namrata Etwareea"/>
    <s v="Plot 113, Morcellement Jeeraz, Maison Blanche"/>
    <s v="Pamplemousses"/>
    <s v="Maison Blanche"/>
    <n v="59186019"/>
    <s v="Nab-Makeup"/>
    <x v="28"/>
    <d v="2025-06-12T00:00:00"/>
    <n v="150"/>
    <d v="2025-07-02T00:00:00"/>
    <m/>
  </r>
  <r>
    <s v="Nawsheen Emambacus"/>
    <s v="Prud'homme Street, Rivière des Anguilles"/>
    <s v="Savanne"/>
    <s v="Rivière des Anguilles"/>
    <n v="57775600"/>
    <s v="Nab-Makeup"/>
    <x v="28"/>
    <d v="2025-06-12T00:00:00"/>
    <n v="150"/>
    <d v="2025-07-02T00:00:00"/>
    <m/>
  </r>
  <r>
    <s v="Priya Jhugroo"/>
    <s v="Terre Rouge Road, Camp Fouquereaux, Phoenix"/>
    <s v="Plaines Wilhems"/>
    <s v="Phoenix"/>
    <n v="57673520"/>
    <s v="Nab-Makeup"/>
    <x v="28"/>
    <d v="2025-06-12T00:00:00"/>
    <n v="150"/>
    <d v="2025-07-02T00:00:00"/>
    <m/>
  </r>
  <r>
    <s v="Namah Mungra Sxiashi"/>
    <s v="46 EDC La Sourdine, L’Escalier"/>
    <s v="Grand Port"/>
    <s v="L'Escalier"/>
    <s v="52898586 / 555016793"/>
    <s v="Nab-Makeup"/>
    <x v="28"/>
    <d v="2025-06-12T00:00:00"/>
    <n v="150"/>
    <d v="2025-07-02T00:00:00"/>
    <m/>
  </r>
  <r>
    <s v="Karishma Ghunowa"/>
    <s v="Your Dream Motors, Royal Road, Moka"/>
    <s v="Moka"/>
    <s v="Moka"/>
    <n v="52529812"/>
    <s v="Nab-Makeup"/>
    <x v="28"/>
    <d v="2025-06-12T00:00:00"/>
    <n v="150"/>
    <d v="2025-07-02T00:00:00"/>
    <m/>
  </r>
  <r>
    <s v="Hullodhur Tushar"/>
    <s v="27 Ave. L’unité l’impasse Monté S, Camp Benoit"/>
    <s v="Camp Benoit"/>
    <s v="Port Louis"/>
    <n v="58222230"/>
    <s v="Nab-Makeup"/>
    <x v="28"/>
    <d v="2025-06-12T00:00:00"/>
    <n v="150"/>
    <d v="2025-07-02T00:00:00"/>
    <m/>
  </r>
  <r>
    <s v="Naomy Dardenne"/>
    <s v="La Pelouse, Trou d’Eau Douce"/>
    <s v="Flacq"/>
    <s v="Trou D’Eau Douce"/>
    <n v="59236513"/>
    <s v="Nab-Makeup"/>
    <x v="28"/>
    <d v="2025-06-12T00:00:00"/>
    <n v="150"/>
    <d v="2025-07-02T00:00:00"/>
    <m/>
  </r>
  <r>
    <s v="Sadiyah Sarvar"/>
    <s v="Morcellement St Aubin No. 100"/>
    <s v="Savanne"/>
    <s v="St Aubin"/>
    <n v="58150895"/>
    <s v="Nab-Makeup"/>
    <x v="28"/>
    <d v="2025-06-12T00:00:00"/>
    <n v="150"/>
    <d v="2025-07-02T00:00:00"/>
    <m/>
  </r>
  <r>
    <s v="Adiilah Muhammad"/>
    <s v="17, Madura Street, Port Louis"/>
    <s v="Port Louis"/>
    <s v="Port Louis"/>
    <n v="59278432"/>
    <s v="OKASINA"/>
    <x v="28"/>
    <d v="2025-06-12T00:00:00"/>
    <n v="150"/>
    <d v="2025-07-02T00:00:00"/>
    <s v="COD: 4140"/>
  </r>
  <r>
    <s v="Anita Jhugroo"/>
    <s v="190 Avenue Ollier, Quatre Bornes"/>
    <s v="Plaines Wilhems"/>
    <s v="Quatre Bornes"/>
    <n v="58044200"/>
    <s v="OKASINA"/>
    <x v="28"/>
    <d v="2025-06-12T00:00:00"/>
    <n v="150"/>
    <d v="2025-07-02T00:00:00"/>
    <s v="COD: 2000"/>
  </r>
  <r>
    <s v="Rukhaya Peerbux"/>
    <s v="Camp La Serpe, Bel Air Rivière Sèche"/>
    <s v="Flacq"/>
    <s v="Bel Air"/>
    <n v="57699801"/>
    <s v="Nab-Makeup"/>
    <x v="28"/>
    <d v="2025-06-12T00:00:00"/>
    <n v="150"/>
    <d v="2025-07-02T00:00:00"/>
    <m/>
  </r>
  <r>
    <s v="Jenita Seechurn"/>
    <s v="JJS Pizzeria, Royal Road, Pamplemousses"/>
    <s v="Pamplemousses"/>
    <s v="Pamplemousses"/>
    <s v="57529696 / 57448407"/>
    <s v="Nab-Makeup"/>
    <x v="28"/>
    <d v="2025-06-12T00:00:00"/>
    <n v="150"/>
    <d v="2025-07-02T00:00:00"/>
    <m/>
  </r>
  <r>
    <s v="Krishnee Ghoorhoo"/>
    <s v="SSR lane"/>
    <s v="Mare Tabac"/>
    <s v="Mare Tabac"/>
    <n v="57088037"/>
    <s v="Glow And Aura"/>
    <x v="29"/>
    <d v="2025-06-12T00:00:00"/>
    <n v="75"/>
    <d v="2025-07-02T00:00:00"/>
    <m/>
  </r>
  <r>
    <s v="Noushrine"/>
    <s v="Port-louis"/>
    <s v="Port-louis"/>
    <s v="Port Louis"/>
    <n v="59320969"/>
    <s v="Glow And Aura"/>
    <x v="29"/>
    <d v="2025-06-12T00:00:00"/>
    <n v="150"/>
    <d v="2025-07-02T00:00:00"/>
    <m/>
  </r>
  <r>
    <s v="Malika"/>
    <s v="Begue Street Hollyrood No 1,Vacoas"/>
    <s v="Plaines Wilhems"/>
    <s v="Vacoas"/>
    <n v="58340650"/>
    <s v="Timeless Trends"/>
    <x v="29"/>
    <d v="2025-06-16T00:00:00"/>
    <n v="150"/>
    <d v="2025-07-02T00:00:00"/>
    <s v="COD: 1300"/>
  </r>
  <r>
    <s v="Jaabir Jumeen"/>
    <s v="Cemetery Road, Plaine Magnien"/>
    <s v="Grand Port"/>
    <s v="Plaine Magnien"/>
    <n v="54732553"/>
    <s v="Nab-Makeup"/>
    <x v="30"/>
    <d v="2025-06-16T00:00:00"/>
    <n v="150"/>
    <d v="2025-07-02T00:00:00"/>
    <m/>
  </r>
  <r>
    <s v="Bhavisha Joorawon"/>
    <s v="Krishna Road, Lallmatie"/>
    <s v="Flacq"/>
    <s v="Lallmatie"/>
    <s v="58328220 / 57013360"/>
    <s v="Nab-Makeup"/>
    <x v="30"/>
    <d v="2025-06-16T00:00:00"/>
    <n v="150"/>
    <d v="2025-07-02T00:00:00"/>
    <m/>
  </r>
  <r>
    <s v="Oozeer Houzaifa"/>
    <s v="31 Mamelon Vert, St Vallee Pitot, Port Louis"/>
    <s v="Port Louis"/>
    <s v="Port Louis"/>
    <n v="57534783"/>
    <s v="Nab-Makeup"/>
    <x v="30"/>
    <d v="2025-06-16T00:00:00"/>
    <n v="150"/>
    <d v="2025-07-02T00:00:00"/>
    <m/>
  </r>
  <r>
    <s v="Sadi Delior"/>
    <s v="Cnr Ave De Coriolis, Royal Road, Belle Rose"/>
    <s v="Plaines Wilhems"/>
    <s v="Belle Rose"/>
    <n v="59718556"/>
    <s v="Nab-Makeup"/>
    <x v="30"/>
    <d v="2025-06-16T00:00:00"/>
    <n v="150"/>
    <d v="2025-07-02T00:00:00"/>
    <m/>
  </r>
  <r>
    <s v="Rookmah Ounissa Mohit"/>
    <s v="Morcellement VRS Lot 363, Diamond Street, Souillac"/>
    <s v="Savanne"/>
    <s v="Souillac"/>
    <n v="58153713"/>
    <s v="Nab-Makeup"/>
    <x v="30"/>
    <d v="2025-06-16T00:00:00"/>
    <n v="150"/>
    <d v="2025-07-02T00:00:00"/>
    <m/>
  </r>
  <r>
    <s v="Pritee Buleeram"/>
    <s v="Bon Espoir Road, Rivière des Créoles"/>
    <s v="Grand Port"/>
    <s v="Rivière des Créoles"/>
    <n v="57965628"/>
    <s v="Nab-Makeup"/>
    <x v="30"/>
    <d v="2025-06-16T00:00:00"/>
    <n v="150"/>
    <d v="2025-07-02T00:00:00"/>
    <m/>
  </r>
  <r>
    <s v="Justine Desire-Armoogum"/>
    <s v="JoyabyJustine, Impasse Cantin, Vacoas-Phoenix"/>
    <s v="Plaines Wilhems"/>
    <s v="Vacoas"/>
    <n v="57177093"/>
    <s v="Nab-Makeup"/>
    <x v="30"/>
    <d v="2025-06-16T00:00:00"/>
    <n v="150"/>
    <d v="2025-07-02T00:00:00"/>
    <m/>
  </r>
  <r>
    <s v="Aaishah Mungroo"/>
    <s v="Old School Road, Camp Diable"/>
    <s v="Savanne"/>
    <s v="Camp Diable"/>
    <n v="57837612"/>
    <s v="Nab-Makeup"/>
    <x v="30"/>
    <d v="2025-06-16T00:00:00"/>
    <n v="150"/>
    <d v="2025-07-02T00:00:00"/>
    <m/>
  </r>
  <r>
    <s v="Vedishka Pandoo"/>
    <s v="7 Exchange Square, Wall Street, Ebene"/>
    <s v="Plaines Wilhems"/>
    <s v="Ebene"/>
    <n v="57718586"/>
    <s v="Nab-Makeup"/>
    <x v="30"/>
    <d v="2025-06-16T00:00:00"/>
    <n v="150"/>
    <d v="2025-07-02T00:00:00"/>
    <m/>
  </r>
  <r>
    <s v="Lipshita Mungroo"/>
    <s v="Gandhi Road, Trois Boutiques, Union Vale"/>
    <s v="Grand Port"/>
    <s v="Trois Boutiques"/>
    <n v="58322010"/>
    <s v="Nab-Makeup"/>
    <x v="30"/>
    <d v="2025-06-16T00:00:00"/>
    <n v="150"/>
    <d v="2025-07-02T00:00:00"/>
    <m/>
  </r>
  <r>
    <s v="Sheshna Chukowry"/>
    <s v="Siding Road, New Grove"/>
    <s v="Grand Port"/>
    <s v="New Grove"/>
    <n v="58319014"/>
    <s v="Nab-Makeup"/>
    <x v="30"/>
    <d v="2025-06-16T00:00:00"/>
    <n v="150"/>
    <d v="2025-07-02T00:00:00"/>
    <m/>
  </r>
  <r>
    <s v="Mariam Bhoyro"/>
    <s v="5 Avenue Cretin Lane, Camp-Levieux, Rose-Hill"/>
    <s v="Plaines Wilhems"/>
    <s v="Rose Hill"/>
    <n v="58112505"/>
    <s v="Nab-Makeup"/>
    <x v="30"/>
    <d v="2025-06-23T00:00:00"/>
    <n v="150"/>
    <d v="2025-07-02T00:00:00"/>
    <m/>
  </r>
  <r>
    <s v="Shazia Sulliman"/>
    <s v="Route Militaire, Port Louis"/>
    <s v="Port Louis"/>
    <s v="Port Louis"/>
    <n v="57127869"/>
    <s v="Nab-Makeup"/>
    <x v="30"/>
    <d v="2025-06-16T00:00:00"/>
    <n v="150"/>
    <d v="2025-07-02T00:00:00"/>
    <m/>
  </r>
  <r>
    <s v="Ms Shifa Hooboyekhan"/>
    <s v="Ave. Veerasamy Iyer, Morcellement Raffray, Le Hochet, Terre Rouge"/>
    <s v="Pamplemousses"/>
    <s v="Terre Rouge"/>
    <n v="54959166"/>
    <s v="Nab-Makeup"/>
    <x v="30"/>
    <d v="2025-06-16T00:00:00"/>
    <n v="150"/>
    <d v="2025-07-02T00:00:00"/>
    <m/>
  </r>
  <r>
    <s v="Sanjuna Bablee"/>
    <s v="Kingsavers, Solferino, Vacoas"/>
    <s v="Plaines Wilhems"/>
    <s v="Vacoas"/>
    <n v="58076395"/>
    <s v="Nab-Makeup"/>
    <x v="30"/>
    <d v="2025-06-16T00:00:00"/>
    <n v="150"/>
    <d v="2025-07-02T00:00:00"/>
    <m/>
  </r>
  <r>
    <s v="Sheina Maudarbaccus"/>
    <s v="Ebene Tower, Ministry of Housing"/>
    <s v="Plaines Wilhems"/>
    <s v="Ebene"/>
    <n v="57969252"/>
    <s v="Nab-Makeup"/>
    <x v="30"/>
    <d v="2025-06-16T00:00:00"/>
    <n v="150"/>
    <d v="2025-07-02T00:00:00"/>
    <m/>
  </r>
  <r>
    <s v="Haajerah Imrit"/>
    <s v="113 Avenue Ollier, Rose Hill"/>
    <s v="Plaines Wilhems"/>
    <s v="Rose Hill"/>
    <s v="59225275 / 52505311"/>
    <s v="Nab-Makeup"/>
    <x v="30"/>
    <d v="2025-06-16T00:00:00"/>
    <n v="150"/>
    <d v="2025-07-02T00:00:00"/>
    <m/>
  </r>
  <r>
    <s v="Nabila Fauzee"/>
    <s v="27 Willoughby Street, Curepipe"/>
    <s v="Plaines Wilhems"/>
    <s v="Curepipe"/>
    <n v="59898669"/>
    <s v="Nab-Makeup"/>
    <x v="30"/>
    <d v="2025-06-16T00:00:00"/>
    <n v="150"/>
    <d v="2025-07-02T00:00:00"/>
    <m/>
  </r>
  <r>
    <s v="Imran Jhumunn"/>
    <s v="Royal Road, Montagne Blanche"/>
    <s v="Flacq"/>
    <s v="Montagne Blanche"/>
    <n v="57575292"/>
    <s v="Nab-Makeup"/>
    <x v="30"/>
    <d v="2025-06-16T00:00:00"/>
    <n v="150"/>
    <d v="2025-07-02T00:00:00"/>
    <m/>
  </r>
  <r>
    <s v="Mrs Chandrika Nepaul"/>
    <s v="Telecom Shop, Flacq Super U"/>
    <s v="Flacq"/>
    <s v="Flacq"/>
    <n v="52556300"/>
    <s v="Nab-Makeup"/>
    <x v="30"/>
    <d v="2025-06-16T00:00:00"/>
    <n v="150"/>
    <d v="2025-07-02T00:00:00"/>
    <m/>
  </r>
  <r>
    <s v="Mohamoodally Aisha"/>
    <s v="Morcellement Les Frangipanes, Circonstance, St Pierre"/>
    <s v="Moka"/>
    <s v="St Pierre"/>
    <n v="58192376"/>
    <s v="Nab-Makeup"/>
    <x v="30"/>
    <d v="2025-06-16T00:00:00"/>
    <n v="150"/>
    <d v="2025-07-02T00:00:00"/>
    <m/>
  </r>
  <r>
    <s v="Keshini Polegadoo"/>
    <s v="Orchidée Street, Chateau Benares"/>
    <s v="Savanne"/>
    <s v="Rivière des Anguilles"/>
    <n v="57491001"/>
    <s v="Nab-Makeup"/>
    <x v="30"/>
    <d v="2025-06-16T00:00:00"/>
    <n v="150"/>
    <d v="2025-07-02T00:00:00"/>
    <m/>
  </r>
  <r>
    <s v="Noor-E Muazzamah Peerboccus"/>
    <s v="79 Avenue Victoria, Quatre Bornes"/>
    <s v="Plaines Wilhems"/>
    <s v="Quatre Bornes"/>
    <n v="58025986"/>
    <s v="Nab-Makeup"/>
    <x v="30"/>
    <d v="2025-06-16T00:00:00"/>
    <n v="150"/>
    <d v="2025-07-02T00:00:00"/>
    <m/>
  </r>
  <r>
    <s v="Harshinee Devi Luchmun"/>
    <s v="Royal Road, Belle Vue Maurel"/>
    <s v="Rivière du Rempart"/>
    <s v="Belle Vue Maurel"/>
    <n v="59025676"/>
    <s v="Nab-Makeup"/>
    <x v="30"/>
    <d v="2025-06-16T00:00:00"/>
    <n v="150"/>
    <d v="2025-07-02T00:00:00"/>
    <m/>
  </r>
  <r>
    <s v="Karishma Mungur"/>
    <s v="Royal Road, Roche Terre, Grand Gaube"/>
    <s v="Rivière du Rempart"/>
    <s v="Roche Terre"/>
    <n v="57011275"/>
    <s v="Nab-Makeup"/>
    <x v="30"/>
    <d v="2025-06-16T00:00:00"/>
    <n v="150"/>
    <d v="2025-07-02T00:00:00"/>
    <m/>
  </r>
  <r>
    <s v="Mojhoa Khonisha"/>
    <s v="Suite No. 1, Blue Ocean Building, One Way Street, Saint Pierre"/>
    <s v="Moka"/>
    <s v="St Pierre"/>
    <n v="54913161"/>
    <s v="Nab-Makeup"/>
    <x v="30"/>
    <d v="2025-06-16T00:00:00"/>
    <n v="150"/>
    <d v="2025-07-02T00:00:00"/>
    <m/>
  </r>
  <r>
    <s v="Meeshita Teetaree"/>
    <s v="Charbon Lane, Montagne Blanche"/>
    <s v="Flacq"/>
    <s v="Montagne Blanche"/>
    <n v="57560789"/>
    <s v="Nab-Makeup"/>
    <x v="30"/>
    <d v="2025-06-16T00:00:00"/>
    <n v="150"/>
    <d v="2025-07-02T00:00:00"/>
    <m/>
  </r>
  <r>
    <s v="Emilie Coret"/>
    <s v="EURO CRM, Mahatma Gandhi Avenue, Moka"/>
    <s v="Moka"/>
    <s v="Moka"/>
    <n v="57180789"/>
    <s v="Little Star Boutique"/>
    <x v="31"/>
    <d v="2025-06-16T00:00:00"/>
    <n v="75"/>
    <d v="2025-07-02T00:00:00"/>
    <s v="COD: 1205"/>
  </r>
  <r>
    <s v="Adam"/>
    <s v="Souillac"/>
    <s v="Savanne"/>
    <s v="Souillac"/>
    <n v="54566417"/>
    <s v="May's Shop"/>
    <x v="31"/>
    <d v="2025-06-16T00:00:00"/>
    <n v="150"/>
    <d v="2025-07-02T00:00:00"/>
    <s v="COD: 1150"/>
  </r>
  <r>
    <s v="Saniyah Beg"/>
    <s v="Charles Telfair, Moka"/>
    <s v="Moka"/>
    <s v="Moka"/>
    <n v="58328460"/>
    <s v="Luxe Miniatures"/>
    <x v="29"/>
    <d v="2025-06-16T00:00:00"/>
    <n v="150"/>
    <d v="2025-07-02T00:00:00"/>
    <s v="COD: 2150"/>
  </r>
  <r>
    <s v="Adilah Peerbocus"/>
    <s v="Nexteracom Building, Ebene"/>
    <s v="Plaines Wilhems"/>
    <s v="Ebene"/>
    <n v="59863415"/>
    <s v="Luxe Miniatures"/>
    <x v="29"/>
    <s v="Cancelled"/>
    <n v="150"/>
    <d v="2025-07-02T00:00:00"/>
    <s v="I went there twice"/>
  </r>
  <r>
    <s v="Sephora Axecelle"/>
    <s v="St Hilaire, Mahebourg"/>
    <s v="Grand Port"/>
    <s v="Mahebourg"/>
    <n v="58559921"/>
    <s v="Luxe Miniatures"/>
    <x v="29"/>
    <s v="Cancelled"/>
    <n v="0"/>
    <s v="Cancelled"/>
    <s v="Returned to Seller"/>
  </r>
  <r>
    <s v="Soormah Bussooa"/>
    <s v="Petite Pointe Aux Piment"/>
    <s v="North"/>
    <s v="Petite Pointe Aux Piment"/>
    <n v="57489546"/>
    <s v="OKASINA"/>
    <x v="30"/>
    <d v="2025-06-16T00:00:00"/>
    <n v="150"/>
    <d v="2025-07-02T00:00:00"/>
    <s v="COD: 4750"/>
  </r>
  <r>
    <s v="Adiilah Muhammad"/>
    <s v="17, Madura Street, Port Louis"/>
    <s v="Port Louis"/>
    <s v="Port Louis"/>
    <n v="59278432"/>
    <s v="OKASINA"/>
    <x v="30"/>
    <d v="2025-06-16T00:00:00"/>
    <n v="150"/>
    <d v="2025-07-02T00:00:00"/>
    <s v="COD: 4800"/>
  </r>
  <r>
    <s v="Adiilah Dhunny"/>
    <s v="No. 2 Bonnefin, Pailles or Ebene"/>
    <s v="Port Louis"/>
    <s v="Pailles"/>
    <n v="57060726"/>
    <s v="Nab-Makeup"/>
    <x v="32"/>
    <d v="2025-06-20T00:00:00"/>
    <n v="150"/>
    <d v="2025-07-02T00:00:00"/>
    <m/>
  </r>
  <r>
    <s v="Amish Bhugowandeen"/>
    <s v="4 Bancilhon Street, Port Louis (opposite Radio Plus)"/>
    <s v="Port Louis"/>
    <s v="Port Louis"/>
    <n v="58212856"/>
    <s v="Nab-Makeup"/>
    <x v="32"/>
    <d v="2025-06-20T00:00:00"/>
    <n v="150"/>
    <d v="2025-07-02T00:00:00"/>
    <m/>
  </r>
  <r>
    <s v="Beatrice Chan Neng"/>
    <s v="Leoville Lhomme Street, Port Louis (next to Burger King)"/>
    <s v="Port Louis"/>
    <s v="Port Louis"/>
    <n v="57030129"/>
    <s v="Nab-Makeup"/>
    <x v="32"/>
    <d v="2025-06-20T00:00:00"/>
    <n v="150"/>
    <d v="2025-07-02T00:00:00"/>
    <m/>
  </r>
  <r>
    <s v="Bibi Aisha Khodabocus"/>
    <s v="Ferani Autoparts, Eau Coulée"/>
    <s v="Plaines Wilhems"/>
    <s v="Eau Coulee"/>
    <s v="57454529 / 58960779"/>
    <s v="Nab-Makeup"/>
    <x v="32"/>
    <d v="2025-06-20T00:00:00"/>
    <n v="150"/>
    <d v="2025-07-02T00:00:00"/>
    <m/>
  </r>
  <r>
    <s v="Deepika Jeetun"/>
    <s v="Royal Road, Valton, Long Mountain"/>
    <s v="Pamplemousses"/>
    <s v="Long Mountain"/>
    <n v="59071536"/>
    <s v="Nab-Makeup"/>
    <x v="32"/>
    <d v="2025-06-20T00:00:00"/>
    <n v="150"/>
    <d v="2025-07-02T00:00:00"/>
    <m/>
  </r>
  <r>
    <s v="Dhanista Dookhoa"/>
    <s v="Plot 8, Morcellement Konjoo, Plaine des Papayes"/>
    <s v="Pamplemousses"/>
    <s v="Plaine des Papayes"/>
    <n v="58101958"/>
    <s v="Nab-Makeup"/>
    <x v="32"/>
    <d v="2025-06-20T00:00:00"/>
    <n v="150"/>
    <d v="2025-07-02T00:00:00"/>
    <m/>
  </r>
  <r>
    <s v="Farahnaaz Modoolla"/>
    <s v="Cocotier 2, Parisot, Mesnil"/>
    <s v="Moka"/>
    <s v="Mesnil"/>
    <n v="57809971"/>
    <s v="OKASINA"/>
    <x v="32"/>
    <d v="2025-06-20T00:00:00"/>
    <n v="150"/>
    <d v="2025-07-02T00:00:00"/>
    <m/>
  </r>
  <r>
    <s v="Faranaz Handally"/>
    <s v="Henrietta, Camp Belin"/>
    <s v="Plaines Wilhems"/>
    <s v="Henrietta"/>
    <n v="59824965"/>
    <s v="Nab-Makeup"/>
    <x v="32"/>
    <d v="2025-06-20T00:00:00"/>
    <n v="150"/>
    <d v="2025-07-02T00:00:00"/>
    <m/>
  </r>
  <r>
    <s v="Hadeeya Aungnoo"/>
    <s v="Old Savanne Road, Grand Bois"/>
    <s v="Savanne"/>
    <s v="Grand Bois"/>
    <n v="57841073"/>
    <s v="Nab-Makeup"/>
    <x v="32"/>
    <d v="2025-06-23T00:00:00"/>
    <n v="150"/>
    <d v="2025-07-02T00:00:00"/>
    <m/>
  </r>
  <r>
    <s v="Hadiyyah Khodabocus"/>
    <s v="16 Harris Street, Port Louis"/>
    <s v="Port Louis"/>
    <s v="Port Louis"/>
    <n v="58598902"/>
    <s v="Nab-Makeup"/>
    <x v="32"/>
    <d v="2025-06-20T00:00:00"/>
    <n v="150"/>
    <d v="2025-07-02T00:00:00"/>
    <m/>
  </r>
  <r>
    <s v="Hajrah Neeroo"/>
    <s v="41 Paul Taureau, Port Louis"/>
    <s v="Port Louis"/>
    <s v="Port Louis"/>
    <n v="59396749"/>
    <s v="Nab-Makeup"/>
    <x v="32"/>
    <d v="2025-06-20T00:00:00"/>
    <n v="150"/>
    <d v="2025-07-02T00:00:00"/>
    <m/>
  </r>
  <r>
    <s v="Inlex Mea"/>
    <s v="The Trademark Building, 1st Floor - Office 1-04, Telfair 80829, Moka"/>
    <s v="Moka"/>
    <s v="Moka"/>
    <n v="59791131"/>
    <s v="Nab-Makeup"/>
    <x v="32"/>
    <d v="2025-06-20T00:00:00"/>
    <n v="150"/>
    <d v="2025-07-02T00:00:00"/>
    <m/>
  </r>
  <r>
    <s v="Jenna Camille"/>
    <s v="Nicoliere Road, Block D2, Saint Pierre"/>
    <s v="Moka"/>
    <s v="Saint Pierre"/>
    <n v="52587154"/>
    <s v="Nab-Makeup"/>
    <x v="32"/>
    <d v="2025-06-20T00:00:00"/>
    <n v="150"/>
    <d v="2025-07-02T00:00:00"/>
    <m/>
  </r>
  <r>
    <s v="Joomun Sheikh Ibraahiim"/>
    <s v="Royal Road, Brisée Verdière"/>
    <s v="Flacq"/>
    <s v="Brisée Verdiere"/>
    <n v="58048801"/>
    <s v="Nab-Makeup"/>
    <x v="32"/>
    <d v="2025-06-20T00:00:00"/>
    <n v="150"/>
    <d v="2025-07-02T00:00:00"/>
    <m/>
  </r>
  <r>
    <s v="Joysheena Tuyau"/>
    <s v="Football Ground Lane, Chemin La Mare, L'Agrément, St Pierre"/>
    <s v="Moka"/>
    <s v="St Pierre"/>
    <n v="59255067"/>
    <s v="Nab-Makeup"/>
    <x v="32"/>
    <d v="2025-06-20T00:00:00"/>
    <n v="150"/>
    <d v="2025-07-02T00:00:00"/>
    <m/>
  </r>
  <r>
    <s v="Kelly Li Shing Cheong"/>
    <s v="219 Avenue Mgr Leen, Bassin, Quatre Bornes"/>
    <s v="Plaines Wilhems"/>
    <s v="Quatre Bornes"/>
    <n v="57018344"/>
    <s v="Nab-Makeup"/>
    <x v="32"/>
    <d v="2025-06-20T00:00:00"/>
    <n v="150"/>
    <d v="2025-07-02T00:00:00"/>
    <m/>
  </r>
  <r>
    <s v="Lalloo Celina"/>
    <s v="Hospital Road, Arsenal"/>
    <s v="Pamplemousses"/>
    <s v="Arsenal"/>
    <n v="57603737"/>
    <s v="Nab-Makeup"/>
    <x v="32"/>
    <d v="2025-06-23T00:00:00"/>
    <n v="150"/>
    <d v="2025-07-02T00:00:00"/>
    <m/>
  </r>
  <r>
    <s v="Lavena Kumar"/>
    <s v="Ayodhya Lane, Trois Boutiques, Union Vale"/>
    <s v="Grand Port"/>
    <s v="Trois Boutiques"/>
    <n v="57637943"/>
    <s v="Nab-Makeup"/>
    <x v="32"/>
    <d v="2025-06-23T00:00:00"/>
    <n v="150"/>
    <d v="2025-07-02T00:00:00"/>
    <m/>
  </r>
  <r>
    <s v="Mohisha Choytah"/>
    <s v="Hermitage Branch Road, Camp Fouquereaux, Phoenix"/>
    <s v="Plaines Wilhems"/>
    <s v="Phoenix"/>
    <n v="57510048"/>
    <s v="Nab-Makeup"/>
    <x v="32"/>
    <d v="2025-06-20T00:00:00"/>
    <n v="150"/>
    <d v="2025-07-02T00:00:00"/>
    <m/>
  </r>
  <r>
    <s v="Mohun Keshika"/>
    <s v="Nexteracom 1, Ebene"/>
    <s v="Plaines Wilhems"/>
    <s v="Ebene"/>
    <n v="58293056"/>
    <s v="Nab-Makeup"/>
    <x v="32"/>
    <d v="2025-06-20T00:00:00"/>
    <n v="150"/>
    <d v="2025-07-02T00:00:00"/>
    <m/>
  </r>
  <r>
    <s v="Nathalie Ramsaran"/>
    <s v="Royal Road, Grand Pointe aux Piments"/>
    <s v="Pamplemousses"/>
    <s v="Pointe Aux Piments"/>
    <n v="58101472"/>
    <s v="Nab-Makeup"/>
    <x v="32"/>
    <d v="2025-06-20T00:00:00"/>
    <n v="150"/>
    <d v="2025-07-02T00:00:00"/>
    <m/>
  </r>
  <r>
    <s v="Neelam Ebrahim"/>
    <s v="7b, Abbe Mazuy St, Beau Bassin"/>
    <s v="Plaines Wilhems"/>
    <s v="Beau Bassin"/>
    <n v="57836495"/>
    <s v="Nab-Makeup"/>
    <x v="32"/>
    <d v="2025-06-20T00:00:00"/>
    <n v="150"/>
    <d v="2025-07-02T00:00:00"/>
    <m/>
  </r>
  <r>
    <s v="Noemie Berthelot"/>
    <s v="9 Rue Balgobin, Roches Brunes"/>
    <s v="Plaines Wilhems"/>
    <s v="Roches Brunes"/>
    <n v="54522991"/>
    <s v="Nab-Makeup"/>
    <x v="32"/>
    <d v="2025-06-20T00:00:00"/>
    <n v="150"/>
    <d v="2025-07-02T00:00:00"/>
    <m/>
  </r>
  <r>
    <s v="Nundini Bysooa"/>
    <s v="Royal Road, Isidore-Rose"/>
    <s v="Moka"/>
    <s v="Isidore-Rose"/>
    <n v="57651014"/>
    <s v="Nab-Makeup"/>
    <x v="32"/>
    <d v="2025-06-20T00:00:00"/>
    <n v="150"/>
    <d v="2025-07-02T00:00:00"/>
    <m/>
  </r>
  <r>
    <s v="Parveen Meerun"/>
    <s v="12 Avenue Broad, Belle Rose"/>
    <s v="Plaines Wilhems"/>
    <s v="Belle Rose"/>
    <n v="58802726"/>
    <s v="Nab-Makeup"/>
    <x v="32"/>
    <d v="2025-06-20T00:00:00"/>
    <n v="150"/>
    <d v="2025-07-02T00:00:00"/>
    <m/>
  </r>
  <r>
    <s v="Pooja Somai"/>
    <s v="Royal Road, Paillote, Quatre Bornes"/>
    <s v="Plaines Wilhems"/>
    <s v="Quatre Bornes"/>
    <n v="58141383"/>
    <s v="Nab-Makeup"/>
    <x v="32"/>
    <d v="2025-06-20T00:00:00"/>
    <n v="150"/>
    <d v="2025-07-02T00:00:00"/>
    <m/>
  </r>
  <r>
    <s v="Preety Roy"/>
    <s v="Avenue Panchoo, Rose Hill"/>
    <s v="Plaines Wilhems"/>
    <s v="Rose Hill"/>
    <n v="57750086"/>
    <s v="Nab-Makeup"/>
    <x v="32"/>
    <d v="2025-06-20T00:00:00"/>
    <n v="150"/>
    <d v="2025-07-02T00:00:00"/>
    <m/>
  </r>
  <r>
    <s v="Shreeya Bhurtun"/>
    <s v="Creve Coeur, Tulsidas St"/>
    <s v="Moka"/>
    <s v="Creve Coeur"/>
    <n v="57535420"/>
    <s v="Nab-Makeup"/>
    <x v="32"/>
    <d v="2025-06-20T00:00:00"/>
    <n v="150"/>
    <d v="2025-07-02T00:00:00"/>
    <m/>
  </r>
  <r>
    <s v="Tania Narsou"/>
    <s v="B12, NHCD, Britannia"/>
    <s v="Savanne"/>
    <s v="Britannia"/>
    <n v="57672610"/>
    <s v="Nab-Makeup"/>
    <x v="32"/>
    <d v="2025-06-20T00:00:00"/>
    <n v="150"/>
    <d v="2025-07-02T00:00:00"/>
    <m/>
  </r>
  <r>
    <s v="Tanuja Canhye"/>
    <s v="Appadoo Lane, Bassin Road, Quatre Bornes"/>
    <s v="Plaines Wilhems"/>
    <s v="Quatre Bornes"/>
    <n v="57925574"/>
    <s v="Nab-Makeup"/>
    <x v="32"/>
    <d v="2025-06-23T00:00:00"/>
    <n v="150"/>
    <d v="2025-07-02T00:00:00"/>
    <m/>
  </r>
  <r>
    <s v="Tirkita Shamlall"/>
    <s v="Savanne Road, Nouvelle France"/>
    <s v="Grand Port"/>
    <s v="Nouvelle France"/>
    <s v="59452757 / 57068044"/>
    <s v="Nab-Makeup"/>
    <x v="32"/>
    <d v="2025-06-20T00:00:00"/>
    <n v="150"/>
    <d v="2025-07-02T00:00:00"/>
    <m/>
  </r>
  <r>
    <s v="Zarine Raja"/>
    <s v="Mauritius Telecom, Phoenix Mall"/>
    <s v="Plaines Wilhems"/>
    <s v="Phoenix"/>
    <n v="57777866"/>
    <s v="Nab-Makeup"/>
    <x v="32"/>
    <d v="2025-06-20T00:00:00"/>
    <n v="150"/>
    <d v="2025-07-02T00:00:00"/>
    <m/>
  </r>
  <r>
    <s v="Shiya"/>
    <s v="Body and soul"/>
    <s v="Riche Terre Mall"/>
    <s v="Riche Terre"/>
    <n v="58108447"/>
    <s v="Glow And Aura"/>
    <x v="33"/>
    <d v="2025-06-20T00:00:00"/>
    <n v="150"/>
    <d v="2025-07-02T00:00:00"/>
    <s v="Rs 400"/>
  </r>
  <r>
    <s v="Wardah"/>
    <s v="La Rue des Forges"/>
    <s v="near Body and Soul"/>
    <s v="Port Louis"/>
    <n v="57692760"/>
    <s v="Glow And Aura"/>
    <x v="33"/>
    <d v="2025-06-20T00:00:00"/>
    <n v="150"/>
    <d v="2025-07-02T00:00:00"/>
    <s v="Rs 400"/>
  </r>
  <r>
    <s v="Zahrah Emambocus"/>
    <s v="Gros Billot"/>
    <s v="South"/>
    <s v="New Grove"/>
    <n v="57594752"/>
    <s v="Glow And Aura"/>
    <x v="33"/>
    <d v="2025-06-20T00:00:00"/>
    <n v="150"/>
    <d v="2025-07-02T00:00:00"/>
    <s v="Rs 400"/>
  </r>
  <r>
    <s v="Teejusvi"/>
    <s v="Quatre Bornes"/>
    <s v="Plaines Wilhems"/>
    <s v="Quatre Bornes"/>
    <n v="59655883"/>
    <s v="Glow And Aura"/>
    <x v="33"/>
    <d v="2025-06-20T00:00:00"/>
    <n v="150"/>
    <d v="2025-07-02T00:00:00"/>
    <m/>
  </r>
  <r>
    <s v="Sabeeha"/>
    <s v="78, Alma Road"/>
    <s v="Vallee Pitot"/>
    <s v="Port Louis"/>
    <n v="57881220"/>
    <s v="Glow And Aura"/>
    <x v="33"/>
    <d v="2025-06-20T00:00:00"/>
    <n v="150"/>
    <d v="2025-07-02T00:00:00"/>
    <m/>
  </r>
  <r>
    <s v="Nushruth"/>
    <s v="Panchoo Plateau rd"/>
    <s v="Goodlands"/>
    <s v="Goodlands"/>
    <n v="57772982"/>
    <s v="Glow And Aura"/>
    <x v="33"/>
    <d v="2025-06-20T00:00:00"/>
    <n v="150"/>
    <d v="2025-07-02T00:00:00"/>
    <m/>
  </r>
  <r>
    <s v="Khushi Boyjoonauth"/>
    <s v="Palmar"/>
    <s v="East"/>
    <s v="Palmar"/>
    <n v="55329029"/>
    <s v="Glow And Aura"/>
    <x v="33"/>
    <s v="Cancelled"/>
    <n v="150"/>
    <d v="2025-07-02T00:00:00"/>
    <s v="I went there twice"/>
  </r>
  <r>
    <s v="Mme Mootoosamy"/>
    <s v="Mare D'Albert next to governmnt school."/>
    <s v="South"/>
    <s v="Mare D'Albert"/>
    <n v="59229803"/>
    <s v="May's Shop"/>
    <x v="33"/>
    <d v="2025-06-23T00:00:00"/>
    <n v="150"/>
    <d v="2025-07-02T00:00:00"/>
    <s v="1150rs"/>
  </r>
  <r>
    <s v="Zahraa Hosenally"/>
    <s v="Gros billot road rose belle"/>
    <s v="Rosebelle"/>
    <s v="Gros Billot"/>
    <n v="57738283"/>
    <s v="Nab-Makeup"/>
    <x v="33"/>
    <d v="2025-06-20T00:00:00"/>
    <n v="150"/>
    <d v="2025-07-02T00:00:00"/>
    <m/>
  </r>
  <r>
    <s v="Tahmina Ramjeet "/>
    <s v="Cim Finance Edith Cavelle "/>
    <s v="Port Louis"/>
    <s v="Port Louis"/>
    <n v="58358926"/>
    <s v="Luxe Miniatures"/>
    <x v="33"/>
    <d v="2025-06-20T00:00:00"/>
    <n v="150"/>
    <d v="2025-07-02T00:00:00"/>
    <m/>
  </r>
  <r>
    <s v="Hanifa Suffee"/>
    <s v="Avenue Autriche, Morcellement Saint Antoine, Goodlands"/>
    <s v="Morcellement Saint Antoine"/>
    <s v="Goodlands"/>
    <n v="57956063"/>
    <s v="Nab-Makeup"/>
    <x v="34"/>
    <d v="2025-06-23T00:00:00"/>
    <n v="150"/>
    <d v="2025-07-02T00:00:00"/>
    <m/>
  </r>
  <r>
    <s v="Anousha Heeramun"/>
    <s v="Vacoas Road Mon Desir Solferino Vacoas"/>
    <s v="Vacoas"/>
    <s v="Vacoas"/>
    <n v="57570258"/>
    <s v="Nab-Makeup"/>
    <x v="34"/>
    <d v="2025-06-23T00:00:00"/>
    <n v="150"/>
    <d v="2025-07-02T00:00:00"/>
    <m/>
  </r>
  <r>
    <s v="Preety Roy"/>
    <s v="Avenue Panchoo, Rose Hill"/>
    <s v="Avenue Panchoo"/>
    <s v="Rose Hill"/>
    <n v="57750086"/>
    <s v="Nab-Makeup"/>
    <x v="34"/>
    <d v="2025-06-23T00:00:00"/>
    <n v="150"/>
    <d v="2025-07-02T00:00:00"/>
    <m/>
  </r>
  <r>
    <s v="Seewoobudut Looshna"/>
    <s v="Social Welfare Centre Lane, Mt Blanche"/>
    <s v="Social Welfare Centre Lane"/>
    <s v="Montagne Blanche"/>
    <n v="58285831"/>
    <s v="Nab-Makeup"/>
    <x v="34"/>
    <d v="2025-06-23T00:00:00"/>
    <n v="150"/>
    <d v="2025-07-02T00:00:00"/>
    <m/>
  </r>
  <r>
    <s v="Sheekha Mooneesamy"/>
    <s v="School Lane, Trois Boutique, Chemin Save Max"/>
    <s v="Chemin Save Max"/>
    <s v="Trois Boutique"/>
    <n v="57984509"/>
    <s v="Nab-Makeup"/>
    <x v="34"/>
    <d v="2025-06-23T00:00:00"/>
    <n v="150"/>
    <d v="2025-07-02T00:00:00"/>
    <m/>
  </r>
  <r>
    <s v="Bibi Samira Ameenah"/>
    <s v="Pavillon Road, Cap-Malheureux"/>
    <s v="Pavillon Road"/>
    <s v="Cap Malheureux"/>
    <n v="54873998"/>
    <s v="Nab-Makeup"/>
    <x v="34"/>
    <d v="2025-06-23T00:00:00"/>
    <n v="150"/>
    <d v="2025-07-02T00:00:00"/>
    <m/>
  </r>
  <r>
    <s v="Bhavna Boudou"/>
    <s v="Hospital Road, Highlands, Phoenix"/>
    <s v="Highlands"/>
    <s v="Phoenix"/>
    <n v="57976043"/>
    <s v="Nab-Makeup"/>
    <x v="34"/>
    <d v="2025-06-23T00:00:00"/>
    <n v="150"/>
    <d v="2025-07-02T00:00:00"/>
    <m/>
  </r>
  <r>
    <s v="Lovena Sadasing"/>
    <s v="Royal Road, Bois Cheri"/>
    <s v="Royal Road"/>
    <s v="Bois Cheri"/>
    <n v="59255489"/>
    <s v="Nab-Makeup"/>
    <x v="34"/>
    <d v="2025-06-23T00:00:00"/>
    <n v="150"/>
    <d v="2025-07-02T00:00:00"/>
    <m/>
  </r>
  <r>
    <s v="Naziba Elaheebocus"/>
    <s v="Royal Road, Goodlands"/>
    <s v="Royal Road"/>
    <s v="Goodlands"/>
    <n v="57633463"/>
    <s v="Nab-Makeup"/>
    <x v="34"/>
    <d v="2025-06-23T00:00:00"/>
    <n v="150"/>
    <d v="2025-07-02T00:00:00"/>
    <m/>
  </r>
  <r>
    <s v="Tania Arnachellum"/>
    <s v="Roblet Lane, Morcellement Algomar, Roches Brunes, Beau Bassin"/>
    <s v="Roches Brunes"/>
    <s v="Beau Bassin"/>
    <n v="57960205"/>
    <s v="Nab-Makeup"/>
    <x v="34"/>
    <d v="2025-06-23T00:00:00"/>
    <n v="150"/>
    <d v="2025-07-02T00:00:00"/>
    <m/>
  </r>
  <r>
    <s v="Leena Vanisha Lily"/>
    <s v="52 Anthurium Road, Beau-Vallon, Mahebourg"/>
    <s v="Beau-Vallon"/>
    <s v="Mahebourg"/>
    <n v="58594308"/>
    <s v="Nab-Makeup"/>
    <x v="34"/>
    <d v="2025-06-23T00:00:00"/>
    <n v="150"/>
    <d v="2025-07-02T00:00:00"/>
    <m/>
  </r>
  <r>
    <s v="Ashna Gajadhur"/>
    <s v="Belle Terre Road, Highlands"/>
    <s v="Belle Terre Road"/>
    <s v="Highlands"/>
    <n v="58820524"/>
    <s v="Nab-Makeup"/>
    <x v="34"/>
    <d v="2025-06-23T00:00:00"/>
    <n v="150"/>
    <d v="2025-07-02T00:00:00"/>
    <m/>
  </r>
  <r>
    <s v="Neha Seetaram"/>
    <s v="La Marie Road, Vacoas"/>
    <s v="La Marie Road"/>
    <s v="Vacoas"/>
    <n v="58166108"/>
    <s v="Nab-Makeup"/>
    <x v="34"/>
    <d v="2025-06-23T00:00:00"/>
    <n v="150"/>
    <d v="2025-07-02T00:00:00"/>
    <m/>
  </r>
  <r>
    <s v="Sajja Kawshar Moideen"/>
    <s v="Gulzare Madina Road, Belvedere, Lalmatie"/>
    <s v="Belvedere"/>
    <s v="Lallmatie"/>
    <n v="57801348"/>
    <s v="Nab-Makeup"/>
    <x v="34"/>
    <d v="2025-06-23T00:00:00"/>
    <n v="150"/>
    <d v="2025-07-02T00:00:00"/>
    <m/>
  </r>
  <r>
    <s v="Mrgnaini Toolsy"/>
    <s v="Ebene Nexteracom Tower 1, Near DHL, Ebene"/>
    <s v="Near DHL"/>
    <s v="Ebene"/>
    <n v="57577097"/>
    <s v="Nab-Makeup"/>
    <x v="34"/>
    <d v="2025-06-26T00:00:00"/>
    <n v="150"/>
    <d v="2025-07-02T00:00:00"/>
    <m/>
  </r>
  <r>
    <s v="Dhruv Bharosay"/>
    <s v="Royal Road, Riche Mare, Flacq"/>
    <s v="Riche Mare"/>
    <s v="Flacq"/>
    <n v="58181718"/>
    <s v="Nab-Makeup"/>
    <x v="34"/>
    <d v="2025-06-23T00:00:00"/>
    <n v="150"/>
    <d v="2025-07-02T00:00:00"/>
    <m/>
  </r>
  <r>
    <s v="Vanisha Conjamalay"/>
    <s v="Dodo Lane, St Julien d’Hotman"/>
    <s v="Dodo Lane"/>
    <s v="St Julien d’Hotman"/>
    <n v="57941096"/>
    <s v="Nab-Makeup"/>
    <x v="34"/>
    <d v="2025-06-23T00:00:00"/>
    <n v="150"/>
    <d v="2025-07-02T00:00:00"/>
    <m/>
  </r>
  <r>
    <s v="Stacy Azie"/>
    <s v="Ramjutun Road, Baie du Cap"/>
    <s v="Ramjutun Road"/>
    <s v="Baie du Cap"/>
    <n v="55123123"/>
    <s v="Nab-Makeup"/>
    <x v="34"/>
    <d v="2025-06-23T00:00:00"/>
    <n v="150"/>
    <d v="2025-07-02T00:00:00"/>
    <m/>
  </r>
  <r>
    <s v="Akshita Seewoodoyal"/>
    <s v="To be delivered at MauBank Head Office, Bank Street, Ebene"/>
    <s v="Bank Street"/>
    <s v="Ebene"/>
    <n v="57512717"/>
    <s v="Nab-Makeup"/>
    <x v="34"/>
    <d v="2025-06-23T00:00:00"/>
    <n v="150"/>
    <d v="2025-07-02T00:00:00"/>
    <m/>
  </r>
  <r>
    <s v="Ganeshwaree Haronia"/>
    <s v="Bhunjun Lane, Mare Tabac"/>
    <s v="Bhunjun Lane"/>
    <s v="Mare Tabac"/>
    <n v="57953690"/>
    <s v="Nab-Makeup"/>
    <x v="34"/>
    <d v="2025-06-23T00:00:00"/>
    <n v="150"/>
    <d v="2025-07-02T00:00:00"/>
    <m/>
  </r>
  <r>
    <s v="Lovena Veerapin"/>
    <s v="Boulet Rouge, Centre de Flacq, Shivala Road, Riche Mare"/>
    <s v="Shivala Road"/>
    <s v="Riche Mare"/>
    <n v="58196379"/>
    <s v="Nab-Makeup"/>
    <x v="34"/>
    <d v="2025-06-23T00:00:00"/>
    <n v="150"/>
    <d v="2025-07-02T00:00:00"/>
    <m/>
  </r>
  <r>
    <s v="Prathna Caunhye"/>
    <s v="Morcellement Savannah, Mare Tabac"/>
    <s v="Morcellement Savannah"/>
    <s v="Mare Tabac"/>
    <n v="57567936"/>
    <s v="Nab-Makeup"/>
    <x v="34"/>
    <d v="2025-06-23T00:00:00"/>
    <n v="150"/>
    <d v="2025-07-02T00:00:00"/>
    <m/>
  </r>
  <r>
    <s v="Aditya Jugnah"/>
    <s v="Royal Road, 8th Mile, Triolet"/>
    <s v="8th Mile"/>
    <s v="Triolet"/>
    <n v="57504291"/>
    <s v="Nab-Makeup"/>
    <x v="34"/>
    <d v="2025-06-26T00:00:00"/>
    <n v="150"/>
    <d v="2025-07-02T00:00:00"/>
    <m/>
  </r>
  <r>
    <s v="Sampreeti Mungur"/>
    <s v="Gaby Lane, Palma, Quatre Bornes"/>
    <s v="Palma"/>
    <s v="Quatre Bornes"/>
    <n v="58207040"/>
    <s v="Nab-Makeup"/>
    <x v="34"/>
    <d v="2025-06-23T00:00:00"/>
    <n v="150"/>
    <d v="2025-07-02T00:00:00"/>
    <m/>
  </r>
  <r>
    <s v="Lazinah Bibi Swadeka Bundhoo"/>
    <s v="50 Mohammad Iqbal Avenue, Phoenix"/>
    <s v="50 Mohammad Iqbal Avenue"/>
    <s v="Phoenix"/>
    <n v="59489795"/>
    <s v="Nab-Makeup"/>
    <x v="34"/>
    <d v="2025-06-23T00:00:00"/>
    <n v="150"/>
    <d v="2025-07-02T00:00:00"/>
    <m/>
  </r>
  <r>
    <s v="Selveena Cundasawmy"/>
    <s v="B41 Avenue Du Travail, Résidence Kennedy, Quatre Bornes"/>
    <s v="Résidence Kennedy"/>
    <s v="Quatre Bornes"/>
    <n v="59236447"/>
    <s v="Nab-Makeup"/>
    <x v="34"/>
    <d v="2025-06-23T00:00:00"/>
    <n v="150"/>
    <d v="2025-07-02T00:00:00"/>
    <m/>
  </r>
  <r>
    <s v="Vanelli Modely Vyapooree"/>
    <s v="Royal Road, Amaury"/>
    <s v="Royal Road"/>
    <s v="Amaury"/>
    <n v="59188047"/>
    <s v="Nab-Makeup"/>
    <x v="34"/>
    <d v="2025-06-23T00:00:00"/>
    <n v="150"/>
    <d v="2025-07-02T00:00:00"/>
    <m/>
  </r>
  <r>
    <s v="Nuzhah Elauhee"/>
    <s v="Tagore Lane, Mesnil"/>
    <s v="Tagore Lane"/>
    <s v="Mesnil"/>
    <n v="57550473"/>
    <s v="Nab-Makeup"/>
    <x v="35"/>
    <d v="2025-06-23T00:00:00"/>
    <n v="150"/>
    <d v="2025-07-02T00:00:00"/>
    <m/>
  </r>
  <r>
    <s v="Yaashna Dusoye"/>
    <s v="Maheshwar Nagri Road, 9th Mile"/>
    <s v="Triolet"/>
    <s v="Triolet"/>
    <n v="57669015"/>
    <s v="Nab-Makeup"/>
    <x v="35"/>
    <d v="2025-06-26T00:00:00"/>
    <n v="150"/>
    <d v="2025-07-02T00:00:00"/>
    <m/>
  </r>
  <r>
    <s v="Lazinah Bibi Swadeka Bundhoo"/>
    <s v="Alexander House (To Exchange product)"/>
    <s v="Ebene"/>
    <s v="Ebene"/>
    <n v="59062663"/>
    <s v="Nab-Makeup"/>
    <x v="35"/>
    <d v="2025-06-26T00:00:00"/>
    <n v="150"/>
    <d v="2025-07-02T00:00:00"/>
    <m/>
  </r>
  <r>
    <s v="Haafiza Rawoo"/>
    <s v="Chemin Village Hall"/>
    <s v="Camp Diable"/>
    <s v="Camp Diable"/>
    <n v="59210075"/>
    <s v="Nab-Makeup"/>
    <x v="35"/>
    <d v="2025-06-26T00:00:00"/>
    <n v="150"/>
    <d v="2025-07-02T00:00:00"/>
    <m/>
  </r>
  <r>
    <s v="Vedushka Rama"/>
    <s v="Royal Road"/>
    <s v="La Marie, Vacoas"/>
    <s v="La Marie"/>
    <n v="57636235"/>
    <s v="Nab-Makeup"/>
    <x v="35"/>
    <d v="2025-06-26T00:00:00"/>
    <n v="150"/>
    <d v="2025-07-02T00:00:00"/>
    <m/>
  </r>
  <r>
    <s v="Shamil Nunhuck"/>
    <s v="Royal Road"/>
    <s v="Mont Ida"/>
    <s v="Mont Ida"/>
    <s v="59704384 / 58487190"/>
    <s v="Nab-Makeup"/>
    <x v="35"/>
    <d v="2025-06-26T00:00:00"/>
    <n v="150"/>
    <d v="2025-07-02T00:00:00"/>
    <m/>
  </r>
  <r>
    <s v="Pratibha Lutchmah"/>
    <s v="Morcellement VRS"/>
    <s v="D'Epinay"/>
    <s v="D'Epinay"/>
    <n v="58164806"/>
    <s v="Nab-Makeup"/>
    <x v="35"/>
    <d v="2025-06-26T00:00:00"/>
    <n v="150"/>
    <d v="2025-07-02T00:00:00"/>
    <m/>
  </r>
  <r>
    <s v="Yeshna Ramguth"/>
    <s v="Royal Road"/>
    <s v="Upper Vale"/>
    <s v="Upper Vale"/>
    <n v="59093180"/>
    <s v="Nab-Makeup"/>
    <x v="35"/>
    <d v="2025-06-26T00:00:00"/>
    <n v="150"/>
    <d v="2025-07-02T00:00:00"/>
    <m/>
  </r>
  <r>
    <s v="Mohisha Choytah"/>
    <s v="Hermitage Branch Road"/>
    <s v="Camp Fouquereaux"/>
    <s v="Phoenix"/>
    <n v="57510048"/>
    <s v="Nab-Makeup"/>
    <x v="35"/>
    <d v="2025-06-26T00:00:00"/>
    <n v="150"/>
    <d v="2025-07-02T00:00:00"/>
    <m/>
  </r>
  <r>
    <s v="Umairah Mandary"/>
    <s v="50, C Canda Lane Stanley"/>
    <s v="Rose Hill"/>
    <s v="Rose Hill"/>
    <n v="58253335"/>
    <s v="Nab-Makeup"/>
    <x v="35"/>
    <d v="2025-06-26T00:00:00"/>
    <n v="150"/>
    <d v="2025-07-02T00:00:00"/>
    <m/>
  </r>
  <r>
    <s v="Shabneez Abdool Khader"/>
    <s v="Parasol Lane, Mont-Fertile"/>
    <s v="New Grove"/>
    <s v="New Grove"/>
    <n v="59273443"/>
    <s v="Nab-Makeup"/>
    <x v="35"/>
    <d v="2025-06-26T00:00:00"/>
    <n v="150"/>
    <d v="2025-07-02T00:00:00"/>
    <m/>
  </r>
  <r>
    <s v="Moorlie Farhaan"/>
    <s v="Montcellement S.I.T"/>
    <s v="Rose Belle"/>
    <s v="Rose Belle"/>
    <n v="58073995"/>
    <s v="Nab-Makeup"/>
    <x v="35"/>
    <d v="2025-06-26T00:00:00"/>
    <n v="150"/>
    <d v="2025-07-02T00:00:00"/>
    <m/>
  </r>
  <r>
    <s v="Nuzhah Elauhee"/>
    <s v="Tagore Lane"/>
    <s v="Mesnil"/>
    <s v="Mesnil"/>
    <n v="57550473"/>
    <s v="Nab-Makeup"/>
    <x v="35"/>
    <d v="2025-06-26T00:00:00"/>
    <n v="150"/>
    <d v="2025-07-02T00:00:00"/>
    <m/>
  </r>
  <r>
    <s v="Fareeha Bassa"/>
    <s v="Rue Flammand"/>
    <s v="Mahebourg"/>
    <s v="Mahebourg"/>
    <n v="58036290"/>
    <s v="Nab-Makeup"/>
    <x v="35"/>
    <d v="2025-06-26T00:00:00"/>
    <n v="150"/>
    <d v="2025-07-02T00:00:00"/>
    <m/>
  </r>
  <r>
    <s v="Zareen Mosafeer / Radiyah"/>
    <s v="Rue Sir Williams Newton Street"/>
    <s v="Port Louis"/>
    <s v="Port Louis"/>
    <n v="58126403"/>
    <s v="Nab-Makeup"/>
    <x v="35"/>
    <d v="2025-06-26T00:00:00"/>
    <n v="150"/>
    <d v="2025-07-02T00:00:00"/>
    <m/>
  </r>
  <r>
    <s v="Kirty Sheoraj"/>
    <s v="Lotus Road, Morcellement Purgus"/>
    <s v="Fond Du Sac"/>
    <s v="Fond Du Sac"/>
    <n v="57057018"/>
    <s v="Nab-Makeup"/>
    <x v="35"/>
    <d v="2025-06-26T00:00:00"/>
    <n v="150"/>
    <d v="2025-07-02T00:00:00"/>
    <m/>
  </r>
  <r>
    <s v="Roshan Seebundhun"/>
    <s v="Care 4 U Pharmacy"/>
    <s v="Curepipe"/>
    <s v="Curepipe"/>
    <n v="58292958"/>
    <s v="Nab-Makeup"/>
    <x v="35"/>
    <d v="2025-06-26T00:00:00"/>
    <n v="150"/>
    <d v="2025-07-02T00:00:00"/>
    <m/>
  </r>
  <r>
    <s v="Waliyya Sundhoo"/>
    <s v="5 Dr Bour Street"/>
    <s v="Rose-Hill"/>
    <s v="Rose Hill"/>
    <n v="58002834"/>
    <s v="Nab-Makeup"/>
    <x v="35"/>
    <d v="2025-06-26T00:00:00"/>
    <n v="150"/>
    <d v="2025-07-02T00:00:00"/>
    <m/>
  </r>
  <r>
    <s v="Tejusweeny Devi Rambaruth"/>
    <s v="Delivery at Ebene"/>
    <s v="Near DHL"/>
    <s v="Ebene"/>
    <n v="59160770"/>
    <s v="Nab-Makeup"/>
    <x v="35"/>
    <d v="2025-06-26T00:00:00"/>
    <n v="150"/>
    <d v="2025-07-02T00:00:00"/>
    <m/>
  </r>
  <r>
    <s v="Mita Maureemootoo"/>
    <s v="SICOM Tower"/>
    <s v="Ebene"/>
    <s v="Ebene"/>
    <s v="57844522 / 52575533"/>
    <s v="Nab-Makeup"/>
    <x v="35"/>
    <d v="2025-06-26T00:00:00"/>
    <n v="150"/>
    <d v="2025-07-02T00:00:00"/>
    <m/>
  </r>
  <r>
    <s v="Vandana Veerasoo"/>
    <s v="Camp le Juge"/>
    <s v="Curepipe"/>
    <s v="Curepipe"/>
    <n v="59064475"/>
    <s v="Nab-Makeup"/>
    <x v="35"/>
    <d v="2025-06-26T00:00:00"/>
    <n v="150"/>
    <d v="2025-07-02T00:00:00"/>
    <m/>
  </r>
  <r>
    <s v="Emilia Collet"/>
    <s v="Mosque Road"/>
    <s v="Cap-Malheureux"/>
    <s v="Cap Malheureux"/>
    <n v="57312963"/>
    <s v="Nab-Makeup"/>
    <x v="35"/>
    <d v="2025-06-26T00:00:00"/>
    <n v="150"/>
    <d v="2025-07-02T00:00:00"/>
    <m/>
  </r>
  <r>
    <s v="Laetitia Baho"/>
    <s v="Nexteracom, Tower 2, Cybercity"/>
    <s v="Ebene"/>
    <s v="Ebene"/>
    <n v="59800504"/>
    <s v="Nab-Makeup"/>
    <x v="35"/>
    <d v="2025-06-26T00:00:00"/>
    <n v="150"/>
    <d v="2025-07-02T00:00:00"/>
    <m/>
  </r>
  <r>
    <s v="Faridah bibi Tagaully"/>
    <s v="L’habit de l’ile_x000a_74 champville vallee des prete"/>
    <s v="Port Louis"/>
    <s v="Port Louis"/>
    <n v="59472630"/>
    <s v="Nab-Makeup"/>
    <x v="35"/>
    <d v="2025-06-26T00:00:00"/>
    <n v="150"/>
    <d v="2025-07-02T00:00:00"/>
    <m/>
  </r>
  <r>
    <s v="Kamila Arekion"/>
    <s v="216 Avenue Ollier"/>
    <s v="Quatre Bornes"/>
    <s v="Quatre Bornes"/>
    <n v="58195974"/>
    <s v="Nab-Makeup"/>
    <x v="35"/>
    <d v="2025-06-26T00:00:00"/>
    <n v="150"/>
    <d v="2025-07-02T00:00:00"/>
    <m/>
  </r>
  <r>
    <s v="Manisha Sanoo"/>
    <s v="La Mairee"/>
    <s v="Eau CoulÃ©e"/>
    <s v="Curepipe"/>
    <n v="59067797"/>
    <s v="Nab-Makeup"/>
    <x v="35"/>
    <d v="2025-06-26T00:00:00"/>
    <n v="150"/>
    <d v="2025-07-02T00:00:00"/>
    <m/>
  </r>
  <r>
    <s v="Sharonne Philips Berardi"/>
    <s v="38 Avenue Halley, Morc New Town"/>
    <s v="Roches Brunes"/>
    <s v="Roches Brunes"/>
    <n v="52569697"/>
    <s v="Nab-Makeup"/>
    <x v="35"/>
    <d v="2025-06-26T00:00:00"/>
    <n v="150"/>
    <d v="2025-07-02T00:00:00"/>
    <m/>
  </r>
  <r>
    <s v="Aanisah Beeharry"/>
    <s v="Camp Mapou Lane 1, Henrietta"/>
    <s v="Vacoas"/>
    <s v="Vacoas"/>
    <n v="59133662"/>
    <s v="Nab-Makeup"/>
    <x v="35"/>
    <d v="2025-06-26T00:00:00"/>
    <n v="150"/>
    <d v="2025-07-02T00:00:00"/>
    <m/>
  </r>
  <r>
    <s v="Tashmi Gunnoo"/>
    <s v="Level 1, Cyber Tower 2, Cybercity"/>
    <s v="Ebene"/>
    <s v="Ebene"/>
    <n v="57033279"/>
    <s v="Nab-Makeup"/>
    <x v="35"/>
    <d v="2025-06-26T00:00:00"/>
    <n v="150"/>
    <d v="2025-07-02T00:00:00"/>
    <m/>
  </r>
  <r>
    <s v="Farheen Hossenbocus"/>
    <s v="Camp Berthaud"/>
    <s v="Britannia"/>
    <s v="Britannia"/>
    <n v="57045624"/>
    <s v="Nab-Makeup"/>
    <x v="35"/>
    <d v="2025-06-26T00:00:00"/>
    <n v="150"/>
    <d v="2025-07-02T00:00:00"/>
    <m/>
  </r>
  <r>
    <s v="Zahrah Jowaheer-Mosaheb"/>
    <s v="Avenue Condé 1, Les Guibies"/>
    <s v="Pailles"/>
    <s v="Pailles"/>
    <n v="57014169"/>
    <s v="Nab-Makeup"/>
    <x v="35"/>
    <d v="2025-06-26T00:00:00"/>
    <n v="150"/>
    <d v="2025-07-02T00:00:00"/>
    <m/>
  </r>
  <r>
    <s v="Rachna Padaruth"/>
    <s v="Temple Road"/>
    <s v="Creve-Coeur"/>
    <s v="Creve Coeur"/>
    <n v="58003448"/>
    <s v="Nab-Makeup"/>
    <x v="35"/>
    <d v="2025-06-26T00:00:00"/>
    <n v="150"/>
    <d v="2025-07-02T00:00:00"/>
    <m/>
  </r>
  <r>
    <s v="Shabnoor Peerbaccus"/>
    <s v="Larue Pagoda"/>
    <s v="Port Louis"/>
    <s v="Port Louis"/>
    <n v="59209047"/>
    <s v="Nab-Makeup"/>
    <x v="35"/>
    <d v="2025-06-26T00:00:00"/>
    <n v="150"/>
    <d v="2025-07-02T00:00:00"/>
    <m/>
  </r>
  <r>
    <s v="Karishma"/>
    <s v="Royal Road"/>
    <s v="Grand Baie"/>
    <s v="Grand Baie"/>
    <n v="58399698"/>
    <s v="Glow And Aura"/>
    <x v="36"/>
    <d v="2025-06-26T00:00:00"/>
    <n v="150"/>
    <d v="2025-07-02T00:00:00"/>
    <m/>
  </r>
  <r>
    <s v="Ragnee Mahadea"/>
    <s v="Lalbahadour Street"/>
    <s v="Candos"/>
    <s v="Candos"/>
    <n v="57604400"/>
    <s v="Glow And Aura"/>
    <x v="36"/>
    <d v="2025-06-26T00:00:00"/>
    <n v="150"/>
    <d v="2025-07-02T00:00:00"/>
    <m/>
  </r>
  <r>
    <s v="Noushrine"/>
    <s v="Port Louis"/>
    <s v="Port Louis"/>
    <s v="Port Louis"/>
    <n v="59320969"/>
    <s v="Glow And Aura"/>
    <x v="36"/>
    <d v="2025-06-26T00:00:00"/>
    <n v="150"/>
    <d v="2025-07-02T00:00:00"/>
    <m/>
  </r>
  <r>
    <s v="Shafina"/>
    <s v="St Pierre Lavenir"/>
    <s v="St Pierre"/>
    <s v="St Pierre"/>
    <n v="57891652"/>
    <s v="Glow And Aura"/>
    <x v="36"/>
    <d v="2025-06-26T00:00:00"/>
    <n v="150"/>
    <d v="2025-07-02T00:00:00"/>
    <m/>
  </r>
  <r>
    <s v="Mujahid Kadell"/>
    <s v="Near Imperial College"/>
    <s v="Forest Side"/>
    <s v="Forest Side"/>
    <n v="52588092"/>
    <s v="May's Shop"/>
    <x v="37"/>
    <d v="2025-06-26T00:00:00"/>
    <n v="150"/>
    <d v="2025-07-02T00:00:00"/>
    <m/>
  </r>
  <r>
    <s v="Shena Khayalee"/>
    <s v="Rochester Lane"/>
    <s v="Surinam"/>
    <s v="Surinam"/>
    <n v="59107276"/>
    <s v="Timeless Trends"/>
    <x v="36"/>
    <d v="2025-06-26T00:00:00"/>
    <n v="150"/>
    <d v="2025-07-02T00:00:00"/>
    <s v="–"/>
  </r>
  <r>
    <s v="Hélène Marie"/>
    <s v="Avenue des Laurier"/>
    <s v="Pointe aux Canonniers"/>
    <s v="Grand Baie"/>
    <n v="57213748"/>
    <s v="Timeless Trends"/>
    <x v="36"/>
    <d v="2025-06-26T00:00:00"/>
    <n v="150"/>
    <d v="2025-07-02T00:00:00"/>
    <s v="COD: Rs 1300"/>
  </r>
  <r>
    <s v="Nazmeer Mohamudally"/>
    <s v="Cent Gaulettes, Mahebourg"/>
    <s v="Mahebourg"/>
    <s v="Mahebourg"/>
    <n v="57440151"/>
    <s v="Nab-Makeup"/>
    <x v="35"/>
    <d v="2025-06-26T00:00:00"/>
    <n v="150"/>
    <d v="2025-07-02T00:00:00"/>
    <m/>
  </r>
  <r>
    <s v="Nundlall Vedita"/>
    <s v="Health Centre, Mohit Road, L'avenir, Rose Hill"/>
    <s v="Plaines Wilhems"/>
    <s v="Rose Hill"/>
    <n v="57324285"/>
    <s v="Nab-Makeup"/>
    <x v="36"/>
    <d v="2025-06-26T00:00:00"/>
    <n v="150"/>
    <d v="2025-07-02T00:00:00"/>
    <m/>
  </r>
  <r>
    <s v="Enakshee Charitar"/>
    <s v="CIDP, BioPark Mauritius, SOCOTA Phoenicia, Sayed Hossen Road"/>
    <s v="Phoenix"/>
    <s v="Phoenix"/>
    <n v="58247812"/>
    <s v="Nab-Makeup"/>
    <x v="35"/>
    <s v="Cancelled"/>
    <n v="150"/>
    <d v="2025-07-02T00:00:00"/>
    <s v="I went there twice"/>
  </r>
  <r>
    <s v="Mrs Nazma Auladin"/>
    <s v="18 Nyon St"/>
    <s v="Port Louis"/>
    <s v="Port Louis"/>
    <n v="57115049"/>
    <s v="Timeless Trends"/>
    <x v="36"/>
    <s v="Cancelled"/>
    <n v="0"/>
    <s v="Cancelled"/>
    <s v="Client collected from Seller"/>
  </r>
  <r>
    <s v="Needhisha Devi Dursun"/>
    <s v="Ligne Berthaud"/>
    <s v="Vacoas"/>
    <s v="Vacoas"/>
    <n v="58070197"/>
    <s v="Nab-Makeup"/>
    <x v="35"/>
    <d v="2025-06-30T00:00:00"/>
    <n v="150"/>
    <d v="2025-07-02T00:00:00"/>
    <m/>
  </r>
  <r>
    <s v="Shameerah Sitaya"/>
    <s v="18 Thomy Darifat"/>
    <s v="Curepipe"/>
    <s v="Curepipe"/>
    <n v="57470150"/>
    <s v="Nab-Makeup"/>
    <x v="35"/>
    <d v="2025-06-30T00:00:00"/>
    <n v="150"/>
    <d v="2025-07-02T00:00:00"/>
    <m/>
  </r>
  <r>
    <s v="Bhavishty Madhoo"/>
    <s v="Playground Road"/>
    <s v="GRSE"/>
    <s v="Flacq"/>
    <n v="59352626"/>
    <s v="Nab-Makeup"/>
    <x v="35"/>
    <d v="2025-06-30T00:00:00"/>
    <n v="150"/>
    <d v="2025-07-02T00:00:00"/>
    <m/>
  </r>
  <r>
    <s v="Veena"/>
    <s v="School Lane"/>
    <s v="Petit Raffray"/>
    <s v="Petit Raffray"/>
    <n v="58188895"/>
    <s v="Glow And Aura"/>
    <x v="36"/>
    <d v="2025-06-30T00:00:00"/>
    <n v="150"/>
    <d v="2025-07-02T00:00:00"/>
    <s v="COD Rs 1150"/>
  </r>
  <r>
    <s v="Zarinah"/>
    <s v="Plaines des Roches"/>
    <s v="Plaines des Roches"/>
    <s v="Plaines des Roches"/>
    <n v="59264995"/>
    <s v="Glow And Aura"/>
    <x v="36"/>
    <d v="2025-06-30T00:00:00"/>
    <n v="150"/>
    <d v="2025-07-02T00:00:00"/>
    <s v="COD Rs 3022"/>
  </r>
  <r>
    <s v="Farhaan Mahamoodally"/>
    <s v="Pailles"/>
    <s v="Pailles"/>
    <s v="Pailles"/>
    <s v="5791 7726"/>
    <s v="Glow And Aura"/>
    <x v="36"/>
    <d v="2025-06-30T00:00:00"/>
    <n v="150"/>
    <d v="2025-07-02T00:00:00"/>
    <s v="COD Rs 1000"/>
  </r>
  <r>
    <s v="Deepa Beeharry"/>
    <s v="Les Casernes near driving school"/>
    <s v="Curepipe"/>
    <s v="Curepipe"/>
    <n v="59104495"/>
    <s v="Timeless Trends"/>
    <x v="36"/>
    <d v="2025-06-30T00:00:00"/>
    <n v="150"/>
    <d v="2025-07-02T00:00:00"/>
    <s v="COD: Rs 1300"/>
  </r>
  <r>
    <s v="Beedwantee Auchoybur"/>
    <s v="Camp La Bouse"/>
    <s v="Montagne Longue"/>
    <s v="Montagne Longue"/>
    <n v="54955604"/>
    <s v="OKASINA"/>
    <x v="35"/>
    <d v="2025-06-30T00:00:00"/>
    <n v="150"/>
    <d v="2025-07-02T00:00:00"/>
    <s v="COD: Rs 2000"/>
  </r>
  <r>
    <s v="Rosita Rampersad"/>
    <s v="Royal Road, L'Aventure (between 11 am to 3 pm)"/>
    <s v="L'Aventure"/>
    <s v="L'Aventure"/>
    <n v="59119682"/>
    <s v="OKASINA"/>
    <x v="38"/>
    <d v="2025-06-30T00:00:00"/>
    <n v="150"/>
    <d v="2025-07-02T00:00:00"/>
    <s v="COD  1700RS"/>
  </r>
  <r>
    <s v="Varuna Ramburrun"/>
    <s v="Royal Road, St Julien D'Hotman"/>
    <s v="East"/>
    <s v="St Julien D'Hotman"/>
    <n v="52526373"/>
    <s v="OKASINA"/>
    <x v="38"/>
    <d v="2025-06-30T00:00:00"/>
    <n v="150"/>
    <d v="2025-07-02T00:00:00"/>
    <s v="COD Rs 3495"/>
  </r>
  <r>
    <s v="Parapen Umella"/>
    <s v="Remy Ollier Bonne Terre Vacoas, Impasse Argentine 2, Vacoas"/>
    <s v="Plaines Wilhems"/>
    <s v="Vacoas"/>
    <n v="59451648"/>
    <s v="Nab-Makeup"/>
    <x v="38"/>
    <d v="2025-06-30T00:00:00"/>
    <n v="150"/>
    <d v="2025-07-02T00:00:00"/>
    <m/>
  </r>
  <r>
    <s v="Muhammad Shahim Runghen"/>
    <s v="Dunputh Lane, Bois Cheri"/>
    <s v="Savanne"/>
    <s v="Bois Cheri"/>
    <n v="57596490"/>
    <s v="Nab-Makeup"/>
    <x v="38"/>
    <d v="2025-06-30T00:00:00"/>
    <n v="150"/>
    <d v="2025-07-02T00:00:00"/>
    <m/>
  </r>
  <r>
    <s v="Boodhoo Nuzhah"/>
    <s v="Tamarin Lane, Camp-Levieux, Rose-Hill"/>
    <s v="Plaines Wilhems"/>
    <s v="Rose Hill"/>
    <n v="58264924"/>
    <s v="Nab-Makeup"/>
    <x v="38"/>
    <d v="2025-06-30T00:00:00"/>
    <n v="150"/>
    <d v="2025-07-02T00:00:00"/>
    <m/>
  </r>
  <r>
    <s v="Aatish Gungaram"/>
    <s v="Grassy Road, Vacoas, 73215"/>
    <s v="Plaines Wilhems"/>
    <s v="Vacoas"/>
    <n v="59494326"/>
    <s v="Nab-Makeup"/>
    <x v="38"/>
    <d v="2025-06-30T00:00:00"/>
    <n v="150"/>
    <d v="2025-07-02T00:00:00"/>
    <m/>
  </r>
  <r>
    <s v="Urvashi Heerah"/>
    <s v="Royal Road, Lallmatie"/>
    <s v="Flacq"/>
    <s v="Lallmatie"/>
    <n v="57689395"/>
    <s v="Nab-Makeup"/>
    <x v="38"/>
    <d v="2025-06-30T00:00:00"/>
    <n v="150"/>
    <d v="2025-07-02T00:00:00"/>
    <m/>
  </r>
  <r>
    <s v="Ashee Kanhye / Preity Persand"/>
    <s v="Kidskills Ltd, 1st Floor, next to SBM Branch, Royal Road, Mesnil"/>
    <s v="Moka"/>
    <s v="Mesnil"/>
    <n v="57919559"/>
    <s v="Nab-Makeup"/>
    <x v="38"/>
    <d v="2025-06-30T00:00:00"/>
    <n v="150"/>
    <d v="2025-07-02T00:00:00"/>
    <m/>
  </r>
  <r>
    <s v="Goolvaden Bibi Ehman Shaba"/>
    <s v="Royal Road, Bel Air Riviere Seche"/>
    <s v="Flacq"/>
    <s v="Bel Air"/>
    <n v="57513422"/>
    <s v="Nab-Makeup"/>
    <x v="38"/>
    <d v="2025-06-30T00:00:00"/>
    <n v="150"/>
    <d v="2025-07-02T00:00:00"/>
    <m/>
  </r>
  <r>
    <s v="Wadiyyah Ajubtally"/>
    <s v="Moncellement Blue Print, Highlands, Phoenix"/>
    <s v="Plaines Wilhems"/>
    <s v="Phoenix"/>
    <n v="58047892"/>
    <s v="Nab-Makeup"/>
    <x v="38"/>
    <d v="2025-06-30T00:00:00"/>
    <n v="150"/>
    <d v="2025-07-02T00:00:00"/>
    <m/>
  </r>
  <r>
    <s v="Pooja Ramcharitar"/>
    <s v="Evaco Group, Arsenal"/>
    <s v="Pamplemousses"/>
    <s v="Arsenal"/>
    <n v="59864950"/>
    <s v="Nab-Makeup"/>
    <x v="38"/>
    <d v="2025-06-30T00:00:00"/>
    <n v="150"/>
    <d v="2025-07-02T00:00:00"/>
    <m/>
  </r>
  <r>
    <s v="Aznaah Imamdee"/>
    <s v="Jugdambi Road, Goodlands"/>
    <s v="Riviere du Rempart"/>
    <s v="Goodlands"/>
    <n v="58274221"/>
    <s v="Nab-Makeup"/>
    <x v="38"/>
    <d v="2025-06-30T00:00:00"/>
    <n v="150"/>
    <d v="2025-07-02T00:00:00"/>
    <m/>
  </r>
  <r>
    <s v="Bhoonderowa Kijesh Kumar"/>
    <s v="Osprey Lane, Belle Vue Maurel"/>
    <s v="Riviere du Rempart"/>
    <s v="Belle Vue Maurel"/>
    <n v="59226507"/>
    <s v="Nab-Makeup"/>
    <x v="38"/>
    <d v="2025-06-30T00:00:00"/>
    <n v="150"/>
    <d v="2025-07-02T00:00:00"/>
    <m/>
  </r>
  <r>
    <s v="Nathalie Celine Albufera"/>
    <s v="New Village Hall Road, Baie du Cap"/>
    <s v="Savanne"/>
    <s v="Baie du Cap"/>
    <n v="59307910"/>
    <s v="Nab-Makeup"/>
    <x v="38"/>
    <d v="2025-07-02T00:00:00"/>
    <n v="150"/>
    <d v="2025-07-02T00:00:00"/>
    <m/>
  </r>
  <r>
    <s v="Shabina Khodabux"/>
    <s v="Calcutta Street, Port Louis"/>
    <s v="Port Louis"/>
    <s v="Port Louis"/>
    <n v="52500306"/>
    <s v="Nab-Makeup"/>
    <x v="38"/>
    <d v="2025-06-30T00:00:00"/>
    <n v="150"/>
    <d v="2025-07-02T00:00:00"/>
    <m/>
  </r>
  <r>
    <s v="Rosun Bibi Wardah"/>
    <s v="Chapel Lane, L'Escalier"/>
    <s v="Grand Port"/>
    <s v="L'Escalier"/>
    <n v="57684786"/>
    <s v="Nab-Makeup"/>
    <x v="38"/>
    <d v="2025-06-30T00:00:00"/>
    <n v="150"/>
    <d v="2025-07-02T00:00:00"/>
    <m/>
  </r>
  <r>
    <s v="Salinah Nuckcheddy"/>
    <s v="Royal Road, New Grove"/>
    <s v="Grand Port"/>
    <s v="New Grove"/>
    <n v="58129432"/>
    <s v="Nab-Makeup"/>
    <x v="38"/>
    <d v="2025-06-30T00:00:00"/>
    <n v="150"/>
    <d v="2025-07-02T00:00:00"/>
    <m/>
  </r>
  <r>
    <s v="Shahana Meerun"/>
    <s v="Motorway M1, Highlands, Phoenix"/>
    <s v="Plaines Wilhems"/>
    <s v="Phoenix"/>
    <n v="57750960"/>
    <s v="Nab-Makeup"/>
    <x v="38"/>
    <d v="2025-06-30T00:00:00"/>
    <n v="150"/>
    <d v="2025-07-02T00:00:00"/>
    <m/>
  </r>
  <r>
    <s v="Mauracheea Lakshita"/>
    <s v="Sans Souci Road, Montagne Blanche"/>
    <s v="Flacq"/>
    <s v="Montagne Blanche"/>
    <n v="55098828"/>
    <s v="Nab-Makeup"/>
    <x v="38"/>
    <d v="2025-06-30T00:00:00"/>
    <n v="150"/>
    <d v="2025-07-02T00:00:00"/>
    <m/>
  </r>
  <r>
    <s v="Nitisha Doobaly"/>
    <s v="Cemetery Road, Riche Mare, Flacq"/>
    <s v="Flacq"/>
    <s v="Riche Mare"/>
    <n v="58338087"/>
    <s v="Nab-Makeup"/>
    <x v="38"/>
    <d v="2025-06-30T00:00:00"/>
    <n v="150"/>
    <d v="2025-07-02T00:00:00"/>
    <m/>
  </r>
  <r>
    <s v="Leeshena Seemreekeea"/>
    <s v="Choonee street, Clemencia"/>
    <s v="Clemencia"/>
    <s v="Flacq"/>
    <n v="57651413"/>
    <s v="Nab-Makeup"/>
    <x v="38"/>
    <d v="2025-06-30T00:00:00"/>
    <n v="150"/>
    <d v="2025-07-02T00:00:00"/>
    <m/>
  </r>
  <r>
    <s v="Boodhoo Pallavi"/>
    <s v="Old Market Road, Riviere du Rempart, near Courts Mammouth"/>
    <s v="Riviere du Rempart"/>
    <s v="Riviere Du Poste"/>
    <n v="58854006"/>
    <s v="Nab-Makeup"/>
    <x v="38"/>
    <d v="2025-06-30T00:00:00"/>
    <n v="150"/>
    <d v="2025-07-02T00:00:00"/>
    <m/>
  </r>
  <r>
    <s v="Priyam Devi Seeruttun"/>
    <s v="Maheshwarnagri Road, 9th Mille, Triolet"/>
    <s v="Pamplemousses"/>
    <s v="Triolet"/>
    <n v="57919326"/>
    <s v="Nab-Makeup"/>
    <x v="38"/>
    <d v="2025-06-30T00:00:00"/>
    <n v="150"/>
    <d v="2025-07-02T00:00:00"/>
    <m/>
  </r>
  <r>
    <s v="Karishma Jeetah"/>
    <s v="43, Sir Edward Nairac Street, Chebel, Beau Bassin"/>
    <s v="Plaines Wilhems"/>
    <s v="Beau Bassin"/>
    <n v="57025491"/>
    <s v="Nab-Makeup"/>
    <x v="38"/>
    <d v="2025-06-30T00:00:00"/>
    <n v="150"/>
    <d v="2025-07-02T00:00:00"/>
    <m/>
  </r>
  <r>
    <s v="Laetitia Baho"/>
    <s v="Clairfonds No. 1, Phoenix, Ramputh Lane"/>
    <s v="Plaines Wilhems"/>
    <s v="Phoenix"/>
    <n v="59800504"/>
    <s v="Nab-Makeup"/>
    <x v="38"/>
    <d v="2025-06-30T00:00:00"/>
    <n v="150"/>
    <d v="2025-07-02T00:00:00"/>
    <m/>
  </r>
  <r>
    <s v="Ghoree Baubooa"/>
    <s v="Royal Road, Sebastopol"/>
    <s v="Flacq"/>
    <s v="Sebastopol"/>
    <n v="57733258"/>
    <s v="Nab-Makeup"/>
    <x v="38"/>
    <d v="2025-07-03T00:00:00"/>
    <n v="150"/>
    <d v="2025-08-01T00:00:00"/>
    <m/>
  </r>
  <r>
    <s v="Tina Motee"/>
    <s v="MBC, Moka"/>
    <s v="Moka"/>
    <s v="Moka"/>
    <n v="57035986"/>
    <s v="Nab-Makeup"/>
    <x v="38"/>
    <d v="2025-06-30T00:00:00"/>
    <n v="150"/>
    <d v="2025-07-02T00:00:00"/>
    <m/>
  </r>
  <r>
    <s v="Tanuja Peeroo"/>
    <s v="St Antoine, Goodlands"/>
    <s v="Riviere du Rempart"/>
    <s v="Goodlands"/>
    <n v="57084233"/>
    <s v="Nab-Makeup"/>
    <x v="38"/>
    <d v="2025-06-30T00:00:00"/>
    <n v="150"/>
    <d v="2025-07-02T00:00:00"/>
    <m/>
  </r>
  <r>
    <s v="Roshni Bhungee"/>
    <s v="9th Mile, Triolet, Maheshwar Nagri Road"/>
    <s v="Pamplemousses"/>
    <s v="Triolet"/>
    <n v="59063468"/>
    <s v="Nab-Makeup"/>
    <x v="38"/>
    <d v="2025-06-30T00:00:00"/>
    <n v="150"/>
    <d v="2025-07-02T00:00:00"/>
    <m/>
  </r>
  <r>
    <s v="Marie Therese Doriane Jowaheer"/>
    <s v="Khedoo Lane, Cluny"/>
    <s v="Grand Port"/>
    <s v="Cluny"/>
    <n v="57538713"/>
    <s v="Nab-Makeup"/>
    <x v="38"/>
    <d v="2025-06-30T00:00:00"/>
    <n v="150"/>
    <d v="2025-07-02T00:00:00"/>
    <m/>
  </r>
  <r>
    <s v="Zareen Caunhye"/>
    <s v="SSR Lane, Calebasses, Pamplemousses"/>
    <s v="Pamplemousses"/>
    <s v="Calebasses"/>
    <n v="57979301"/>
    <s v="Nab-Makeup"/>
    <x v="38"/>
    <d v="2025-06-30T00:00:00"/>
    <n v="150"/>
    <d v="2025-07-02T00:00:00"/>
    <m/>
  </r>
  <r>
    <s v="Ourusha Bibi Allam"/>
    <s v="Copain Lane, Terre Rouge"/>
    <s v="Pamplemousses"/>
    <s v="Terre Rouge"/>
    <n v="55064569"/>
    <s v="Nab-Makeup"/>
    <x v="38"/>
    <d v="2025-06-30T00:00:00"/>
    <n v="150"/>
    <d v="2025-07-02T00:00:00"/>
    <m/>
  </r>
  <r>
    <s v="Tianna Renguin"/>
    <s v="5, Impasse Malherbes, Curepipe"/>
    <s v="Plaines Wilhems"/>
    <s v="Curepipe"/>
    <n v="59015720"/>
    <s v="Nab-Makeup"/>
    <x v="38"/>
    <d v="2025-06-30T00:00:00"/>
    <n v="150"/>
    <d v="2025-07-02T00:00:00"/>
    <m/>
  </r>
  <r>
    <s v="Safina Bahadoor"/>
    <s v="Parasol Lane, Mont Fertile, New Grove"/>
    <s v="Grand Port"/>
    <s v="New Grove"/>
    <n v="59082537"/>
    <s v="Nab-Makeup"/>
    <x v="38"/>
    <d v="2025-06-30T00:00:00"/>
    <n v="150"/>
    <d v="2025-07-02T00:00:00"/>
    <m/>
  </r>
  <r>
    <s v="Saheeba Soobratty"/>
    <s v="Riv Des Anguille / Royal Road, Grand Bois"/>
    <s v="Savanne"/>
    <s v="Grand Bois"/>
    <n v="58290737"/>
    <s v="Nab-Makeup"/>
    <x v="38"/>
    <d v="2025-06-30T00:00:00"/>
    <n v="150"/>
    <d v="2025-07-02T00:00:00"/>
    <m/>
  </r>
  <r>
    <s v="Aparna Ramgoolam"/>
    <s v="Avenue Des Colombes, Medine, Camp de Masque"/>
    <s v="Flacq"/>
    <s v="Camp de Masque"/>
    <n v="57726954"/>
    <s v="Nab-Makeup"/>
    <x v="38"/>
    <d v="2025-06-30T00:00:00"/>
    <n v="150"/>
    <d v="2025-07-02T00:00:00"/>
    <m/>
  </r>
  <r>
    <s v="Ketsia Sawmynaden"/>
    <s v="Royal Road, Amaury"/>
    <s v="Riviere du Rempart"/>
    <s v="Amaury"/>
    <n v="57999753"/>
    <s v="Nab-Makeup"/>
    <x v="38"/>
    <d v="2025-06-30T00:00:00"/>
    <n v="150"/>
    <d v="2025-07-02T00:00:00"/>
    <m/>
  </r>
  <r>
    <s v="Srishty Moonsamy"/>
    <s v="Ébène / Morcellement Petit Village, St Antoine, Goodlands"/>
    <s v="Ébène "/>
    <s v="Ebene"/>
    <n v="57699904"/>
    <s v="Nab-Makeup"/>
    <x v="38"/>
    <d v="2025-06-30T00:00:00"/>
    <n v="150"/>
    <d v="2025-07-02T00:00:00"/>
    <m/>
  </r>
  <r>
    <s v="Marie Arielle Estazar"/>
    <s v="Argy, Centre de Flacq"/>
    <s v="Argy"/>
    <s v="Central Flacq"/>
    <n v="58273290"/>
    <s v="Timeless Trends"/>
    <x v="39"/>
    <d v="2025-06-30T00:00:00"/>
    <n v="150"/>
    <d v="2025-07-02T00:00:00"/>
    <m/>
  </r>
  <r>
    <s v="Yasiirah Kassim"/>
    <s v="Sunflower Lane, Terre Rouge, Mauritius"/>
    <s v="Pamplemousses"/>
    <s v="Terre Rouge"/>
    <n v="57988906"/>
    <s v="Nab-Makeup"/>
    <x v="38"/>
    <d v="2025-06-30T00:00:00"/>
    <n v="150"/>
    <d v="2025-07-02T00:00:00"/>
    <m/>
  </r>
  <r>
    <s v="Ruksaar Damree"/>
    <s v="Brise Verdiere"/>
    <s v="Flacq"/>
    <s v="Brisée Verdiere"/>
    <n v="58398955"/>
    <s v="Nab-Makeup"/>
    <x v="38"/>
    <d v="2025-06-30T00:00:00"/>
    <n v="150"/>
    <d v="2025-07-02T00:00:00"/>
    <m/>
  </r>
  <r>
    <s v="Ashifa Neeha Phoyjaully"/>
    <s v="Bamyris Motors, Bagatelle Motorcity, Motorway M1"/>
    <s v="Moka"/>
    <s v="Bagatelle"/>
    <n v="52572338"/>
    <s v="Nab-Makeup"/>
    <x v="38"/>
    <d v="2025-06-30T00:00:00"/>
    <n v="150"/>
    <d v="2025-07-02T00:00:00"/>
    <m/>
  </r>
  <r>
    <s v="Antoaroo Nusraah Bibi Nadillah"/>
    <s v="Latapie Road, Bon Accueil"/>
    <s v="Flacq"/>
    <s v="Bon Accueil"/>
    <s v="57011403 / 4189068"/>
    <s v="Nab-Makeup"/>
    <x v="38"/>
    <d v="2025-06-30T00:00:00"/>
    <n v="150"/>
    <d v="2025-07-02T00:00:00"/>
    <m/>
  </r>
  <r>
    <s v="Ganeshta Pem Newoor"/>
    <s v="Royal Road, Lallmatie (near Green Cross)"/>
    <s v="Flacq"/>
    <s v="Lallmatie"/>
    <n v="57776671"/>
    <s v="Nab-Makeup"/>
    <x v="38"/>
    <d v="2025-06-30T00:00:00"/>
    <n v="150"/>
    <d v="2025-07-02T00:00:00"/>
    <m/>
  </r>
  <r>
    <s v="Sailajah Nugapen"/>
    <s v="47 Pave Dâ€™amour, Coromandel"/>
    <s v="Port Louis"/>
    <s v="Coromandel"/>
    <n v="59384619"/>
    <s v="Nab-Makeup"/>
    <x v="38"/>
    <d v="2025-06-30T00:00:00"/>
    <n v="150"/>
    <d v="2025-07-02T00:00:00"/>
    <m/>
  </r>
  <r>
    <s v="Mohamad Sadek Hosany"/>
    <s v="89 Boundary, Rose Hill"/>
    <s v="Plaines Wilhems"/>
    <s v="Rose Hill"/>
    <n v="57610640"/>
    <s v="Nab-Makeup"/>
    <x v="38"/>
    <d v="2025-06-30T00:00:00"/>
    <n v="150"/>
    <d v="2025-07-02T00:00:00"/>
    <m/>
  </r>
  <r>
    <s v="Ayesha Bibi Mustan"/>
    <s v="97, Monsiegnuer Leen Street, Port Louis"/>
    <s v="Port Louis"/>
    <s v="Port Louis"/>
    <n v="54729559"/>
    <s v="Nab-Makeup"/>
    <x v="38"/>
    <d v="2025-06-30T00:00:00"/>
    <n v="150"/>
    <d v="2025-07-02T00:00:00"/>
    <m/>
  </r>
  <r>
    <s v="Dhaoroop Deesha"/>
    <s v="Camp La Serpe, Bel-Air Riviere Seche, Flacq"/>
    <s v="Flacq"/>
    <s v="Bel Air"/>
    <n v="57659764"/>
    <s v="Nab-Makeup"/>
    <x v="38"/>
    <d v="2025-06-30T00:00:00"/>
    <n v="150"/>
    <d v="2025-07-02T00:00:00"/>
    <m/>
  </r>
  <r>
    <s v="Nathalie Ramsaran"/>
    <s v="Royal Road, Grand Pointe aux Piments, Mauritius"/>
    <s v="Pamplemousses"/>
    <s v="Pointe Aux Piments"/>
    <n v="58101472"/>
    <s v="Nab-Makeup"/>
    <x v="38"/>
    <d v="2025-06-30T00:00:00"/>
    <n v="150"/>
    <d v="2025-07-02T00:00:00"/>
    <m/>
  </r>
  <r>
    <s v="Juwayia Peerbux"/>
    <s v="Logidealsworldlink, La Louise, Quatre Bornes"/>
    <s v="Plaines Wilhems"/>
    <s v="Quatre Bornes"/>
    <n v="57986302"/>
    <s v="Nab-Makeup"/>
    <x v="38"/>
    <d v="2025-06-30T00:00:00"/>
    <n v="150"/>
    <d v="2025-07-02T00:00:00"/>
    <m/>
  </r>
  <r>
    <s v="Shabneez Abdool Khader"/>
    <s v="Parasol Lane, Mont-Fertile, New-Grove, Mauritius"/>
    <s v="Grand Port"/>
    <s v="New Grove"/>
    <n v="59273443"/>
    <s v="Nab-Makeup"/>
    <x v="38"/>
    <d v="2025-06-30T00:00:00"/>
    <n v="150"/>
    <d v="2025-07-02T00:00:00"/>
    <m/>
  </r>
  <r>
    <s v="Inderjeet Verma"/>
    <s v="Simadree Virahsawmy, SSS, Royal Road, Riv du rempart"/>
    <s v="Riviere du Rempart"/>
    <s v="Riviere Du Poste"/>
    <n v="57363679"/>
    <s v="OKASINA"/>
    <x v="39"/>
    <d v="2025-06-30T00:00:00"/>
    <n v="150"/>
    <d v="2025-07-02T00:00:00"/>
    <s v="COD Rs 1700"/>
  </r>
  <r>
    <s v="Reva Dinya"/>
    <s v="Vallee Des Pretes"/>
    <s v="Port Louis"/>
    <s v="Port Louis"/>
    <n v="58057829"/>
    <s v="Glow And Aura"/>
    <x v="40"/>
    <d v="2025-07-03T00:00:00"/>
    <n v="150"/>
    <d v="2025-08-01T00:00:00"/>
    <s v="COD: Rs 1298"/>
  </r>
  <r>
    <s v="Henna Allybaccus"/>
    <s v="26 Anderson James Forester Port Louis"/>
    <s v="Port Louis"/>
    <s v="Port Louis"/>
    <n v="54948815"/>
    <s v="Glow And Aura"/>
    <x v="40"/>
    <d v="2025-07-03T00:00:00"/>
    <n v="150"/>
    <d v="2025-08-01T00:00:00"/>
    <s v="COD: Rs 850"/>
  </r>
  <r>
    <s v="Nashreen"/>
    <s v="Le Hochet Terre Rouge"/>
    <s v="Terre Rouge"/>
    <s v="Terre Rouge"/>
    <n v="57634389"/>
    <s v="Glow And Aura"/>
    <x v="40"/>
    <d v="2025-07-03T00:00:00"/>
    <n v="150"/>
    <d v="2025-08-01T00:00:00"/>
    <s v="COD: Rs 950"/>
  </r>
  <r>
    <s v="Meenakshi Rama"/>
    <s v="Bois Cheri"/>
    <s v="Bois Cheri"/>
    <s v="Bois Cheri"/>
    <n v="58021345"/>
    <s v="Glow And Aura"/>
    <x v="40"/>
    <d v="2025-07-03T00:00:00"/>
    <n v="150"/>
    <d v="2025-08-01T00:00:00"/>
    <s v="COD: Rs 1150"/>
  </r>
  <r>
    <s v="Lisheekha Gopaul"/>
    <s v="Shivala Lane, Triolet"/>
    <s v="Triolet"/>
    <s v="Triolet"/>
    <n v="59026291"/>
    <s v="Little Star Boutique"/>
    <x v="40"/>
    <d v="2025-07-03T00:00:00"/>
    <n v="150"/>
    <d v="2025-08-01T00:00:00"/>
    <m/>
  </r>
  <r>
    <s v="Diksha Neermaull"/>
    <s v="Rungoo Road, Roches Noires, Red Mango Shop"/>
    <s v="Roches Noires"/>
    <s v="Roches Noires"/>
    <n v="59029211"/>
    <s v="OKASINA"/>
    <x v="41"/>
    <d v="2025-07-03T00:00:00"/>
    <n v="150"/>
    <d v="2025-08-01T00:00:00"/>
    <m/>
  </r>
  <r>
    <s v="Shabnam Sookharee"/>
    <s v="Baccus Road, L'Avenir, Saint Pierre after 2pm / GF IN EBENE Before 2pm"/>
    <s v="Ebene / L'Avenir"/>
    <s v="Ebene"/>
    <n v="59461712"/>
    <s v="OKASINA"/>
    <x v="41"/>
    <d v="2025-07-03T00:00:00"/>
    <n v="150"/>
    <d v="2025-08-01T00:00:00"/>
    <m/>
  </r>
  <r>
    <s v="Rosheema Fugurally"/>
    <s v="Tropic knits, Royal Road Forestside"/>
    <s v="Curepipe"/>
    <s v="Forest Side"/>
    <n v="57339628"/>
    <s v="OKASINA"/>
    <x v="41"/>
    <d v="2025-07-03T00:00:00"/>
    <n v="150"/>
    <d v="2025-08-01T00:00:00"/>
    <m/>
  </r>
  <r>
    <s v="Varsha Luchoo"/>
    <s v="Jaylall Lane, Avenue Berthaud, Quatre Bornes"/>
    <s v="Quatre Bornes"/>
    <s v="Quatre Bornes"/>
    <n v="57852775"/>
    <s v="OKASINA"/>
    <x v="41"/>
    <d v="2025-07-03T00:00:00"/>
    <n v="150"/>
    <d v="2025-08-01T00:00:00"/>
    <m/>
  </r>
  <r>
    <s v="Asha Mokoonlall"/>
    <s v="Railway Rd, opposite CAB office, Riviere des Anguilles"/>
    <s v="Riviere des Anguilles"/>
    <s v="Riviere des Anguilles"/>
    <n v="57803800"/>
    <s v="Nab-Makeup"/>
    <x v="41"/>
    <d v="2025-07-03T00:00:00"/>
    <n v="150"/>
    <d v="2025-08-01T00:00:00"/>
    <m/>
  </r>
  <r>
    <s v="Parishnee Chokhan"/>
    <s v="Ancharaz Road, Pont Blanc, Flacq"/>
    <s v="Flacq"/>
    <s v="Flacq"/>
    <n v="59123524"/>
    <s v="Nab-Makeup"/>
    <x v="41"/>
    <d v="2025-07-03T00:00:00"/>
    <n v="150"/>
    <d v="2025-08-01T00:00:00"/>
    <m/>
  </r>
  <r>
    <s v="Kirty Sheoraj"/>
    <s v="Lotus Road, Morc Purgus, Fond Du Sac"/>
    <s v="Fond Du Sac"/>
    <s v="Fond Du Sac"/>
    <n v="57057018"/>
    <s v="Nab-Makeup"/>
    <x v="41"/>
    <d v="2025-07-03T00:00:00"/>
    <n v="150"/>
    <d v="2025-08-01T00:00:00"/>
    <m/>
  </r>
  <r>
    <s v="Neha Gajadhur"/>
    <s v="Mon Desert Road, Plaine Magnien"/>
    <s v="Plaine Magnien"/>
    <s v="Plaine Magnien"/>
    <n v="58396220"/>
    <s v="Nab-Makeup"/>
    <x v="41"/>
    <d v="2025-07-03T00:00:00"/>
    <n v="150"/>
    <d v="2025-08-01T00:00:00"/>
    <m/>
  </r>
  <r>
    <s v="Sanghavee Subramanian"/>
    <s v="B119, Morcellement La Lucie, Bel Air Riviere Seche"/>
    <s v="Riviere Seche"/>
    <s v="Bel Air"/>
    <n v="57403689"/>
    <s v="Nab-Makeup"/>
    <x v="41"/>
    <d v="2025-07-03T00:00:00"/>
    <n v="150"/>
    <d v="2025-08-01T00:00:00"/>
    <m/>
  </r>
  <r>
    <s v="Shifa Bibi Suhaylah Nazurally"/>
    <s v="Avenue des Cateaux Verts, Mont-Ida"/>
    <s v="Mont-Ida"/>
    <s v="Mont-Ida"/>
    <n v="57678095"/>
    <s v="Nab-Makeup"/>
    <x v="41"/>
    <d v="2025-07-03T00:00:00"/>
    <n v="150"/>
    <d v="2025-08-01T00:00:00"/>
    <m/>
  </r>
  <r>
    <s v="Bassad Fatadin c/o Anuelle Begue Fatadin"/>
    <s v="Caldwell Lane, Glen Park, Vacoas"/>
    <s v="Glen Park"/>
    <s v="Vacoas"/>
    <n v="59335265"/>
    <s v="Nab-Makeup"/>
    <x v="41"/>
    <d v="2025-07-03T00:00:00"/>
    <n v="150"/>
    <d v="2025-08-01T00:00:00"/>
    <m/>
  </r>
  <r>
    <s v="Loginee Kungarem"/>
    <s v="Ramtohul Lane, Surinam"/>
    <s v="Surinam"/>
    <s v="Surinam"/>
    <n v="58315151"/>
    <s v="Nab-Makeup"/>
    <x v="41"/>
    <d v="2025-07-03T00:00:00"/>
    <n v="150"/>
    <d v="2025-08-01T00:00:00"/>
    <m/>
  </r>
  <r>
    <s v="Ashmita Babajee"/>
    <s v="Sans Souci Road, Montagne Blanche, Moka"/>
    <s v="Moka"/>
    <s v="Montagne Blanche"/>
    <n v="57976562"/>
    <s v="Nab-Makeup"/>
    <x v="41"/>
    <d v="2025-07-03T00:00:00"/>
    <n v="150"/>
    <d v="2025-08-01T00:00:00"/>
    <m/>
  </r>
  <r>
    <s v="Rouwayda Alibocus"/>
    <s v="Lot 127, Morc Fairview, Mare D’Albert, Grand Port, Mauritius"/>
    <s v="Mare D’Albert"/>
    <s v="Mare D’Albert"/>
    <n v="57993517"/>
    <s v="Nab-Makeup"/>
    <x v="41"/>
    <d v="2025-07-03T00:00:00"/>
    <n v="150"/>
    <d v="2025-08-01T00:00:00"/>
    <m/>
  </r>
  <r>
    <s v="Hemisha Mohesh"/>
    <s v="Callychurn Lane, Carreau Laliane, Vacoas"/>
    <s v="Carreau Laliane"/>
    <s v="Vacoas"/>
    <n v="57159052"/>
    <s v="Nab-Makeup"/>
    <x v="41"/>
    <d v="2025-07-03T00:00:00"/>
    <n v="150"/>
    <d v="2025-08-01T00:00:00"/>
    <m/>
  </r>
  <r>
    <s v="Kesha Bhaya"/>
    <s v="Avenue La Forge, Palma, Quatre Bornes"/>
    <s v="Quatre Bornes"/>
    <s v="Palma"/>
    <n v="57958088"/>
    <s v="Nab-Makeup"/>
    <x v="41"/>
    <d v="2025-07-03T00:00:00"/>
    <n v="150"/>
    <d v="2025-08-01T00:00:00"/>
    <m/>
  </r>
  <r>
    <s v="Marie Emilie Georgina Petit"/>
    <s v="No 10, Cité EDC, Pamplemousses"/>
    <s v="Pamplemousses"/>
    <s v="Pamplemousses"/>
    <n v="58434397"/>
    <s v="Nab-Makeup"/>
    <x v="41"/>
    <d v="2025-07-03T00:00:00"/>
    <n v="150"/>
    <d v="2025-08-01T00:00:00"/>
    <m/>
  </r>
  <r>
    <s v="Yashni Beetalah"/>
    <s v="10 Route Bassin, Quatre Bornes, Mauritius"/>
    <s v="Quatre Bornes"/>
    <s v="Quatre Bornes"/>
    <n v="57850366"/>
    <s v="Nab-Makeup"/>
    <x v="41"/>
    <d v="2025-07-03T00:00:00"/>
    <n v="150"/>
    <d v="2025-08-01T00:00:00"/>
    <m/>
  </r>
  <r>
    <s v="Faeza Moraby"/>
    <s v="Pave road, Cap Malheureux"/>
    <s v="Cap Malheureux"/>
    <s v="Cap Malheureux"/>
    <n v="57968649"/>
    <s v="Nab-Makeup"/>
    <x v="41"/>
    <d v="2025-07-03T00:00:00"/>
    <n v="150"/>
    <d v="2025-08-01T00:00:00"/>
    <m/>
  </r>
  <r>
    <s v="Shekinah Rungadok"/>
    <s v="6 Corby Street, Beau-Bassin"/>
    <s v="Beau-Bassin"/>
    <s v="Beau Bassin"/>
    <n v="59842345"/>
    <s v="Nab-Makeup"/>
    <x v="41"/>
    <d v="2025-07-03T00:00:00"/>
    <n v="150"/>
    <d v="2025-08-01T00:00:00"/>
    <m/>
  </r>
  <r>
    <s v="Anuradha Latona"/>
    <s v="NHDC N10, Glen Park, Vacoas"/>
    <s v="Glen Park"/>
    <s v="Vacoas"/>
    <n v="58281372"/>
    <s v="Nab-Makeup"/>
    <x v="41"/>
    <d v="2025-07-03T00:00:00"/>
    <n v="150"/>
    <d v="2025-08-01T00:00:00"/>
    <m/>
  </r>
  <r>
    <s v="Mamta Bauljeewon"/>
    <s v="Royal Road, Riviere des Anguilles"/>
    <s v="Riviere des Anguilles"/>
    <s v="Riviere des Anguilles"/>
    <n v="58619536"/>
    <s v="Nab-Makeup"/>
    <x v="41"/>
    <d v="2025-07-03T00:00:00"/>
    <n v="150"/>
    <d v="2025-08-01T00:00:00"/>
    <m/>
  </r>
  <r>
    <s v="Aarti Joyram"/>
    <s v="Morc Koenig, Phoenix"/>
    <s v="Phoenix"/>
    <s v="Phoenix"/>
    <n v="57663201"/>
    <s v="Nab-Makeup"/>
    <x v="41"/>
    <d v="2025-07-03T00:00:00"/>
    <n v="150"/>
    <d v="2025-08-01T00:00:00"/>
    <m/>
  </r>
  <r>
    <s v="Om Reedhikesh Armoogum"/>
    <s v="Swami Sivananda Avenue, Floreal"/>
    <s v="Floreal"/>
    <s v="Floréal"/>
    <n v="57022959"/>
    <s v="Nab-Makeup"/>
    <x v="41"/>
    <d v="2025-07-03T00:00:00"/>
    <n v="150"/>
    <d v="2025-08-01T00:00:00"/>
    <m/>
  </r>
  <r>
    <s v="Avnish Gungaram"/>
    <s v="Ave Des Colombes, Medine, Camp De Masque"/>
    <s v="Medine"/>
    <s v="Camp De Masque"/>
    <n v="57728772"/>
    <s v="Nab-Makeup"/>
    <x v="41"/>
    <d v="2025-07-03T00:00:00"/>
    <n v="150"/>
    <d v="2025-08-01T00:00:00"/>
    <m/>
  </r>
  <r>
    <s v="Maryam Mungroo"/>
    <s v="Market Lane, Rose Belle"/>
    <s v="Rose Belle"/>
    <s v="Rose Belle"/>
    <n v="59283079"/>
    <s v="Nab-Makeup"/>
    <x v="41"/>
    <d v="2025-07-03T00:00:00"/>
    <n v="150"/>
    <d v="2025-08-01T00:00:00"/>
    <m/>
  </r>
  <r>
    <s v="Shabneez Abdool Khader"/>
    <s v="Parasol Lane, Mont-Fertile, New-Grove"/>
    <s v="New-Grove"/>
    <s v="Mont-Fertile"/>
    <n v="59273443"/>
    <s v="Nab-Makeup"/>
    <x v="41"/>
    <d v="2025-07-03T00:00:00"/>
    <n v="150"/>
    <d v="2025-08-01T00:00:00"/>
    <m/>
  </r>
  <r>
    <s v="Luchmun Yavnah"/>
    <s v="Royal Road, Bon Accueil, Flacq"/>
    <s v="Flacq"/>
    <s v="Bon Accueil"/>
    <n v="58580571"/>
    <s v="Nab-Makeup"/>
    <x v="41"/>
    <d v="2025-07-03T00:00:00"/>
    <n v="150"/>
    <d v="2025-08-01T00:00:00"/>
    <m/>
  </r>
  <r>
    <s v="Rati Cawroo"/>
    <s v="Lot 127, Residence Les Jardins D'Anna, Flic en Flac"/>
    <s v="Flic en Flac"/>
    <s v="Flic en Flac"/>
    <n v="55029138"/>
    <s v="Nab-Makeup"/>
    <x v="41"/>
    <d v="2025-07-03T00:00:00"/>
    <n v="150"/>
    <d v="2025-08-01T00:00:00"/>
    <m/>
  </r>
  <r>
    <s v="Maneisha Manda Appadoo"/>
    <s v="Mosque Road, Rose-Belle"/>
    <s v="Rose-Belle"/>
    <s v="Rose-Belle"/>
    <n v="58141471"/>
    <s v="Nab-Makeup"/>
    <x v="41"/>
    <d v="2025-07-03T00:00:00"/>
    <n v="150"/>
    <d v="2025-08-01T00:00:00"/>
    <m/>
  </r>
  <r>
    <s v="Allyocha Burridge"/>
    <s v="Avenue Jerôme Tranquille, Artichaut Lane 1, Vacoas"/>
    <s v="Vacoas"/>
    <s v="Vacoas"/>
    <n v="58097960"/>
    <s v="Nab-Makeup"/>
    <x v="41"/>
    <d v="2025-07-03T00:00:00"/>
    <n v="150"/>
    <d v="2025-08-01T00:00:00"/>
    <m/>
  </r>
  <r>
    <s v="Cristel Desperles"/>
    <s v="Pazani Malai Road, Cap Malheureux"/>
    <s v="Cap Malheureux"/>
    <s v="Cap Malheureux"/>
    <n v="59765444"/>
    <s v="Nab-Makeup"/>
    <x v="41"/>
    <d v="2025-07-03T00:00:00"/>
    <n v="150"/>
    <d v="2025-08-01T00:00:00"/>
    <m/>
  </r>
  <r>
    <s v="Nooriyah Banon"/>
    <s v="Apt 23, Le Mona Loa, Residence Crater, Dr Mayer Street, Floreal"/>
    <s v="Floreal"/>
    <s v="Floréal"/>
    <n v="58121192"/>
    <s v="Nab-Makeup"/>
    <x v="41"/>
    <d v="2025-07-03T00:00:00"/>
    <n v="150"/>
    <d v="2025-08-01T00:00:00"/>
    <m/>
  </r>
  <r>
    <s v="Zaina Ozeer"/>
    <s v="Paradise Street, Tyack, Riv des Anguilles"/>
    <s v="Riv des Anguilles"/>
    <s v="Tyack"/>
    <n v="57919293"/>
    <s v="Nab-Makeup"/>
    <x v="41"/>
    <d v="2025-07-03T00:00:00"/>
    <n v="150"/>
    <d v="2025-08-01T00:00:00"/>
    <m/>
  </r>
  <r>
    <s v="Sadiyah Sarvar"/>
    <s v="Morcellement St Aubin No 100"/>
    <s v="St Aubin"/>
    <s v="St Aubin"/>
    <n v="58150895"/>
    <s v="Nab-Makeup"/>
    <x v="41"/>
    <d v="2025-07-03T00:00:00"/>
    <n v="150"/>
    <d v="2025-08-01T00:00:00"/>
    <m/>
  </r>
  <r>
    <s v="Shagoofta Shaik Raman"/>
    <s v="13, Royal Road, Beau-Bassin"/>
    <s v="Beau-Bassin"/>
    <s v="Beau Bassin"/>
    <n v="58204080"/>
    <s v="Nab-Makeup"/>
    <x v="41"/>
    <d v="2025-07-03T00:00:00"/>
    <n v="150"/>
    <d v="2025-08-01T00:00:00"/>
    <m/>
  </r>
  <r>
    <s v="Vanisha Ramdin"/>
    <s v="LA Mairee, Eau Coulée"/>
    <s v="Eau Coulée"/>
    <s v="Eau Coulee"/>
    <n v="58034098"/>
    <s v="Nab-Makeup"/>
    <x v="41"/>
    <d v="2025-07-03T00:00:00"/>
    <n v="150"/>
    <d v="2025-08-01T00:00:00"/>
    <m/>
  </r>
  <r>
    <s v="Sanya Gaungoo"/>
    <s v="Royal Road, St Hubert, Ramrachia Lane"/>
    <s v="Royal Road"/>
    <s v="St Hubert"/>
    <s v="57937961 / 57685749"/>
    <s v="Nab-Makeup"/>
    <x v="41"/>
    <d v="2025-07-03T00:00:00"/>
    <n v="150"/>
    <d v="2025-08-01T00:00:00"/>
    <m/>
  </r>
  <r>
    <s v="Adil Beeharry"/>
    <s v="Prud'homme Street, Riviere des Anguilles"/>
    <s v="Riviere des Anguilles"/>
    <s v="Riviere des Anguilles"/>
    <n v="57986280"/>
    <s v="Nab-Makeup"/>
    <x v="41"/>
    <d v="2025-07-03T00:00:00"/>
    <n v="150"/>
    <d v="2025-08-01T00:00:00"/>
    <m/>
  </r>
  <r>
    <s v="Shaziah Wozeer"/>
    <s v="95 La Paix Street, Port Louis"/>
    <s v="Port Louis"/>
    <s v="Port Louis"/>
    <n v="57349330"/>
    <s v="Nab-Makeup"/>
    <x v="41"/>
    <d v="2025-07-03T00:00:00"/>
    <n v="150"/>
    <d v="2025-08-01T00:00:00"/>
    <m/>
  </r>
  <r>
    <s v="Waliyya Sundhoo"/>
    <s v="5 Dr Bour Street, Rose-Hill"/>
    <s v="Rose-Hill"/>
    <s v="Rose-Hill"/>
    <n v="58002834"/>
    <s v="Nab-Makeup"/>
    <x v="41"/>
    <d v="2025-07-03T00:00:00"/>
    <n v="150"/>
    <d v="2025-08-01T00:00:00"/>
    <m/>
  </r>
  <r>
    <s v="Urmila Lakhan"/>
    <s v="A25 Residences Hortensia, Mare D’Albert"/>
    <s v="Mare D’Albert"/>
    <s v="Mare D’Albert"/>
    <n v="58152146"/>
    <s v="Nab-Makeup"/>
    <x v="41"/>
    <d v="2025-07-03T00:00:00"/>
    <n v="150"/>
    <d v="2025-08-01T00:00:00"/>
    <m/>
  </r>
  <r>
    <s v="Kavina St Felix"/>
    <s v="51, Avenue de la Faye, Belle Rose, Quatre Bornes"/>
    <s v="Quatre Bornes"/>
    <s v="Belle Rose"/>
    <n v="54949025"/>
    <s v="Nab-Makeup"/>
    <x v="41"/>
    <d v="2025-07-03T00:00:00"/>
    <n v="150"/>
    <d v="2025-08-01T00:00:00"/>
    <m/>
  </r>
  <r>
    <s v="Sharon Ng Cheong Vee"/>
    <s v="Route Royale Visitation, Opposite Visitation Church, Vacoas"/>
    <s v="Vacoas"/>
    <s v="Vacoas"/>
    <n v="59378240"/>
    <s v="Nab-Makeup"/>
    <x v="41"/>
    <d v="2025-07-03T00:00:00"/>
    <n v="150"/>
    <d v="2025-08-01T00:00:00"/>
    <m/>
  </r>
  <r>
    <s v="Bibi Aisha Dilholaush"/>
    <s v="Royal Road, Union Park"/>
    <s v="Union Park"/>
    <s v="Union Park"/>
    <n v="59018427"/>
    <s v="Nab-Makeup"/>
    <x v="41"/>
    <d v="2025-07-03T00:00:00"/>
    <n v="150"/>
    <d v="2025-08-01T00:00:00"/>
    <m/>
  </r>
  <r>
    <s v="Yuktee Gopaul"/>
    <s v="MU 7, Avenue Bernardin de St Pierre, Quatre Bornes"/>
    <s v="Quatre Bornes"/>
    <s v="Quatre Bornes"/>
    <n v="58326513"/>
    <s v="Nab-Makeup"/>
    <x v="41"/>
    <d v="2025-07-03T00:00:00"/>
    <n v="150"/>
    <d v="2025-08-01T00:00:00"/>
    <m/>
  </r>
  <r>
    <s v="Aashi"/>
    <s v="Rose Hill, Stanley"/>
    <s v="Rose Hill"/>
    <s v="Stanley"/>
    <n v="59891073"/>
    <s v="Nab-Makeup"/>
    <x v="41"/>
    <d v="2025-07-03T00:00:00"/>
    <n v="150"/>
    <d v="2025-08-01T00:00:00"/>
    <m/>
  </r>
  <r>
    <s v="Lakshana Sesmun"/>
    <s v="47, Queen Victoria Street, Rose Hill"/>
    <s v="Rose Hill"/>
    <s v="Rose Hill"/>
    <n v="52505541"/>
    <s v="Nab-Makeup"/>
    <x v="41"/>
    <d v="2025-07-03T00:00:00"/>
    <n v="150"/>
    <d v="2025-08-01T00:00:00"/>
    <m/>
  </r>
  <r>
    <s v="Hasnaa Ahmod"/>
    <s v="Kowlessur Lane, Quatre Bornes"/>
    <s v="Quatre Bornes"/>
    <s v="Quatre Bornes"/>
    <n v="58218714"/>
    <s v="Nab-Makeup"/>
    <x v="41"/>
    <d v="2025-07-03T00:00:00"/>
    <n v="150"/>
    <d v="2025-08-01T00:00:00"/>
    <m/>
  </r>
  <r>
    <s v="Marie Arielle Estazar"/>
    <s v="Argy, Centre de Flacq"/>
    <s v="Agry"/>
    <s v="Central Flacq"/>
    <n v="58273290"/>
    <s v="Timeless Trends"/>
    <x v="40"/>
    <d v="2025-07-03T00:00:00"/>
    <n v="150"/>
    <d v="2025-08-01T00:00:00"/>
    <m/>
  </r>
  <r>
    <s v="Hansa Hurnam"/>
    <s v="Ebene"/>
    <s v="Ebene"/>
    <s v="Ebene"/>
    <n v="57730577"/>
    <s v="Little Star Boutique"/>
    <x v="40"/>
    <d v="2025-07-07T00:00:00"/>
    <n v="150"/>
    <d v="2025-08-01T00:00:00"/>
    <s v="COD: 500/-"/>
  </r>
  <r>
    <s v="Abhishek Cheekhooree"/>
    <s v="Mopirove Limited, Industrial Zone, Coromandel"/>
    <s v="Coromandel"/>
    <s v="Coromandel"/>
    <n v="59420122"/>
    <s v="Nab-Makeup"/>
    <x v="41"/>
    <d v="2025-07-07T00:00:00"/>
    <n v="150"/>
    <d v="2025-08-01T00:00:00"/>
    <m/>
  </r>
  <r>
    <s v="Shyamaal China-Appadu"/>
    <s v="47, Morcellement Beau-Plan, Bois Rouge, Mauritius"/>
    <s v="Bois Rouge"/>
    <s v="Bois Rouge"/>
    <n v="57177737"/>
    <s v="Nab-Makeup"/>
    <x v="41"/>
    <d v="2025-07-07T00:00:00"/>
    <n v="150"/>
    <d v="2025-08-01T00:00:00"/>
    <m/>
  </r>
  <r>
    <s v="Keshika Bhujoo"/>
    <s v="Dr Manilall Road, Petite-Julie, Pamplemousses"/>
    <s v="Change to Vacoas"/>
    <s v="Vacoas"/>
    <n v="59130842"/>
    <s v="Nab-Makeup"/>
    <x v="41"/>
    <d v="2025-07-07T00:00:00"/>
    <n v="150"/>
    <d v="2025-08-01T00:00:00"/>
    <s v="Has to be Vacoas"/>
  </r>
  <r>
    <s v="Toshna Rawoteea"/>
    <s v="Avenue Black Rock, Tamarin, Mauritius"/>
    <s v="Change to Ebene"/>
    <s v="Ebene"/>
    <n v="59078613"/>
    <s v="Nab-Makeup"/>
    <x v="41"/>
    <d v="2025-07-07T00:00:00"/>
    <n v="150"/>
    <d v="2025-08-01T00:00:00"/>
    <s v="has to be Ebene"/>
  </r>
  <r>
    <s v="Faezah Bint Tabrez"/>
    <s v="26 impasse gorah issac, Port louis"/>
    <s v="Port louis"/>
    <s v="Port Louis"/>
    <n v="58384830"/>
    <s v="OKASINA"/>
    <x v="42"/>
    <d v="2025-07-07T00:00:00"/>
    <n v="150"/>
    <d v="2025-08-01T00:00:00"/>
    <s v="COD: 2675"/>
  </r>
  <r>
    <s v="Miss fowdar"/>
    <s v="National Women Entrepreneur, Phoenix"/>
    <s v="Phoenix"/>
    <s v="Phoenix"/>
    <n v="57537084"/>
    <s v="OKASINA"/>
    <x v="42"/>
    <d v="2025-07-07T00:00:00"/>
    <n v="150"/>
    <d v="2025-08-01T00:00:00"/>
    <s v="COD: 2600"/>
  </r>
  <r>
    <s v="Swasty "/>
    <s v="FREELAND LANE, GLEN PARK VACOAS"/>
    <s v="Vacoas"/>
    <s v="Vacoas"/>
    <n v="52538349"/>
    <s v="OKASINA"/>
    <x v="42"/>
    <d v="2025-07-07T00:00:00"/>
    <n v="150"/>
    <d v="2025-08-01T00:00:00"/>
    <s v="COD: 2145"/>
  </r>
  <r>
    <s v="Varuna Ramburrun"/>
    <s v="Royal Road, St Julien D'Hotman"/>
    <s v="East"/>
    <s v="St Julien D'Hotman"/>
    <n v="52526373"/>
    <s v="OKASINA"/>
    <x v="42"/>
    <d v="2025-07-07T00:00:00"/>
    <n v="150"/>
    <d v="2025-08-01T00:00:00"/>
    <s v="COD: 3545"/>
  </r>
  <r>
    <s v="Damree Aaliyah Bibi Zafirah"/>
    <s v="Latapie Road dodo lane Bon Accueil"/>
    <s v="Bon Accueil"/>
    <s v="Bon Accueil"/>
    <n v="58021671"/>
    <s v="Nab-Makeup"/>
    <x v="42"/>
    <d v="2025-07-07T00:00:00"/>
    <n v="150"/>
    <d v="2025-08-01T00:00:00"/>
    <m/>
  </r>
  <r>
    <s v="Mandishta Indur"/>
    <s v="Royal Road, Anand Square, 8th Mile, Triolet"/>
    <s v="Triolet"/>
    <s v="Triolet"/>
    <n v="58468896"/>
    <s v="Nab-Makeup"/>
    <x v="42"/>
    <d v="2025-07-07T00:00:00"/>
    <n v="150"/>
    <d v="2025-08-01T00:00:00"/>
    <m/>
  </r>
  <r>
    <s v="Neha Sunnoo"/>
    <s v="Boundary Road, Bambous"/>
    <s v="Bambous"/>
    <s v="Bambous"/>
    <n v="59273324"/>
    <s v="Nab-Makeup"/>
    <x v="42"/>
    <d v="2025-07-07T00:00:00"/>
    <n v="150"/>
    <d v="2025-08-01T00:00:00"/>
    <m/>
  </r>
  <r>
    <s v="Aisha Nootaybah Ausrafally"/>
    <s v="Royal Road Bel Air Riviere Seche, Bel Air"/>
    <s v="Bel Air"/>
    <s v="Bel Air"/>
    <n v="57867050"/>
    <s v="Nab-Makeup"/>
    <x v="42"/>
    <d v="2025-07-07T00:00:00"/>
    <n v="150"/>
    <d v="2025-08-01T00:00:00"/>
    <m/>
  </r>
  <r>
    <s v="Samiirah Dowlut"/>
    <s v="Royal Road Sebastopol, Sebastopol"/>
    <s v="Sebastopol"/>
    <s v="Sebastopol"/>
    <n v="58239481"/>
    <s v="Nab-Makeup"/>
    <x v="42"/>
    <d v="2025-07-07T00:00:00"/>
    <n v="150"/>
    <d v="2025-08-01T00:00:00"/>
    <m/>
  </r>
  <r>
    <s v="Amiirah Deenmahomed"/>
    <s v="Moncellement Currumthalee, Glen Park, Vacoas"/>
    <s v="Glen Park"/>
    <s v="Vacoas"/>
    <n v="54899559"/>
    <s v="Nab-Makeup"/>
    <x v="42"/>
    <d v="2025-07-07T00:00:00"/>
    <n v="150"/>
    <d v="2025-08-01T00:00:00"/>
    <m/>
  </r>
  <r>
    <s v="Hemamta Ragoonanan"/>
    <s v="Dodo Lane, Montagne Blanche"/>
    <s v="Montagne Blanche"/>
    <s v="Montagne Blanche"/>
    <n v="58105290"/>
    <s v="Nab-Makeup"/>
    <x v="42"/>
    <d v="2025-07-07T00:00:00"/>
    <n v="150"/>
    <d v="2025-08-01T00:00:00"/>
    <m/>
  </r>
  <r>
    <s v="Bibi Zeenat Bola"/>
    <s v="Princess Ann St, 7th Mile Triolet, Port Louis"/>
    <s v="Port Louis"/>
    <s v="Port Louis"/>
    <s v="+230 5782 7279"/>
    <s v="Nab-Makeup"/>
    <x v="42"/>
    <d v="2025-07-07T00:00:00"/>
    <n v="150"/>
    <d v="2025-08-01T00:00:00"/>
    <m/>
  </r>
  <r>
    <s v="Haurdhan Kavish"/>
    <s v="Bathoolaul St, Roche-Terre"/>
    <s v="Roche-Terre"/>
    <s v="Roche Terre"/>
    <n v="59246179"/>
    <s v="Nab-Makeup"/>
    <x v="42"/>
    <d v="2025-07-07T00:00:00"/>
    <n v="150"/>
    <d v="2025-08-01T00:00:00"/>
    <m/>
  </r>
  <r>
    <s v="Sumesh Dewdanee"/>
    <s v="Subash Road, Poudre D'Or Hamlet"/>
    <s v="Poudre D'Or Hamlet"/>
    <s v="Poudre D'Or Hamlet"/>
    <s v="57770661, 57523370"/>
    <s v="Nab-Makeup"/>
    <x v="42"/>
    <d v="2025-07-07T00:00:00"/>
    <n v="150"/>
    <d v="2025-08-01T00:00:00"/>
    <m/>
  </r>
  <r>
    <s v="Yajna Beharee"/>
    <s v="Mahatma Gandhi Road, Mon Gout Pamplemousse"/>
    <s v="Pamplemousse"/>
    <s v="Pamplemousses"/>
    <n v="59220654"/>
    <s v="Nab-Makeup"/>
    <x v="42"/>
    <d v="2025-07-07T00:00:00"/>
    <n v="150"/>
    <d v="2025-08-01T00:00:00"/>
    <m/>
  </r>
  <r>
    <s v="Atchia Hadiyyah"/>
    <s v="29 Louis Pasteur Street, Port Louis"/>
    <s v="Port Louis"/>
    <s v="Port Louis"/>
    <n v="59292398"/>
    <s v="Nab-Makeup"/>
    <x v="42"/>
    <d v="2025-07-07T00:00:00"/>
    <n v="150"/>
    <d v="2025-08-01T00:00:00"/>
    <m/>
  </r>
  <r>
    <s v="Tanvi Bhowaneedin"/>
    <s v="Nexteracom Tower 1, Ebene"/>
    <s v="Ebene"/>
    <s v="Ebene"/>
    <n v="58016109"/>
    <s v="Nab-Makeup"/>
    <x v="42"/>
    <d v="2025-07-07T00:00:00"/>
    <n v="150"/>
    <d v="2025-08-01T00:00:00"/>
    <m/>
  </r>
  <r>
    <s v="Sadiyah Sarvar"/>
    <s v="Morcellement St Aubin No 100"/>
    <s v="St Aubin "/>
    <s v="St Aubin"/>
    <n v="58150895"/>
    <s v="Nab-Makeup"/>
    <x v="42"/>
    <d v="2025-07-07T00:00:00"/>
    <n v="150"/>
    <d v="2025-08-01T00:00:00"/>
    <m/>
  </r>
  <r>
    <s v="Aiyyaz Issimdar"/>
    <s v="Royal Road, Henrietta, Vacoas"/>
    <s v="Vacoas"/>
    <s v="Vacoas"/>
    <n v="58007505"/>
    <s v="Nab-Makeup"/>
    <x v="42"/>
    <d v="2025-07-07T00:00:00"/>
    <n v="150"/>
    <d v="2025-08-01T00:00:00"/>
    <m/>
  </r>
  <r>
    <s v="Ganeshwaree Bacoree"/>
    <s v="Jasmine Avenue, Belle Mare"/>
    <s v="Belle Mare"/>
    <s v="Belle Mare"/>
    <n v="59827121"/>
    <s v="Nab-Makeup"/>
    <x v="42"/>
    <d v="2025-07-07T00:00:00"/>
    <n v="150"/>
    <d v="2025-08-01T00:00:00"/>
    <m/>
  </r>
  <r>
    <s v="Priya.D Mungloo"/>
    <s v="TresBon No2, Vacoas"/>
    <s v="Vacoas"/>
    <s v="Vacoas"/>
    <n v="59117300"/>
    <s v="Nab-Makeup"/>
    <x v="42"/>
    <d v="2025-07-07T00:00:00"/>
    <n v="150"/>
    <d v="2025-08-01T00:00:00"/>
    <m/>
  </r>
  <r>
    <s v="Catherine Bestel"/>
    <s v="31, Domaine Du Levant, Roches Noires"/>
    <s v="Roches Noires"/>
    <s v="Roches Noires"/>
    <n v="52562551"/>
    <s v="Nab-Makeup"/>
    <x v="42"/>
    <d v="2025-07-07T00:00:00"/>
    <n v="150"/>
    <d v="2025-08-01T00:00:00"/>
    <m/>
  </r>
  <r>
    <s v="Melissa Ducray"/>
    <s v="Avenue Albatross, Morcellement Raffray, Albion"/>
    <s v="Albion"/>
    <s v="Albion"/>
    <n v="57246901"/>
    <s v="Nab-Makeup"/>
    <x v="42"/>
    <d v="2025-07-07T00:00:00"/>
    <n v="150"/>
    <d v="2025-08-01T00:00:00"/>
    <m/>
  </r>
  <r>
    <s v="Zarina Bhollah"/>
    <s v="7 Trisnapoly Street, Plain Vert, Port Louis"/>
    <s v="Port Louis"/>
    <s v="Port Louis"/>
    <n v="58116574"/>
    <s v="Nab-Makeup"/>
    <x v="42"/>
    <d v="2025-07-07T00:00:00"/>
    <n v="150"/>
    <d v="2025-08-01T00:00:00"/>
    <m/>
  </r>
  <r>
    <s v="Mohammodally Sharfaa"/>
    <s v="Royal Road, Caroline, Bel Air"/>
    <s v="Bel Air"/>
    <s v="Bel Air"/>
    <n v="59812961"/>
    <s v="Nab-Makeup"/>
    <x v="42"/>
    <d v="2025-07-07T00:00:00"/>
    <n v="150"/>
    <d v="2025-08-01T00:00:00"/>
    <m/>
  </r>
  <r>
    <s v="Shaheerah Sooboa"/>
    <s v="53 Abdool Razack Mohamed Street, Port Louis"/>
    <s v="Port Louis"/>
    <s v="Port Louis"/>
    <n v="59019359"/>
    <s v="Nab-Makeup"/>
    <x v="42"/>
    <d v="2025-07-10T00:00:00"/>
    <n v="150"/>
    <d v="2025-08-01T00:00:00"/>
    <m/>
  </r>
  <r>
    <s v="Namrata Munroop Betchoo"/>
    <s v="Shivala Road, Ecroignard, Centre de Flacq"/>
    <s v="Centre de Flacq"/>
    <s v="Central Flacq"/>
    <n v="57769647"/>
    <s v="Nab-Makeup"/>
    <x v="42"/>
    <d v="2025-07-07T00:00:00"/>
    <n v="150"/>
    <d v="2025-08-01T00:00:00"/>
    <m/>
  </r>
  <r>
    <s v="Nabeeha Joomun"/>
    <s v="Glen Park, Vacoas"/>
    <s v="Vacoas"/>
    <s v="Vacoas"/>
    <n v="57014972"/>
    <s v="Nab-Makeup"/>
    <x v="42"/>
    <d v="2025-07-07T00:00:00"/>
    <n v="150"/>
    <d v="2025-08-01T00:00:00"/>
    <m/>
  </r>
  <r>
    <s v="Ruksaar Durgahee"/>
    <s v="Avenue Perrche, 3 Pailles"/>
    <s v="Pailles"/>
    <s v="Pailles"/>
    <s v="58963808 or 59033340"/>
    <s v="Nab-Makeup"/>
    <x v="42"/>
    <d v="2025-07-07T00:00:00"/>
    <n v="150"/>
    <d v="2025-08-01T00:00:00"/>
    <m/>
  </r>
  <r>
    <s v="Aparna Ramgoolam"/>
    <s v="Avenue Des Colombes, Medine Camp de Masque"/>
    <s v="Camp de Masque"/>
    <s v="Camp de Masque"/>
    <n v="57726954"/>
    <s v="Nab-Makeup"/>
    <x v="42"/>
    <d v="2025-07-07T00:00:00"/>
    <n v="150"/>
    <d v="2025-08-01T00:00:00"/>
    <m/>
  </r>
  <r>
    <s v="Rukshar Shamutally"/>
    <s v="Beekawoo Lane, Phoenix"/>
    <s v="Phoenix"/>
    <s v="Phoenix"/>
    <n v="58046068"/>
    <s v="Nab-Makeup"/>
    <x v="42"/>
    <d v="2025-07-07T00:00:00"/>
    <n v="150"/>
    <d v="2025-08-01T00:00:00"/>
    <m/>
  </r>
  <r>
    <s v="Vaisnavi Rai Baichoo Jeetun"/>
    <s v="Engrais Martial Street, Curepipe"/>
    <s v="Curepipe"/>
    <s v="Curepipe"/>
    <s v="+230 58003626"/>
    <s v="Nab-Makeup"/>
    <x v="42"/>
    <d v="2025-07-07T00:00:00"/>
    <n v="150"/>
    <d v="2025-08-01T00:00:00"/>
    <m/>
  </r>
  <r>
    <s v="Maeva Laroy"/>
    <s v="E44 Avenue L'esperance, Residence Kennedy, Quatre Bornes"/>
    <s v="Quatre Bornes"/>
    <s v="Quatre Bornes"/>
    <n v="57457509"/>
    <s v="Nab-Makeup"/>
    <x v="42"/>
    <d v="2025-07-07T00:00:00"/>
    <n v="150"/>
    <d v="2025-08-01T00:00:00"/>
    <m/>
  </r>
  <r>
    <s v="Nirvana Pemsing"/>
    <s v="34 Dr Henry Seneque, Bell Village, Port Louis"/>
    <s v="Port Louis"/>
    <s v="Port Louis"/>
    <n v="57764673"/>
    <s v="Nab-Makeup"/>
    <x v="42"/>
    <d v="2025-07-10T00:00:00"/>
    <n v="150"/>
    <d v="2025-08-01T00:00:00"/>
    <m/>
  </r>
  <r>
    <s v="Sirimah Plaiche"/>
    <s v="7 Morcellement La Sourdine, L'Escalier, Savanne"/>
    <s v="L'Escalier"/>
    <s v="L'Escalier"/>
    <n v="57567429"/>
    <s v="Nab-Makeup"/>
    <x v="42"/>
    <d v="2025-07-07T00:00:00"/>
    <n v="150"/>
    <d v="2025-08-01T00:00:00"/>
    <m/>
  </r>
  <r>
    <s v="Muhammud Ali Callachand"/>
    <s v="1, Pont St Louis, Pailles, Port Louis"/>
    <s v="Port Louis"/>
    <s v="Port Louis"/>
    <n v="57605755"/>
    <s v="Nab-Makeup"/>
    <x v="42"/>
    <d v="2025-07-07T00:00:00"/>
    <n v="150"/>
    <d v="2025-08-01T00:00:00"/>
    <m/>
  </r>
  <r>
    <s v="Aisha Cader"/>
    <s v="Telecom Rosehill"/>
    <s v="Rosehill"/>
    <s v="Rose Hill"/>
    <n v="59449445"/>
    <s v="Nab-Makeup"/>
    <x v="42"/>
    <d v="2025-07-07T00:00:00"/>
    <n v="150"/>
    <d v="2025-08-01T00:00:00"/>
    <m/>
  </r>
  <r>
    <s v="Mehediya Furreed"/>
    <s v="21 Aleppo Street, Camp Yoloff, Port Louis"/>
    <s v="Port Louis"/>
    <s v="Port Louis"/>
    <n v="57971368"/>
    <s v="Nab-Makeup"/>
    <x v="42"/>
    <d v="2025-07-07T00:00:00"/>
    <n v="150"/>
    <d v="2025-08-01T00:00:00"/>
    <m/>
  </r>
  <r>
    <s v="Ashreena Shibnauth"/>
    <s v="Royal Road, Union Vale, Trois Boutiques"/>
    <s v="Trois Boutiques"/>
    <s v="Trois Boutiques"/>
    <n v="57984561"/>
    <s v="Nab-Makeup"/>
    <x v="42"/>
    <d v="2025-07-07T00:00:00"/>
    <n v="150"/>
    <d v="2025-08-01T00:00:00"/>
    <m/>
  </r>
  <r>
    <s v="Shivani Sookta"/>
    <s v="Nanuck Lane, Baramia, Rose-Belle"/>
    <s v="Rose-Belle"/>
    <s v="Rose Belle"/>
    <n v="57965953"/>
    <s v="Nab-Makeup"/>
    <x v="42"/>
    <d v="2025-07-07T00:00:00"/>
    <n v="150"/>
    <d v="2025-08-01T00:00:00"/>
    <m/>
  </r>
  <r>
    <s v="Yamini Pagoo"/>
    <s v="SSR Lane, L'Escalier"/>
    <s v="L'Escalier"/>
    <s v="L'Escalier"/>
    <n v="57790742"/>
    <s v="Nab-Makeup"/>
    <x v="42"/>
    <d v="2025-07-07T00:00:00"/>
    <n v="150"/>
    <d v="2025-08-01T00:00:00"/>
    <m/>
  </r>
  <r>
    <s v="Kawthur Kurreemun Bibi Najaah"/>
    <s v="49 Lome Lane, Caro Lalo, Vallee des Pretres"/>
    <s v="Vallee des Pretres"/>
    <s v="Vallee des Pretres"/>
    <n v="59464329"/>
    <s v="Nab-Makeup"/>
    <x v="42"/>
    <d v="2025-07-10T00:00:00"/>
    <n v="150"/>
    <d v="2025-08-01T00:00:00"/>
    <m/>
  </r>
  <r>
    <s v="Vanina Veerasamy"/>
    <s v="Rose Hill (Bon Pasteur &amp; Coromandel)"/>
    <s v="Rose Hill / Coromandel"/>
    <s v="Rose Hill"/>
    <n v="57388692"/>
    <s v="Nab-Makeup"/>
    <x v="42"/>
    <d v="2025-07-07T00:00:00"/>
    <n v="150"/>
    <d v="2025-08-01T00:00:00"/>
    <m/>
  </r>
  <r>
    <s v="Shameenaz Ismael"/>
    <s v="Lamusse Road, Plaine Magnien"/>
    <s v="Plaine Magnien"/>
    <s v="Plaine Magnien"/>
    <n v="57720608"/>
    <s v="Nab-Makeup"/>
    <x v="42"/>
    <d v="2025-07-07T00:00:00"/>
    <n v="150"/>
    <d v="2025-08-01T00:00:00"/>
    <m/>
  </r>
  <r>
    <s v="Chumun Shristi"/>
    <s v="Tribeca Mall"/>
    <s v="Tribeca"/>
    <s v="Tribeca"/>
    <n v="59028141"/>
    <s v="Nab-Makeup"/>
    <x v="42"/>
    <d v="2025-07-07T00:00:00"/>
    <n v="150"/>
    <d v="2025-08-01T00:00:00"/>
    <m/>
  </r>
  <r>
    <s v="Melanie Chan"/>
    <s v="Geranium lane, Grand Baie"/>
    <s v="Grand Baie"/>
    <s v="Grand Baie"/>
    <n v="52556562"/>
    <s v="Nab-Makeup"/>
    <x v="42"/>
    <d v="2025-07-07T00:00:00"/>
    <n v="150"/>
    <d v="2025-08-01T00:00:00"/>
    <m/>
  </r>
  <r>
    <s v="Nivritti Devi Ramgulam"/>
    <s v="ICON EBENE, Ebene"/>
    <s v="Ebene"/>
    <s v="Ebene"/>
    <n v="59035203"/>
    <s v="Nab-Makeup"/>
    <x v="42"/>
    <d v="2025-07-07T00:00:00"/>
    <n v="150"/>
    <d v="2025-08-01T00:00:00"/>
    <m/>
  </r>
  <r>
    <s v="Dishaa Mulliah"/>
    <s v="7 Aves des Anthuriums, Burrenchobay H E, Plaine Magnien"/>
    <s v="Plaine Magnien"/>
    <s v="Plaine Magnien"/>
    <n v="59187728"/>
    <s v="Nab-Makeup"/>
    <x v="42"/>
    <d v="2025-07-07T00:00:00"/>
    <n v="150"/>
    <d v="2025-08-01T00:00:00"/>
    <m/>
  </r>
  <r>
    <s v="Yeshnee Bye Rama Ramchurrun"/>
    <s v="11 Western Boundary, Quatre Bornes"/>
    <s v="Quatre Bornes"/>
    <s v="Quatre Bornes"/>
    <n v="57095798"/>
    <s v="Nab-Makeup"/>
    <x v="42"/>
    <d v="2025-07-07T00:00:00"/>
    <n v="150"/>
    <d v="2025-08-01T00:00:00"/>
    <m/>
  </r>
  <r>
    <s v="Taslimah Toorabally"/>
    <s v="No12 Starlane, off Sainte Marie Street, Sainte Croix, Port Louis"/>
    <s v="Port Louis"/>
    <s v="Port Louis"/>
    <n v="57547595"/>
    <s v="Nab-Makeup"/>
    <x v="42"/>
    <s v="Cancelled"/>
    <n v="150"/>
    <m/>
    <s v="I went there twice"/>
  </r>
  <r>
    <s v="Kawshar Noshib"/>
    <s v="9 William Stanley, Plaine Lauzun, Pailles"/>
    <s v="Pailles"/>
    <s v="Pailles"/>
    <n v="59860101"/>
    <s v="Nab-Makeup"/>
    <x v="42"/>
    <d v="2025-07-07T00:00:00"/>
    <n v="150"/>
    <d v="2025-08-01T00:00:00"/>
    <m/>
  </r>
  <r>
    <s v="Kovashini Sedembarum"/>
    <s v="Cyril Lagesse Lane, Grand Bay (near Pharmacy Lo)"/>
    <s v="Grand Bay"/>
    <s v="Grand Baie"/>
    <n v="58286772"/>
    <s v="Nab-Makeup"/>
    <x v="42"/>
    <d v="2025-07-07T00:00:00"/>
    <n v="150"/>
    <d v="2025-08-01T00:00:00"/>
    <m/>
  </r>
  <r>
    <s v="Muhammad Muzzammil Tagally"/>
    <s v="Soobhany Road, Goodlands"/>
    <s v="Goodlands"/>
    <s v="Goodlands"/>
    <n v="58263120"/>
    <s v="Nab-Makeup"/>
    <x v="42"/>
    <d v="2025-07-07T00:00:00"/>
    <n v="150"/>
    <d v="2025-08-01T00:00:00"/>
    <m/>
  </r>
  <r>
    <s v="Cristalyn Meunier"/>
    <s v="7 Impasse Mgr Leen, Beau Bassin"/>
    <s v="Beau Bassin"/>
    <s v="Beau Bassin"/>
    <n v="58123770"/>
    <s v="Nab-Makeup"/>
    <x v="42"/>
    <d v="2025-07-07T00:00:00"/>
    <n v="150"/>
    <d v="2025-08-01T00:00:00"/>
    <m/>
  </r>
  <r>
    <s v="Sunita Bissoonauth"/>
    <s v="Avenue de Capucine, Camp de embrevate, Pamplemousses"/>
    <s v="Pamplemousses"/>
    <s v="Pamplemousses"/>
    <n v="57533607"/>
    <s v="Timeless Trends"/>
    <x v="43"/>
    <d v="2025-07-07T00:00:00"/>
    <n v="150"/>
    <d v="2025-08-01T00:00:00"/>
    <m/>
  </r>
  <r>
    <s v="Ansooya Mungra-Padavathan"/>
    <s v="Ramdhun Lane, Gros Billot, New Grove"/>
    <s v="New Grove"/>
    <s v="New Grove"/>
    <n v="57528785"/>
    <s v="Timeless Trends"/>
    <x v="44"/>
    <d v="2025-07-10T00:00:00"/>
    <n v="150"/>
    <d v="2025-08-01T00:00:00"/>
    <s v="COD: Rs 3100"/>
  </r>
  <r>
    <s v="Reshma Bhayraw"/>
    <s v="Royal Road, Saint Julien D'Hotman"/>
    <s v="Saint Julien D'Hotman"/>
    <s v="Saint Julien D'Hotman"/>
    <s v="59847853 or 52902775"/>
    <s v="Timeless Trends"/>
    <x v="44"/>
    <d v="2025-07-10T00:00:00"/>
    <n v="150"/>
    <d v="2025-08-01T00:00:00"/>
    <s v="COD: Rs 1625"/>
  </r>
  <r>
    <s v="Farheen Thybuccus"/>
    <s v="Royal Road, Calebasses, Pamplemousses"/>
    <s v="Pamplemousses"/>
    <s v="Pamplemousses"/>
    <n v="57011798"/>
    <s v="Nab-Makeup"/>
    <x v="45"/>
    <d v="2025-07-10T00:00:00"/>
    <n v="150"/>
    <d v="2025-08-01T00:00:00"/>
    <m/>
  </r>
  <r>
    <s v="Simran Swamber"/>
    <s v="La Source, Centre de Flacq"/>
    <s v="Centre de Flacq"/>
    <s v="Central Flacq"/>
    <n v="58304085"/>
    <s v="Nab-Makeup"/>
    <x v="45"/>
    <d v="2025-07-10T00:00:00"/>
    <n v="150"/>
    <d v="2025-08-01T00:00:00"/>
    <m/>
  </r>
  <r>
    <s v="Darshinee Sunassee"/>
    <s v="Tagore Avenue, Ernest-Florent, Bel-Air"/>
    <s v="Bel-Air"/>
    <s v="Bel Air"/>
    <n v="58205520"/>
    <s v="Nab-Makeup"/>
    <x v="45"/>
    <d v="2025-07-10T00:00:00"/>
    <n v="150"/>
    <d v="2025-08-01T00:00:00"/>
    <m/>
  </r>
  <r>
    <s v="Vidyashee Fakooa"/>
    <s v="Mission Cross Road, Grand Bas Fond, Lallmatie"/>
    <s v="Lallmatie"/>
    <s v="Lallmatie"/>
    <n v="58886270"/>
    <s v="Nab-Makeup"/>
    <x v="45"/>
    <d v="2025-07-10T00:00:00"/>
    <n v="150"/>
    <d v="2025-08-01T00:00:00"/>
    <m/>
  </r>
  <r>
    <s v="Cynthia Lam Yee Man"/>
    <s v="31B Napier Broome, Beau Bassin"/>
    <s v="Beau Bassin"/>
    <s v="Beau Bassin"/>
    <n v="57876812"/>
    <s v="Nab-Makeup"/>
    <x v="45"/>
    <d v="2025-07-10T00:00:00"/>
    <n v="150"/>
    <d v="2025-08-01T00:00:00"/>
    <m/>
  </r>
  <r>
    <s v="Lindsay Sandian"/>
    <s v="Ebene City, Ebene, Reduit"/>
    <s v="Ebene"/>
    <s v="Ebene"/>
    <n v="57544700"/>
    <s v="Nab-Makeup"/>
    <x v="45"/>
    <d v="2025-07-10T00:00:00"/>
    <n v="150"/>
    <d v="2025-08-01T00:00:00"/>
    <m/>
  </r>
  <r>
    <s v="Aklimah Acharaze"/>
    <s v="Sohawon Road, The Vale (Lower)"/>
    <s v="The Vale"/>
    <s v="The Vale"/>
    <n v="52561636"/>
    <s v="Nab-Makeup"/>
    <x v="45"/>
    <d v="2025-07-10T00:00:00"/>
    <n v="150"/>
    <d v="2025-08-01T00:00:00"/>
    <m/>
  </r>
  <r>
    <s v="Adiilah Dhunny"/>
    <s v="Bonnefin Pailles or Ebene"/>
    <s v="Pailles / Ebene"/>
    <s v="Pailles"/>
    <n v="57060726"/>
    <s v="Nab-Makeup"/>
    <x v="45"/>
    <d v="2025-07-10T00:00:00"/>
    <n v="150"/>
    <d v="2025-08-01T00:00:00"/>
    <m/>
  </r>
  <r>
    <s v="Ashna Padiachy"/>
    <s v="SMF Quarters, Vacoas"/>
    <s v="Vacoas"/>
    <s v="Vacoas"/>
    <n v="58326318"/>
    <s v="Nab-Makeup"/>
    <x v="45"/>
    <d v="2025-07-10T00:00:00"/>
    <n v="150"/>
    <d v="2025-08-01T00:00:00"/>
    <m/>
  </r>
  <r>
    <s v="Nushreena Mungur"/>
    <s v="Emtel, Rose Hill"/>
    <s v="Rose Hill"/>
    <s v="Rose Hill"/>
    <n v="58264125"/>
    <s v="Nab-Makeup"/>
    <x v="45"/>
    <d v="2025-07-10T00:00:00"/>
    <n v="150"/>
    <d v="2025-08-01T00:00:00"/>
    <m/>
  </r>
  <r>
    <s v="Taniya Ashika Latouche"/>
    <s v="Temple Road, Providence, Quartier Militaire"/>
    <s v="Quartier Militaire"/>
    <s v="Quartier Militaire"/>
    <n v="57144639"/>
    <s v="Nab-Makeup"/>
    <x v="45"/>
    <d v="2025-07-10T00:00:00"/>
    <n v="150"/>
    <d v="2025-08-01T00:00:00"/>
    <m/>
  </r>
  <r>
    <s v="Khaidoo Tanweerah"/>
    <s v="Soobratty Road, Bon Accueil"/>
    <s v="Bon Accueil"/>
    <s v="Bon Accueil"/>
    <n v="57621560"/>
    <s v="Nab-Makeup"/>
    <x v="45"/>
    <d v="2025-07-10T00:00:00"/>
    <n v="150"/>
    <d v="2025-08-01T00:00:00"/>
    <m/>
  </r>
  <r>
    <s v="Bibi Saadiyah Mullungmeeah"/>
    <s v="46 Branch Road, Petit Verger, Moka"/>
    <s v="Moka"/>
    <s v="Moka"/>
    <n v="52573592"/>
    <s v="Nab-Makeup"/>
    <x v="45"/>
    <d v="2025-07-10T00:00:00"/>
    <n v="150"/>
    <d v="2025-08-01T00:00:00"/>
    <m/>
  </r>
  <r>
    <s v="Naweeda Suhotoo"/>
    <s v="Phoenix, Robinson Lane 1"/>
    <s v="Phoenix"/>
    <s v="Phoenix"/>
    <n v="59283704"/>
    <s v="Nab-Makeup"/>
    <x v="45"/>
    <d v="2025-07-10T00:00:00"/>
    <n v="150"/>
    <d v="2025-08-01T00:00:00"/>
    <m/>
  </r>
  <r>
    <s v="Zaheerah Fokeer"/>
    <s v="Weekdays: Ebene | Weekends: Valle des Pretres"/>
    <s v="Ebene / Valle des Pretres"/>
    <s v="Ebene"/>
    <n v="59222456"/>
    <s v="Nab-Makeup"/>
    <x v="45"/>
    <d v="2025-07-10T00:00:00"/>
    <n v="150"/>
    <d v="2025-08-01T00:00:00"/>
    <m/>
  </r>
  <r>
    <s v="Madina Chady Abdoolah Khan"/>
    <s v="7eme Mille Triolet Mosque Road"/>
    <s v="Triolet"/>
    <s v="Triolet"/>
    <n v="59183002"/>
    <s v="Nab-Makeup"/>
    <x v="45"/>
    <d v="2025-07-10T00:00:00"/>
    <n v="150"/>
    <d v="2025-08-01T00:00:00"/>
    <m/>
  </r>
  <r>
    <s v="Mandita Algoo"/>
    <s v="Allee Brilliant Road, Vacoas"/>
    <s v="Vacoas"/>
    <s v="Vacoas"/>
    <n v="59219343"/>
    <s v="Nab-Makeup"/>
    <x v="45"/>
    <d v="2025-07-10T00:00:00"/>
    <n v="150"/>
    <d v="2025-08-01T00:00:00"/>
    <m/>
  </r>
  <r>
    <s v="Taysir Khodadin"/>
    <s v="Camp Mapou, Henrietta, Vacoas"/>
    <s v="Vacoas"/>
    <s v="Vacoas"/>
    <n v="58046751"/>
    <s v="Nab-Makeup"/>
    <x v="45"/>
    <d v="2025-07-10T00:00:00"/>
    <n v="150"/>
    <d v="2025-08-01T00:00:00"/>
    <m/>
  </r>
  <r>
    <s v="Nazmi Isseljee"/>
    <s v="Nelson Mandela, Terre Rouge"/>
    <s v="Terre Rouge"/>
    <s v="Terre Rouge"/>
    <n v="59170039"/>
    <s v="Nab-Makeup"/>
    <x v="45"/>
    <d v="2025-07-10T00:00:00"/>
    <n v="150"/>
    <d v="2025-08-01T00:00:00"/>
    <m/>
  </r>
  <r>
    <s v="Yachna Gunputh"/>
    <s v="Hyvec Park, Carleton, Ebene"/>
    <s v="Ebene"/>
    <s v="Ebene"/>
    <n v="57887281"/>
    <s v="Nab-Makeup"/>
    <x v="45"/>
    <d v="2025-07-10T00:00:00"/>
    <n v="150"/>
    <d v="2025-08-01T00:00:00"/>
    <m/>
  </r>
  <r>
    <s v="Purnima Bowanee"/>
    <s v="19 Diego Garcia Street, Plaine Verte, Port-Louis"/>
    <s v="Plaine Verte"/>
    <s v="Port Louis"/>
    <n v="58136570"/>
    <s v="Nab-Makeup"/>
    <x v="45"/>
    <d v="2025-07-10T00:00:00"/>
    <n v="150"/>
    <d v="2025-08-01T00:00:00"/>
    <m/>
  </r>
  <r>
    <s v="Raawiyah Sunkur"/>
    <s v="34 Maharatta Street, Port-Louis"/>
    <s v="Port Louis"/>
    <s v="Port Louis"/>
    <n v="58339743"/>
    <s v="Nab-Makeup"/>
    <x v="45"/>
    <d v="2025-07-10T00:00:00"/>
    <n v="150"/>
    <d v="2025-08-01T00:00:00"/>
    <m/>
  </r>
  <r>
    <s v="Keeran Khednah"/>
    <s v="Baie du Tombeau, Port-Louis"/>
    <s v="Baie du Tombeau"/>
    <s v="Baie du Tombeau"/>
    <n v="57020668"/>
    <s v="Nab-Makeup"/>
    <x v="45"/>
    <d v="2025-07-10T00:00:00"/>
    <n v="150"/>
    <d v="2025-08-01T00:00:00"/>
    <m/>
  </r>
  <r>
    <s v="Nazmeee Mohamudally"/>
    <s v="Cent Gaulettes, Mahebourg"/>
    <s v="Mahebourg"/>
    <s v="Mahebourg"/>
    <n v="57440151"/>
    <s v="Nab-Makeup"/>
    <x v="45"/>
    <d v="2025-07-10T00:00:00"/>
    <n v="150"/>
    <d v="2025-08-01T00:00:00"/>
    <m/>
  </r>
  <r>
    <s v="Yeshna Daliah"/>
    <s v="5 Alphonse Ravaton, Quartier Militaire"/>
    <s v="Quartier Militaire"/>
    <s v="Quartier Militaire"/>
    <n v="59339423"/>
    <s v="Nab-Makeup"/>
    <x v="45"/>
    <d v="2025-07-10T00:00:00"/>
    <n v="150"/>
    <d v="2025-08-01T00:00:00"/>
    <m/>
  </r>
  <r>
    <s v="Nousaibah Boodhun"/>
    <s v="Avenue Ruby, Morc Le Roc, Pailles"/>
    <s v="Pailles"/>
    <s v="Pailles"/>
    <n v="57801860"/>
    <s v="Nab-Makeup"/>
    <x v="45"/>
    <d v="2025-07-10T00:00:00"/>
    <n v="150"/>
    <d v="2025-08-01T00:00:00"/>
    <m/>
  </r>
  <r>
    <s v="Anseline Florise"/>
    <s v="47 Derby Street, Forest Side, Curepipe"/>
    <s v="Curepipe"/>
    <s v="Curepipe"/>
    <n v="57494415"/>
    <s v="Nab-Makeup"/>
    <x v="45"/>
    <d v="2025-07-10T00:00:00"/>
    <n v="150"/>
    <d v="2025-08-01T00:00:00"/>
    <m/>
  </r>
  <r>
    <s v="Helina Moopliah"/>
    <s v="Bonne Veine Road, Quartier Militaire"/>
    <s v="Quartier Militaire"/>
    <s v="Quartier Militaire"/>
    <n v="57933212"/>
    <s v="Nab-Makeup"/>
    <x v="45"/>
    <d v="2025-07-10T00:00:00"/>
    <n v="150"/>
    <d v="2025-08-01T00:00:00"/>
    <m/>
  </r>
  <r>
    <s v="Bibi Sana Maisah Edah-Tally"/>
    <s v="8, Cheri Lienard Street, Beau Bassin"/>
    <s v="Beau Bassin"/>
    <s v="Beau Bassin"/>
    <n v="59880860"/>
    <s v="Nab-Makeup"/>
    <x v="45"/>
    <d v="2025-07-10T00:00:00"/>
    <n v="150"/>
    <d v="2025-08-01T00:00:00"/>
    <m/>
  </r>
  <r>
    <s v="Reshni Sukkha"/>
    <s v="IQ EQ, 33 Edith Cavell Street, Port Louis"/>
    <s v="Port Louis"/>
    <s v="Port Louis"/>
    <n v="59235230"/>
    <s v="Nab-Makeup"/>
    <x v="45"/>
    <d v="2025-07-10T00:00:00"/>
    <n v="150"/>
    <d v="2025-08-01T00:00:00"/>
    <m/>
  </r>
  <r>
    <s v="Shalini Curpen"/>
    <s v="A11, Ebene Sugar Estate, Reduit"/>
    <s v="Reduit"/>
    <s v="Reduit"/>
    <n v="57390990"/>
    <s v="Nab-Makeup"/>
    <x v="45"/>
    <d v="2025-07-10T00:00:00"/>
    <n v="150"/>
    <d v="2025-08-01T00:00:00"/>
    <m/>
  </r>
  <r>
    <s v="Shabnoor Bhugel"/>
    <s v="King's Rd, Goodlands"/>
    <s v="Goodlands"/>
    <s v="Goodlands"/>
    <n v="58409137"/>
    <s v="Nab-Makeup"/>
    <x v="45"/>
    <d v="2025-07-10T00:00:00"/>
    <n v="150"/>
    <d v="2025-08-01T00:00:00"/>
    <m/>
  </r>
  <r>
    <s v="Asilah Najmiyah"/>
    <s v="Latapie Road, Bon Accueil, Hassen Hussein Lane, Flacq"/>
    <s v="Flacq"/>
    <s v="Flacq"/>
    <n v="58345058"/>
    <s v="Nab-Makeup"/>
    <x v="45"/>
    <d v="2025-07-10T00:00:00"/>
    <n v="150"/>
    <d v="2025-08-01T00:00:00"/>
    <m/>
  </r>
  <r>
    <s v="Shabina Timol"/>
    <s v="Apt 48, Residence Le Baron, Volcy Goupille Street, Beau Bassin"/>
    <s v="Beau Bassin"/>
    <s v="Beau Bassin"/>
    <n v="54232502"/>
    <s v="Nab-Makeup"/>
    <x v="45"/>
    <d v="2025-07-10T00:00:00"/>
    <n v="150"/>
    <d v="2025-08-01T00:00:00"/>
    <m/>
  </r>
  <r>
    <s v="Nitish Hasowa"/>
    <s v="Royal Road, Boulet Blanc, Central Flacq"/>
    <s v="Central Flacq"/>
    <s v="Central Flacq"/>
    <n v="58261737"/>
    <s v="Nab-Makeup"/>
    <x v="45"/>
    <d v="2025-07-10T00:00:00"/>
    <n v="150"/>
    <d v="2025-08-01T00:00:00"/>
    <m/>
  </r>
  <r>
    <s v="Deepika Sawaram"/>
    <s v="81a Louvet Avenue, Quatre Bornes"/>
    <s v="Quatre Bornes"/>
    <s v="Quatre Bornes"/>
    <n v="58139561"/>
    <s v="OKASINA"/>
    <x v="45"/>
    <d v="2025-07-10T00:00:00"/>
    <n v="150"/>
    <d v="2025-08-01T00:00:00"/>
    <m/>
  </r>
  <r>
    <s v="Zarah Khodabaccus"/>
    <s v="Avenue Multipliant Coromandel / Tangs Street, Beau Bassin"/>
    <s v="Coromandel / Beau Bassin"/>
    <s v="Coromandel"/>
    <s v="+230 5784 5181"/>
    <s v="OKASINA"/>
    <x v="45"/>
    <d v="2025-07-10T00:00:00"/>
    <n v="150"/>
    <d v="2025-08-01T00:00:00"/>
    <s v="COD: 1800"/>
  </r>
  <r>
    <s v="Poonam Jhary"/>
    <s v="Kalimaye rd, Melle Jeanne, Goodlands"/>
    <s v="Goodlands"/>
    <s v="Goodlands"/>
    <n v="57470178"/>
    <s v="OKASINA"/>
    <x v="45"/>
    <d v="2025-07-10T00:00:00"/>
    <n v="150"/>
    <d v="2025-08-01T00:00:00"/>
    <s v="COD: 1800"/>
  </r>
  <r>
    <s v="Zabeen"/>
    <s v="Lolo Hyper Market Moncellement St Andres"/>
    <s v="Moncellement St Andres"/>
    <s v="Moncellement St Andres"/>
    <n v="57091701"/>
    <s v="Glow And Aura"/>
    <x v="44"/>
    <d v="2025-07-10T00:00:00"/>
    <n v="150"/>
    <d v="2025-08-01T00:00:00"/>
    <m/>
  </r>
  <r>
    <s v="Mrs Appadoo"/>
    <s v="Nothern Boundary, Quatre Bornes"/>
    <s v="Quatre Bornes"/>
    <s v="Quatre Bornes"/>
    <n v="57924946"/>
    <s v="Glow And Aura"/>
    <x v="44"/>
    <d v="2025-07-17T00:00:00"/>
    <n v="150"/>
    <d v="2025-08-01T00:00:00"/>
    <s v="COD: 1150"/>
  </r>
  <r>
    <s v="Ashwini Sohan"/>
    <s v="9 Rubinstein Street, Residences Vallijee, Port Louis"/>
    <s v="Port Louis"/>
    <s v="Port Louis"/>
    <n v="57961308"/>
    <s v="Nab-Makeup"/>
    <x v="45"/>
    <d v="2025-07-14T00:00:00"/>
    <n v="150"/>
    <d v="2025-08-01T00:00:00"/>
    <m/>
  </r>
  <r>
    <s v="Rati Cawroo"/>
    <s v="Lot 127, Residence Les Jardins D'Anna, Flic en Flac"/>
    <s v="Flic en Flac"/>
    <s v="Flic En Flac"/>
    <n v="55029138"/>
    <s v="Nab-Makeup"/>
    <x v="45"/>
    <d v="2025-07-14T00:00:00"/>
    <n v="150"/>
    <d v="2025-08-01T00:00:00"/>
    <m/>
  </r>
  <r>
    <s v="Murwan Karuna"/>
    <s v="Royal Rd Foreal, Opposite Engen Filling Station"/>
    <s v="Floréal"/>
    <s v="Floréal"/>
    <n v="59132107"/>
    <s v="OKASINA"/>
    <x v="45"/>
    <d v="2025-07-17T00:00:00"/>
    <n v="150"/>
    <d v="2025-08-01T00:00:00"/>
    <s v="COD: 2740"/>
  </r>
  <r>
    <s v="Widiasri Chooroomoney"/>
    <s v="Vandermeersch, Beau Bassin"/>
    <s v="Beau Bassin"/>
    <s v="Beau Bassin"/>
    <n v="55029300"/>
    <s v="Little Star Boutique"/>
    <x v="46"/>
    <d v="2025-07-21T00:00:00"/>
    <n v="150"/>
    <d v="2025-08-01T00:00:00"/>
    <s v="COD: 675"/>
  </r>
  <r>
    <s v="Moushira"/>
    <s v="Pereybere"/>
    <s v="Pereybere"/>
    <s v="Pereybere"/>
    <n v="59248034"/>
    <s v="Little Star Boutique"/>
    <x v="46"/>
    <d v="2025-07-14T00:00:00"/>
    <n v="150"/>
    <d v="2025-08-01T00:00:00"/>
    <m/>
  </r>
  <r>
    <s v="Aklimah Acharaze"/>
    <s v="Sohawon Road, THE Vale (Lower), Mauritius"/>
    <s v="Lower Vale"/>
    <s v="Lower Vale"/>
    <n v="52561636"/>
    <s v="Nab-Makeup"/>
    <x v="47"/>
    <d v="2025-07-14T00:00:00"/>
    <n v="150"/>
    <d v="2025-08-01T00:00:00"/>
    <m/>
  </r>
  <r>
    <s v="Sewnundun Periyan Sujata"/>
    <s v="Tyack Gov School"/>
    <s v="Tyack"/>
    <s v="Tyack"/>
    <n v="59859221"/>
    <s v="Nab-Makeup"/>
    <x v="47"/>
    <d v="2025-07-14T00:00:00"/>
    <n v="150"/>
    <d v="2025-08-01T00:00:00"/>
    <m/>
  </r>
  <r>
    <s v="Tauhid Goomany"/>
    <s v="43 Blondeau Street, Rose Hill"/>
    <s v="Rose Hill"/>
    <s v="Rose Hill"/>
    <s v="57872640 or 59792547"/>
    <s v="Nab-Makeup"/>
    <x v="47"/>
    <d v="2025-07-14T00:00:00"/>
    <n v="150"/>
    <d v="2025-08-01T00:00:00"/>
    <m/>
  </r>
  <r>
    <s v="Yaashna Dusoye"/>
    <s v="Maheshwar Nagri Road, 9th Mile, Triolet"/>
    <s v="Triolet"/>
    <s v="Triolet"/>
    <n v="57669015"/>
    <s v="Nab-Makeup"/>
    <x v="47"/>
    <d v="2025-07-14T00:00:00"/>
    <n v="150"/>
    <d v="2025-08-01T00:00:00"/>
    <m/>
  </r>
  <r>
    <s v="Ruqayyah Auckburally"/>
    <s v="Royal Road, Henrietta, Vacoas"/>
    <s v="Vacoas"/>
    <s v="Vacoas"/>
    <n v="54528902"/>
    <s v="Nab-Makeup"/>
    <x v="47"/>
    <d v="2025-07-14T00:00:00"/>
    <n v="150"/>
    <d v="2025-08-01T00:00:00"/>
    <m/>
  </r>
  <r>
    <s v="Neha Bansoodeb"/>
    <s v="Tres Bon No 1, Diolle, Vacoas"/>
    <s v="Vacoas"/>
    <s v="Vacoas"/>
    <n v="57861454"/>
    <s v="Nab-Makeup"/>
    <x v="47"/>
    <d v="2025-07-14T00:00:00"/>
    <n v="150"/>
    <d v="2025-08-01T00:00:00"/>
    <m/>
  </r>
  <r>
    <s v="Jahnavi Seedheeyan"/>
    <s v="Victoria Road, Trou D'eau Douce"/>
    <s v="Trou D'eau Douce"/>
    <s v="Trou D’Eau Douce"/>
    <n v="58099746"/>
    <s v="Nab-Makeup"/>
    <x v="47"/>
    <d v="2025-07-14T00:00:00"/>
    <n v="150"/>
    <d v="2025-08-01T00:00:00"/>
    <m/>
  </r>
  <r>
    <s v="Melanie Modeste"/>
    <s v="Berry Rouge Lane, Baie Du Cap, Savanne"/>
    <s v="Baie Du Cap"/>
    <s v="Baie Du Cap"/>
    <n v="57173370"/>
    <s v="Nab-Makeup"/>
    <x v="47"/>
    <d v="2025-07-14T00:00:00"/>
    <n v="150"/>
    <d v="2025-08-01T00:00:00"/>
    <m/>
  </r>
  <r>
    <s v="Aniisah Issimdar"/>
    <s v="Caldwell Rd, Henrietta, Vacoas"/>
    <s v="Vacoas"/>
    <s v="Vacoas"/>
    <n v="58020335"/>
    <s v="Nab-Makeup"/>
    <x v="47"/>
    <d v="2025-07-14T00:00:00"/>
    <n v="150"/>
    <d v="2025-08-01T00:00:00"/>
    <m/>
  </r>
  <r>
    <s v="Kooshmita Dahoo"/>
    <s v="Nehru Lane, Fond Du Sac"/>
    <s v="Fond Du Sac"/>
    <s v="Fond Du Sac"/>
    <n v="59116723"/>
    <s v="Nab-Makeup"/>
    <x v="47"/>
    <d v="2025-07-14T00:00:00"/>
    <n v="150"/>
    <d v="2025-08-01T00:00:00"/>
    <m/>
  </r>
  <r>
    <s v="Nasseeda Soreefan"/>
    <s v="Jerningham Street, Curepipe"/>
    <s v="Curepipe"/>
    <s v="Curepipe"/>
    <n v="57765108"/>
    <s v="Nab-Makeup"/>
    <x v="47"/>
    <d v="2025-07-14T00:00:00"/>
    <n v="150"/>
    <d v="2025-08-01T00:00:00"/>
    <m/>
  </r>
  <r>
    <s v="Jessni Narayanen Meettook"/>
    <s v="Grandbay Super U"/>
    <s v="Grand Bay"/>
    <s v="Grand Baie"/>
    <n v="58679384"/>
    <s v="Nab-Makeup"/>
    <x v="47"/>
    <d v="2025-07-14T00:00:00"/>
    <n v="150"/>
    <d v="2025-08-01T00:00:00"/>
    <m/>
  </r>
  <r>
    <s v="Gunputh Preeyankha"/>
    <s v="Hanuman Road, Riche Mare, Centre de Flacq"/>
    <s v="Centre de Flacq"/>
    <s v="Central Flacq"/>
    <n v="57556989"/>
    <s v="Nab-Makeup"/>
    <x v="47"/>
    <d v="2025-07-14T00:00:00"/>
    <n v="150"/>
    <d v="2025-08-01T00:00:00"/>
    <m/>
  </r>
  <r>
    <s v="Nalli Saudhoo"/>
    <s v="Block A1, Indian Lane, Cite Martial, Port Louis"/>
    <s v="Port Louis"/>
    <s v="Port Louis"/>
    <n v="57911286"/>
    <s v="Nab-Makeup"/>
    <x v="47"/>
    <d v="2025-07-14T00:00:00"/>
    <n v="150"/>
    <d v="2025-08-01T00:00:00"/>
    <m/>
  </r>
  <r>
    <s v="Tishtikhasingh Soobarah"/>
    <s v="Post Office Road, Grand River South East"/>
    <s v="GRSE"/>
    <s v="GRSE"/>
    <n v="54941201"/>
    <s v="Nab-Makeup"/>
    <x v="47"/>
    <d v="2025-07-14T00:00:00"/>
    <n v="150"/>
    <d v="2025-08-01T00:00:00"/>
    <m/>
  </r>
  <r>
    <s v="Farhanaaz Remodkhan"/>
    <s v="22 Edward Street, Valley Pitot, Port Louis"/>
    <s v="Port Louis"/>
    <s v="Port Louis"/>
    <n v="57581578"/>
    <s v="Nab-Makeup"/>
    <x v="47"/>
    <d v="2025-07-14T00:00:00"/>
    <n v="150"/>
    <d v="2025-08-01T00:00:00"/>
    <m/>
  </r>
  <r>
    <s v="Roshnee Dowlut"/>
    <s v="St Antoine Road, Camp Fouquereaux, Phoenix"/>
    <s v="Phoenix"/>
    <s v="Phoenix"/>
    <s v="+230 59071004"/>
    <s v="Nab-Makeup"/>
    <x v="47"/>
    <d v="2025-07-14T00:00:00"/>
    <n v="150"/>
    <d v="2025-08-01T00:00:00"/>
    <m/>
  </r>
  <r>
    <s v="Moksheeta Jebodh"/>
    <s v="Morcellement Ramphaul, Bois Mangues, Plaines des Papayes"/>
    <s v="Plaines des Papayes"/>
    <s v="Plaines des Papayes"/>
    <n v="58306538"/>
    <s v="Nab-Makeup"/>
    <x v="47"/>
    <d v="2025-07-14T00:00:00"/>
    <n v="150"/>
    <d v="2025-08-01T00:00:00"/>
    <m/>
  </r>
  <r>
    <s v="Zainab Somauroo"/>
    <s v="Royal Road, Amaury, Belle Vue Maurel"/>
    <s v="Belle Vue Maurel"/>
    <s v="Belle Vue Maurel"/>
    <n v="57529392"/>
    <s v="Nab-Makeup"/>
    <x v="47"/>
    <d v="2025-07-14T00:00:00"/>
    <n v="150"/>
    <d v="2025-08-01T00:00:00"/>
    <m/>
  </r>
  <r>
    <s v="Nazia Meharally"/>
    <s v="Meerally Lane, Brise Verdire"/>
    <s v="Brise Verdire"/>
    <s v="Brisée Verdiere"/>
    <n v="57945971"/>
    <s v="Nab-Makeup"/>
    <x v="47"/>
    <d v="2025-07-14T00:00:00"/>
    <n v="150"/>
    <d v="2025-08-01T00:00:00"/>
    <m/>
  </r>
  <r>
    <s v="MinioPoo Karishma"/>
    <s v="Avenue Longane, Stanley, Rose-Hill"/>
    <s v="Rose Hill"/>
    <s v="Rose Hill"/>
    <n v="57539651"/>
    <s v="Nab-Makeup"/>
    <x v="47"/>
    <d v="2025-07-14T00:00:00"/>
    <n v="150"/>
    <d v="2025-08-01T00:00:00"/>
    <m/>
  </r>
  <r>
    <s v="Sameerah Bassa"/>
    <s v="Church lane, Plaine Magnien"/>
    <s v="Plaine Magnien"/>
    <s v="Plaine Magnien"/>
    <n v="58134647"/>
    <s v="Nab-Makeup"/>
    <x v="47"/>
    <d v="2025-07-17T00:00:00"/>
    <n v="150"/>
    <d v="2025-08-01T00:00:00"/>
    <m/>
  </r>
  <r>
    <s v="Tanweer Edoo"/>
    <s v="Easycool Ltd, 96 Old Pailles Road, Pailles West"/>
    <s v="Pailles"/>
    <s v="Pailles"/>
    <n v="57660637"/>
    <s v="Nab-Makeup"/>
    <x v="47"/>
    <d v="2025-07-14T00:00:00"/>
    <n v="150"/>
    <d v="2025-08-01T00:00:00"/>
    <m/>
  </r>
  <r>
    <s v="Tanzila Lalmahomed"/>
    <s v="225 Royal Road, Phoenix"/>
    <s v="Phoenix"/>
    <s v="Phoenix"/>
    <n v="59497159"/>
    <s v="Nab-Makeup"/>
    <x v="47"/>
    <d v="2025-07-14T00:00:00"/>
    <n v="150"/>
    <d v="2025-08-01T00:00:00"/>
    <m/>
  </r>
  <r>
    <s v="Yaziid Togally"/>
    <s v="Soobhany Road, Goodlands"/>
    <s v="Goodlands"/>
    <s v="Goodlands"/>
    <n v="58356435"/>
    <s v="Nab-Makeup"/>
    <x v="47"/>
    <d v="2025-07-14T00:00:00"/>
    <n v="150"/>
    <d v="2025-08-01T00:00:00"/>
    <m/>
  </r>
  <r>
    <s v="Ancharaz Sanvi"/>
    <s v="La Salette Road, Grand Bay"/>
    <s v="Grand Bay"/>
    <s v="Grand Baie"/>
    <n v="57921497"/>
    <s v="Nab-Makeup"/>
    <x v="47"/>
    <d v="2025-07-14T00:00:00"/>
    <n v="150"/>
    <d v="2025-08-01T00:00:00"/>
    <m/>
  </r>
  <r>
    <s v="Mendy Salva"/>
    <s v="New CFAO Centre, Mercedes Showroom, Pailles"/>
    <s v="Pailles"/>
    <s v="Pailles"/>
    <n v="59878400"/>
    <s v="Nab-Makeup"/>
    <x v="47"/>
    <d v="2025-07-14T00:00:00"/>
    <n v="150"/>
    <d v="2025-08-01T00:00:00"/>
    <m/>
  </r>
  <r>
    <s v="Deepika Atchanna"/>
    <s v="Valetta Bypass, Dagotiere"/>
    <s v="Dagotiere"/>
    <s v="Dagotiere"/>
    <n v="58104468"/>
    <s v="Nab-Makeup"/>
    <x v="47"/>
    <d v="2025-07-14T00:00:00"/>
    <n v="150"/>
    <d v="2025-08-01T00:00:00"/>
    <m/>
  </r>
  <r>
    <s v="Neetusha Lullith"/>
    <s v="Mahatma Gandhi Road, Fond Du Sac"/>
    <s v="Fond Du Sac"/>
    <s v="Fond Du Sac"/>
    <n v="58221365"/>
    <s v="Nab-Makeup"/>
    <x v="47"/>
    <d v="2025-07-14T00:00:00"/>
    <n v="150"/>
    <d v="2025-08-01T00:00:00"/>
    <m/>
  </r>
  <r>
    <s v="Nakul Hoolash"/>
    <s v="Royal Road, Creve Coeur"/>
    <s v="Creve Coeur"/>
    <s v="Creve Coeur"/>
    <n v="58123185"/>
    <s v="Nab-Makeup"/>
    <x v="47"/>
    <d v="2025-07-14T00:00:00"/>
    <n v="150"/>
    <d v="2025-08-01T00:00:00"/>
    <m/>
  </r>
  <r>
    <s v="Kisoon Nivedita"/>
    <s v="Reunion Maurel, Trois Bras, Petit Raffray"/>
    <s v="Petit Raffray"/>
    <s v="Petit Raffray"/>
    <n v="58098168"/>
    <s v="Nab-Makeup"/>
    <x v="47"/>
    <d v="2025-07-14T00:00:00"/>
    <n v="150"/>
    <d v="2025-08-01T00:00:00"/>
    <m/>
  </r>
  <r>
    <s v="Dikshaa Nepaul"/>
    <s v="Morc Gowreesunkur, Petit Raffray"/>
    <s v="Petit Raffray"/>
    <s v="Petit Raffray"/>
    <n v="57925825"/>
    <s v="Nab-Makeup"/>
    <x v="47"/>
    <d v="2025-07-14T00:00:00"/>
    <n v="150"/>
    <d v="2025-08-01T00:00:00"/>
    <m/>
  </r>
  <r>
    <s v="Rumila Ramkhalawan"/>
    <s v="Mahatma Ghandi Rd, Roche Terre, Grand Gaube"/>
    <s v="Grand Gaube"/>
    <s v="Grand Gaube"/>
    <n v="57825054"/>
    <s v="Glow And Aura"/>
    <x v="46"/>
    <d v="2025-07-14T00:00:00"/>
    <n v="150"/>
    <d v="2025-08-01T00:00:00"/>
    <s v="COD: Rs 500"/>
  </r>
  <r>
    <s v="Micheline Rangasamy"/>
    <s v="Pointe Aux Sables"/>
    <s v="Pointe Aux Sables"/>
    <s v="Pointe Aux Sables"/>
    <n v="57735892"/>
    <s v="Glow And Aura"/>
    <x v="46"/>
    <d v="2025-07-14T00:00:00"/>
    <n v="150"/>
    <d v="2025-08-01T00:00:00"/>
    <s v="COD: Rs 300"/>
  </r>
  <r>
    <s v="Nash"/>
    <s v="Goodlands"/>
    <s v="Goodlands"/>
    <s v="Goodlands"/>
    <n v="57811781"/>
    <s v="Timeless Trends"/>
    <x v="46"/>
    <d v="2025-07-14T00:00:00"/>
    <n v="150"/>
    <d v="2025-08-01T00:00:00"/>
    <s v="COD: Rs 1300"/>
  </r>
  <r>
    <s v="Shreeya"/>
    <s v="Royal Rd Flower Lane Arsenal"/>
    <s v="Arsenal"/>
    <s v="Arsenal"/>
    <n v="59125265"/>
    <s v="Glow And Aura"/>
    <x v="46"/>
    <d v="2025-07-14T00:00:00"/>
    <n v="150"/>
    <d v="2025-08-01T00:00:00"/>
    <s v="Cod: Rs 450"/>
  </r>
  <r>
    <s v="Bhavesh Ramawta"/>
    <s v="Caroline Rd Vallees Des Pretes"/>
    <s v="Vallees Des Pretes"/>
    <s v="Vallees Des Pretes"/>
    <s v="58212710/_x000a_57647270"/>
    <s v="Glow And Aura"/>
    <x v="48"/>
    <d v="2025-07-17T00:00:00"/>
    <n v="150"/>
    <d v="2025-08-01T00:00:00"/>
    <s v="Cod: Rs 600"/>
  </r>
  <r>
    <s v="Meneesha Mohabeer"/>
    <s v="Highland Rose"/>
    <s v="Highland Rose"/>
    <s v="Highlands"/>
    <n v="59473678"/>
    <s v="Little Star Boutique"/>
    <x v="48"/>
    <d v="2025-07-17T00:00:00"/>
    <n v="150"/>
    <d v="2025-08-01T00:00:00"/>
    <s v="COD: Rs 1,190"/>
  </r>
  <r>
    <s v="Radwiyah Golamallee"/>
    <s v="Cactus Lane, Boundary Road, Morcellement Ripailles, Pamplemousses"/>
    <s v="Pamplemousses"/>
    <s v="Pamplemousses"/>
    <n v="58152900"/>
    <s v="Nab-Makeup"/>
    <x v="49"/>
    <d v="2025-07-17T00:00:00"/>
    <n v="150"/>
    <d v="2025-08-01T00:00:00"/>
    <m/>
  </r>
  <r>
    <s v="Soomaroo Tanuja"/>
    <s v="Vikas Building, Raj Kowlessur Lane, 7th Mile, Triolet"/>
    <s v="Triolet"/>
    <s v="Triolet"/>
    <n v="57986179"/>
    <s v="Nab-Makeup"/>
    <x v="49"/>
    <d v="2025-07-17T00:00:00"/>
    <n v="150"/>
    <d v="2025-08-01T00:00:00"/>
    <m/>
  </r>
  <r>
    <s v="Komal Simmento"/>
    <s v="Coonee Road, Trois Bras, Petit Raffray"/>
    <s v="Petit Raffray"/>
    <s v="Petit Raffray"/>
    <n v="58236214"/>
    <s v="Nab-Makeup"/>
    <x v="49"/>
    <d v="2025-07-17T00:00:00"/>
    <n v="150"/>
    <d v="2025-08-01T00:00:00"/>
    <m/>
  </r>
  <r>
    <s v="Graziella Hippolyte"/>
    <s v="Morcellement Desmarais, Saint Pierre"/>
    <s v="Saint Pierre"/>
    <s v="Saint Pierre"/>
    <n v="59379345"/>
    <s v="Nab-Makeup"/>
    <x v="49"/>
    <d v="2025-07-17T00:00:00"/>
    <n v="150"/>
    <d v="2025-08-01T00:00:00"/>
    <m/>
  </r>
  <r>
    <s v="Bhujun Usha Devi"/>
    <s v="Oree Lane, Lattiff Ully Street, Gros Billot, New Grove"/>
    <s v="New Grove"/>
    <s v="New Grove"/>
    <n v="58271865"/>
    <s v="Nab-Makeup"/>
    <x v="49"/>
    <d v="2025-07-17T00:00:00"/>
    <n v="150"/>
    <d v="2025-08-01T00:00:00"/>
    <m/>
  </r>
  <r>
    <s v="Anoushee Chowdry-Naiko"/>
    <s v="Kalimaye Road, Poudre D'or Hamlet"/>
    <s v="Poudre D'or Hamlet"/>
    <s v="Poudre D'or Hamlet"/>
    <n v="58031381"/>
    <s v="Nab-Makeup"/>
    <x v="49"/>
    <d v="2025-07-17T00:00:00"/>
    <n v="150"/>
    <d v="2025-08-01T00:00:00"/>
    <m/>
  </r>
  <r>
    <s v="Ruttun Bushra Umme Zainab"/>
    <s v="Saulick Street, Gros Billot, New Grove"/>
    <s v="New Grove"/>
    <s v="New Grove"/>
    <n v="58142373"/>
    <s v="Nab-Makeup"/>
    <x v="49"/>
    <d v="2025-07-17T00:00:00"/>
    <n v="150"/>
    <d v="2025-08-01T00:00:00"/>
    <m/>
  </r>
  <r>
    <s v="Ayesha Rumjaun"/>
    <s v="Royal Road, Morc St Andre"/>
    <s v="Morc St Andre"/>
    <s v="Morcellement Saint Andre"/>
    <n v="54887972"/>
    <s v="Nab-Makeup"/>
    <x v="49"/>
    <d v="2025-07-17T00:00:00"/>
    <n v="150"/>
    <d v="2025-08-01T00:00:00"/>
    <m/>
  </r>
  <r>
    <s v="Maansi Aundoo"/>
    <s v="Ernest Florent, Gandhi Avenue, Bel Air"/>
    <s v="Bel Air"/>
    <s v="Bel Air"/>
    <n v="58350419"/>
    <s v="Nab-Makeup"/>
    <x v="49"/>
    <d v="2025-07-17T00:00:00"/>
    <n v="150"/>
    <d v="2025-08-01T00:00:00"/>
    <m/>
  </r>
  <r>
    <s v="Urvashi Rangan"/>
    <s v="Vela Murugan Avenue, La Source, Quatre-Bornes"/>
    <s v="Quatre-Bornes"/>
    <s v="Quartier Militaire"/>
    <n v="57049936"/>
    <s v="Nab-Makeup"/>
    <x v="49"/>
    <d v="2025-07-17T00:00:00"/>
    <n v="150"/>
    <d v="2025-08-01T00:00:00"/>
    <m/>
  </r>
  <r>
    <s v="Cheshta Ghoorbin"/>
    <s v="Fond du Sac, First Road, Pamplemousses"/>
    <s v="Pamplemousses"/>
    <s v="Pamplemousses"/>
    <n v="59065040"/>
    <s v="Nab-Makeup"/>
    <x v="49"/>
    <d v="2025-07-17T00:00:00"/>
    <n v="150"/>
    <d v="2025-08-01T00:00:00"/>
    <m/>
  </r>
  <r>
    <s v="Sheina Maudarbaccus"/>
    <s v="Ministry of Housing, Ebene Tower, Ebene"/>
    <s v="Ebene"/>
    <s v="Ebene"/>
    <n v="57969252"/>
    <s v="Nab-Makeup"/>
    <x v="49"/>
    <d v="2025-07-17T00:00:00"/>
    <n v="150"/>
    <d v="2025-08-01T00:00:00"/>
    <m/>
  </r>
  <r>
    <s v="Zainab Doomun"/>
    <s v="RÃ©sidences Zil, Avenue des Hameaux, Mont Mascal, Villa 3, Petit Raffray"/>
    <s v="Petit Raffray"/>
    <s v="Petit Raffray"/>
    <n v="59295436"/>
    <s v="Nab-Makeup"/>
    <x v="49"/>
    <d v="2025-07-17T00:00:00"/>
    <n v="150"/>
    <d v="2025-08-01T00:00:00"/>
    <m/>
  </r>
  <r>
    <s v="Sharon Ng Cheong Vee"/>
    <s v="Route Royale Visitation, Opposite Visitation Church, Vacoas"/>
    <s v="Vacoas"/>
    <s v="Vacoas"/>
    <n v="59378240"/>
    <s v="Nab-Makeup"/>
    <x v="49"/>
    <d v="2025-07-17T00:00:00"/>
    <n v="150"/>
    <d v="2025-08-01T00:00:00"/>
    <m/>
  </r>
  <r>
    <s v="Veena Khoobeea"/>
    <s v="Dispensary Road, Petit Raffray"/>
    <s v="Petit Raffray"/>
    <s v="Petit Raffray"/>
    <n v="59028343"/>
    <s v="Nab-Makeup"/>
    <x v="49"/>
    <d v="2025-07-17T00:00:00"/>
    <n v="150"/>
    <d v="2025-08-01T00:00:00"/>
    <m/>
  </r>
  <r>
    <s v="Varsha Sadaful"/>
    <s v="Avenue Flamboyant, Morcellement Belle Terre, Highlands"/>
    <s v="Highlands"/>
    <s v="Highlands"/>
    <n v="57586996"/>
    <s v="Nab-Makeup"/>
    <x v="49"/>
    <d v="2025-07-17T00:00:00"/>
    <n v="150"/>
    <d v="2025-08-01T00:00:00"/>
    <m/>
  </r>
  <r>
    <s v="Sadick Meeakhan"/>
    <s v="Avenue Crecerelle 1, Morcellement Raffray Guibies, Pailles"/>
    <s v="Pailles"/>
    <s v="Pailles"/>
    <s v="58219919 / 57400812"/>
    <s v="Nab-Makeup"/>
    <x v="49"/>
    <d v="2025-07-17T00:00:00"/>
    <n v="150"/>
    <d v="2025-08-01T00:00:00"/>
    <m/>
  </r>
  <r>
    <s v="Bhavesh Seechurn"/>
    <s v="Royal Road, Pamplemousses (Near Dynasty Shop)"/>
    <s v="Pamplemousses"/>
    <s v="Pamplemousses"/>
    <n v="58108411"/>
    <s v="Nab-Makeup"/>
    <x v="49"/>
    <d v="2025-07-17T00:00:00"/>
    <n v="150"/>
    <d v="2025-08-01T00:00:00"/>
    <m/>
  </r>
  <r>
    <s v="Shabnam Emamdeen"/>
    <s v="Ganachaud Road, Castel Eau Coulee"/>
    <s v="Eau Coulee"/>
    <s v="Eau Coulee"/>
    <n v="57851354"/>
    <s v="Nab-Makeup"/>
    <x v="49"/>
    <d v="2025-07-17T00:00:00"/>
    <n v="150"/>
    <d v="2025-08-01T00:00:00"/>
    <m/>
  </r>
  <r>
    <s v="Toraub Abiir Haana"/>
    <s v="Morc des Gersigny, Central Flacq"/>
    <s v="Central Flacq"/>
    <s v="Central Flacq"/>
    <n v="57591688"/>
    <s v="Nab-Makeup"/>
    <x v="49"/>
    <d v="2025-07-17T00:00:00"/>
    <n v="150"/>
    <d v="2025-08-01T00:00:00"/>
    <m/>
  </r>
  <r>
    <s v="Anastasia Soobiah"/>
    <s v="B87 RÃ©sidence St-Jean, Quatre-Bornes"/>
    <s v="Quatre-Bornes"/>
    <s v="Quartier Militaire"/>
    <n v="57715392"/>
    <s v="Nab-Makeup"/>
    <x v="49"/>
    <d v="2025-07-17T00:00:00"/>
    <n v="150"/>
    <d v="2025-08-01T00:00:00"/>
    <m/>
  </r>
  <r>
    <s v="Isna Gunness"/>
    <s v="Royal Road, Medine, Camp de Masque"/>
    <s v="Camp de Masque"/>
    <s v="Camp de Masque"/>
    <n v="58018990"/>
    <s v="Nab-Makeup"/>
    <x v="49"/>
    <d v="2025-07-17T00:00:00"/>
    <n v="150"/>
    <d v="2025-08-01T00:00:00"/>
    <m/>
  </r>
  <r>
    <s v="Natasha Seegobin"/>
    <s v="18 Avenue Malartic, Quatre-Bornes"/>
    <s v="Quatre-Bornes"/>
    <s v="Quartier Militaire"/>
    <n v="59081694"/>
    <s v="Nab-Makeup"/>
    <x v="49"/>
    <d v="2025-07-17T00:00:00"/>
    <n v="150"/>
    <d v="2025-08-01T00:00:00"/>
    <m/>
  </r>
  <r>
    <s v="Khushboo Ujoodha"/>
    <s v="Vinobha Rd, Lallmatie"/>
    <s v="Lallmatie"/>
    <s v="Lallmatie"/>
    <n v="57597260"/>
    <s v="Nab-Makeup"/>
    <x v="49"/>
    <d v="2025-07-17T00:00:00"/>
    <n v="150"/>
    <d v="2025-08-01T00:00:00"/>
    <m/>
  </r>
  <r>
    <s v="Bhavya Riddhi Ramkhelawon"/>
    <s v="Branch Road, New Grove c/o Les Bisounours, Grand Port"/>
    <s v="New Grove"/>
    <s v="New Grove"/>
    <n v="58348342"/>
    <s v="Nab-Makeup"/>
    <x v="49"/>
    <d v="2025-07-17T00:00:00"/>
    <n v="150"/>
    <d v="2025-08-01T00:00:00"/>
    <m/>
  </r>
  <r>
    <s v="Narmeen Dulloo"/>
    <s v="Hassen Raffa Avenue, Phoenix"/>
    <s v="Phoenix"/>
    <s v="Phoenix"/>
    <n v="57107147"/>
    <s v="Nab-Makeup"/>
    <x v="49"/>
    <d v="2025-07-17T00:00:00"/>
    <n v="150"/>
    <d v="2025-08-01T00:00:00"/>
    <m/>
  </r>
  <r>
    <s v="Haadiyah Yusrah Moolkeea"/>
    <s v="Dahlia D21, Camp Levieux, Rose-Hill"/>
    <s v="Rose-Hill"/>
    <s v="Rose Hill"/>
    <n v="55185471"/>
    <s v="Nab-Makeup"/>
    <x v="49"/>
    <d v="2025-07-17T00:00:00"/>
    <n v="150"/>
    <d v="2025-08-01T00:00:00"/>
    <m/>
  </r>
  <r>
    <s v="Mouhsinah Khoodoruth"/>
    <s v="18a AbbÃ© Laval Street, Eau-CoulÃ©e, Curepipe"/>
    <s v="Curepipe"/>
    <s v="Curepipe"/>
    <n v="57723010"/>
    <s v="Nab-Makeup"/>
    <x v="49"/>
    <d v="2025-07-17T00:00:00"/>
    <n v="150"/>
    <d v="2025-08-01T00:00:00"/>
    <m/>
  </r>
  <r>
    <s v="Yecha Rhungapen-Veeramootoo"/>
    <s v="Morcellement de Rosnay, Les Casernes, Curepipe"/>
    <s v="Curepipe"/>
    <s v="Curepipe"/>
    <n v="57947436"/>
    <s v="Nab-Makeup"/>
    <x v="49"/>
    <d v="2025-07-17T00:00:00"/>
    <n v="150"/>
    <d v="2025-08-01T00:00:00"/>
    <m/>
  </r>
  <r>
    <s v="Maeva Jean Baptiste"/>
    <s v="Pavillon Cite CHA, Cap-Malheureux"/>
    <s v="Cap-Malheureux"/>
    <s v="Cap Malheureux"/>
    <n v="57366395"/>
    <s v="Nab-Makeup"/>
    <x v="49"/>
    <d v="2025-07-17T00:00:00"/>
    <n v="150"/>
    <d v="2025-08-01T00:00:00"/>
    <m/>
  </r>
  <r>
    <s v="Mohammad Umar Ibne Nageeb Cader"/>
    <s v="Royal Road, Rose-Belle / Lespoir road Calebasses (if tomorrow)"/>
    <s v="Rose-Belle / Calebasses"/>
    <s v="Rose Belle"/>
    <n v="58072559"/>
    <s v="Nab-Makeup"/>
    <x v="49"/>
    <d v="2025-07-17T00:00:00"/>
    <n v="150"/>
    <d v="2025-08-01T00:00:00"/>
    <m/>
  </r>
  <r>
    <s v="Yashni Beetalah"/>
    <s v="10 Route Bassin, Quatre-Bornes"/>
    <s v="Quatre-Bornes"/>
    <s v="Quartier Militaire"/>
    <n v="57850366"/>
    <s v="Nab-Makeup"/>
    <x v="49"/>
    <d v="2025-07-17T00:00:00"/>
    <n v="150"/>
    <d v="2025-08-01T00:00:00"/>
    <m/>
  </r>
  <r>
    <s v="Agathe Annise"/>
    <s v="Gaby Lane, Palma Road, Quatre-Bornes"/>
    <s v="Quatre-Bornes"/>
    <s v="Quartier Militaire"/>
    <n v="57455252"/>
    <s v="Nab-Makeup"/>
    <x v="49"/>
    <d v="2025-07-17T00:00:00"/>
    <n v="150"/>
    <d v="2025-08-01T00:00:00"/>
    <m/>
  </r>
  <r>
    <s v="Kavina St Felix"/>
    <s v="51 Avenue de la Faye, Belle Rose, Quatre-Bornes"/>
    <s v="Belle Rose"/>
    <s v="Belle Rose"/>
    <n v="54949025"/>
    <s v="Nab-Makeup"/>
    <x v="49"/>
    <d v="2025-07-17T00:00:00"/>
    <n v="150"/>
    <d v="2025-08-01T00:00:00"/>
    <m/>
  </r>
  <r>
    <s v="Divya Sookunah"/>
    <s v="96 RÃ©sidence Sunsetville, La Caverne, Vacoas"/>
    <s v="Vacoas"/>
    <s v="Vacoas"/>
    <n v="57873929"/>
    <s v="Nab-Makeup"/>
    <x v="49"/>
    <d v="2025-07-17T00:00:00"/>
    <n v="150"/>
    <d v="2025-08-01T00:00:00"/>
    <m/>
  </r>
  <r>
    <s v="Yashee Dookhooah"/>
    <s v="Tulsidas Lane, Camp Ithier, Flacq"/>
    <s v="Camp Ithier"/>
    <s v="Camp Ithier"/>
    <n v="58089245"/>
    <s v="Nab-Makeup"/>
    <x v="49"/>
    <d v="2025-07-17T00:00:00"/>
    <n v="150"/>
    <d v="2025-08-01T00:00:00"/>
    <m/>
  </r>
  <r>
    <s v="Shweta Babollall Shibchurn"/>
    <s v="Narad Road, Petit Raffray"/>
    <s v="Petit Raffray"/>
    <s v="Petit Raffray"/>
    <n v="57774370"/>
    <s v="Nab-Makeup"/>
    <x v="49"/>
    <d v="2025-07-17T00:00:00"/>
    <n v="150"/>
    <d v="2025-08-01T00:00:00"/>
    <m/>
  </r>
  <r>
    <s v="Tilesh Bahadoor RAGHU "/>
    <s v="Royal Road, Fond du Sac"/>
    <s v="Fond du Sac"/>
    <s v="Fond Du Sac"/>
    <n v="58194682"/>
    <s v="Timeless Trends"/>
    <x v="48"/>
    <d v="2025-07-17T00:00:00"/>
    <n v="150"/>
    <d v="2025-08-01T00:00:00"/>
    <m/>
  </r>
  <r>
    <s v="Esha"/>
    <s v="Orient Lane, Le Hochet, Terre Rouge"/>
    <s v="Terre Rouge"/>
    <s v="Terre Rouge"/>
    <n v="54573446"/>
    <s v="OKASINA"/>
    <x v="49"/>
    <d v="2025-07-17T00:00:00"/>
    <n v="150"/>
    <d v="2025-08-01T00:00:00"/>
    <s v="COD: Rs 4450"/>
  </r>
  <r>
    <s v="Anusha Cooshna"/>
    <s v="Royal Road, Tamarin"/>
    <s v="Tamarin"/>
    <s v="Tamarin"/>
    <n v="58402146"/>
    <s v="Nab-Makeup"/>
    <x v="49"/>
    <d v="2025-07-20T00:00:00"/>
    <n v="150"/>
    <d v="2025-08-01T00:00:00"/>
    <m/>
  </r>
  <r>
    <s v="Dikshaa Nepaul"/>
    <s v="Morc Gowreesunkur, Petit Raffray, Port Louis"/>
    <s v="Port Louis"/>
    <s v="Petit Raffray"/>
    <n v="57925825"/>
    <s v="Nab-Makeup"/>
    <x v="49"/>
    <s v="Cancelled"/>
    <n v="0"/>
    <s v="Cancelled"/>
    <s v="Cancelled - parcel already collected"/>
  </r>
  <r>
    <s v="Samanta Maurimootoo"/>
    <s v="Royal Rd Nouvelle France"/>
    <s v="Nouvelle France"/>
    <s v="Nouvelle France"/>
    <s v="5927-3019"/>
    <s v="Glow And Aura"/>
    <x v="48"/>
    <d v="2025-07-21T00:00:00"/>
    <n v="150"/>
    <d v="2025-08-01T00:00:00"/>
    <s v="Cod: Rs 450"/>
  </r>
  <r>
    <s v="Jotee Seetohul"/>
    <s v="Schoenfield Riviere Du Rempart"/>
    <s v="Riviere Du Rempart"/>
    <s v="Riviere Du Poste"/>
    <s v="5923-5710"/>
    <s v="Glow And Aura"/>
    <x v="48"/>
    <d v="2025-07-21T00:00:00"/>
    <n v="150"/>
    <d v="2025-08-01T00:00:00"/>
    <s v="Cod: Rs 750"/>
  </r>
  <r>
    <s v="Mushirah Mohobuth Delawar"/>
    <s v="Royal Road, Nouvelle France"/>
    <s v="Nouvelle France"/>
    <s v="Nouvelle France"/>
    <n v="59661486"/>
    <s v="Nab-Makeup"/>
    <x v="49"/>
    <d v="2025-07-21T00:00:00"/>
    <n v="150"/>
    <d v="2025-08-01T00:00:00"/>
    <m/>
  </r>
  <r>
    <s v="Varuna Ramburrun"/>
    <s v="Royal Road, St Julien D'Hotman"/>
    <s v="East"/>
    <s v="St Julien D'Hotman"/>
    <n v="52526373"/>
    <s v="OKASINA"/>
    <x v="50"/>
    <d v="2025-07-21T00:00:00"/>
    <n v="150"/>
    <d v="2025-08-01T00:00:00"/>
    <s v="COD: 3650"/>
  </r>
  <r>
    <s v="Neha Beeharry"/>
    <s v="14 Avenue Yang Ylang"/>
    <s v="Plaines Wilhems"/>
    <s v="Quatre Bornes"/>
    <n v="59120596"/>
    <s v="OKASINA"/>
    <x v="50"/>
    <d v="2025-07-21T00:00:00"/>
    <n v="150"/>
    <d v="2025-08-01T00:00:00"/>
    <s v="COD: 3395"/>
  </r>
  <r>
    <s v="Ourvassi Pillay Narrainen"/>
    <s v="C5, Cite St Luc, Avenue des Sapins, Forest Side"/>
    <s v="Forest Side"/>
    <s v="Forest Side"/>
    <s v="57878891 / 54944479"/>
    <s v="Nab-Makeup"/>
    <x v="50"/>
    <d v="2025-07-21T00:00:00"/>
    <n v="150"/>
    <d v="2025-08-01T00:00:00"/>
    <m/>
  </r>
  <r>
    <s v="Kavya Chendradoo"/>
    <s v="Subash Chandra Bose Street, La Clemence, Riviere Du Rempart"/>
    <s v="Riviere Du Rempart"/>
    <s v="Riviere Du Poste"/>
    <n v="58146306"/>
    <s v="Nab-Makeup"/>
    <x v="50"/>
    <d v="2025-07-21T00:00:00"/>
    <n v="150"/>
    <d v="2025-08-01T00:00:00"/>
    <m/>
  </r>
  <r>
    <s v="Nabeehah Jumon"/>
    <s v="Macky lane, Bel-Air Riviere Seche, Flacq"/>
    <s v="Flacq"/>
    <s v="Flacq"/>
    <n v="55376204"/>
    <s v="Nab-Makeup"/>
    <x v="50"/>
    <d v="2025-07-21T00:00:00"/>
    <n v="150"/>
    <d v="2025-08-01T00:00:00"/>
    <m/>
  </r>
  <r>
    <s v="Shahana Ponnan"/>
    <s v="SBM Tower, Place D'Armes, Port Louis"/>
    <s v="Port Louis"/>
    <s v="Port Louis"/>
    <n v="57865159"/>
    <s v="Nab-Makeup"/>
    <x v="50"/>
    <d v="2025-07-21T00:00:00"/>
    <n v="150"/>
    <d v="2025-08-01T00:00:00"/>
    <m/>
  </r>
  <r>
    <s v="Niveda Moorghen"/>
    <s v="Petit paquet, Montagne Blanche"/>
    <s v="Montagne Blanche"/>
    <s v="Montagne Blanche"/>
    <n v="57957626"/>
    <s v="Nab-Makeup"/>
    <x v="50"/>
    <d v="2025-07-21T00:00:00"/>
    <n v="150"/>
    <d v="2025-08-01T00:00:00"/>
    <m/>
  </r>
  <r>
    <s v="Lovnima Gungah"/>
    <s v="5, Deux Bras Road, New Grove"/>
    <s v="New Grove"/>
    <s v="New Grove"/>
    <n v="57041654"/>
    <s v="Nab-Makeup"/>
    <x v="50"/>
    <d v="2025-07-21T00:00:00"/>
    <n v="150"/>
    <d v="2025-08-01T00:00:00"/>
    <m/>
  </r>
  <r>
    <s v="Fawziyya Sahebally Goomany"/>
    <s v="Royal Road, Bon Accueil, Flacq"/>
    <s v="Bon Accueil"/>
    <s v="Bon Accueil"/>
    <n v="57415110"/>
    <s v="Nab-Makeup"/>
    <x v="50"/>
    <d v="2025-07-21T00:00:00"/>
    <n v="150"/>
    <d v="2025-08-01T00:00:00"/>
    <m/>
  </r>
  <r>
    <s v="Hajrah Neeroo"/>
    <s v="41, Paul Taureau Street, Port Louis"/>
    <s v="Port Louis"/>
    <s v="Port Louis"/>
    <n v="59396749"/>
    <s v="Nab-Makeup"/>
    <x v="50"/>
    <d v="2025-07-24T00:00:00"/>
    <n v="150"/>
    <d v="2025-08-01T00:00:00"/>
    <m/>
  </r>
  <r>
    <s v="Khung Voon LSC LI KIM MUI (Jean Pierre)"/>
    <s v="33, Saran Villa Street, Belle Etoile, Coromandel"/>
    <s v="Coromandel"/>
    <s v="Coromandel"/>
    <n v="57615101"/>
    <s v="Nab-Makeup"/>
    <x v="50"/>
    <d v="2025-07-21T00:00:00"/>
    <n v="150"/>
    <d v="2025-08-01T00:00:00"/>
    <m/>
  </r>
  <r>
    <s v="Toraub Abiir Haana"/>
    <s v="Morc des Gersigny, Central Flacq"/>
    <s v="Central Flacq"/>
    <s v="Central Flacq"/>
    <n v="57591688"/>
    <s v="Nab-Makeup"/>
    <x v="50"/>
    <d v="2025-07-21T00:00:00"/>
    <n v="150"/>
    <d v="2025-08-01T00:00:00"/>
    <m/>
  </r>
  <r>
    <s v="Ketsia Sawmynaden"/>
    <s v="Royal Road, Amaury"/>
    <s v="Amaury"/>
    <s v="Amaury"/>
    <n v="57999753"/>
    <s v="Nab-Makeup"/>
    <x v="50"/>
    <d v="2025-07-21T00:00:00"/>
    <n v="150"/>
    <d v="2025-08-01T00:00:00"/>
    <m/>
  </r>
  <r>
    <s v="Manisha Sampath Burundayl"/>
    <s v="Avenue Lemonier, Morcellement Belle Vue Phare, Albion"/>
    <s v="Albion"/>
    <s v="Albion"/>
    <n v="59035497"/>
    <s v="Nab-Makeup"/>
    <x v="50"/>
    <d v="2025-07-21T00:00:00"/>
    <n v="150"/>
    <d v="2025-08-01T00:00:00"/>
    <m/>
  </r>
  <r>
    <s v="Daneejah Saddul-Deenoo"/>
    <s v="44, Nicholson Road, Vacoas"/>
    <s v="Vacoas"/>
    <s v="Vacoas"/>
    <n v="52502266"/>
    <s v="Nab-Makeup"/>
    <x v="50"/>
    <d v="2025-07-21T00:00:00"/>
    <n v="150"/>
    <d v="2025-08-01T00:00:00"/>
    <m/>
  </r>
  <r>
    <s v="Hritika Kissoon"/>
    <s v="Camp Beton Road, Bramsthan, Flacq"/>
    <s v="Flacq"/>
    <s v="Bramsthan"/>
    <n v="57689442"/>
    <s v="Nab-Makeup"/>
    <x v="50"/>
    <s v="Cancelled"/>
    <n v="0"/>
    <s v="Cancelled"/>
    <s v="Returned to Seller - client not replying"/>
  </r>
  <r>
    <s v="Wendy Sellamuthu"/>
    <s v="La Tour Koenig"/>
    <s v="La Tour Koenig"/>
    <s v="La Tour Koenig"/>
    <n v="57034088"/>
    <s v="Nab-Makeup"/>
    <x v="50"/>
    <d v="2025-07-21T00:00:00"/>
    <n v="150"/>
    <d v="2025-08-01T00:00:00"/>
    <m/>
  </r>
  <r>
    <s v="Summayya Saumtally"/>
    <s v="Residence Paris Belle Epoque, Bernardin de St Pierre Street, Curepipe"/>
    <s v="Curepipe"/>
    <s v="Curepipe"/>
    <n v="57379585"/>
    <s v="Nab-Makeup"/>
    <x v="50"/>
    <d v="2025-07-21T00:00:00"/>
    <n v="150"/>
    <d v="2025-08-01T00:00:00"/>
    <m/>
  </r>
  <r>
    <s v="Faheka Joomabocus"/>
    <s v="Riverside, Phoenix"/>
    <s v="Phoenix"/>
    <s v="Phoenix"/>
    <n v="52551116"/>
    <s v="Nab-Makeup"/>
    <x v="50"/>
    <d v="2025-07-21T00:00:00"/>
    <n v="150"/>
    <d v="2025-08-01T00:00:00"/>
    <m/>
  </r>
  <r>
    <s v="Bibi Zaheerah Banu Toorabally"/>
    <s v="Royal Road, Petite Riviere"/>
    <s v="Petite Riviere"/>
    <s v="Petite Riviere"/>
    <n v="55071312"/>
    <s v="Nab-Makeup"/>
    <x v="50"/>
    <d v="2025-07-21T00:00:00"/>
    <n v="150"/>
    <d v="2025-08-01T00:00:00"/>
    <m/>
  </r>
  <r>
    <s v="Naweeda Suhotoo"/>
    <s v="1, Phoenix Robinson Lane"/>
    <s v="Phoenix"/>
    <s v="Phoenix"/>
    <n v="59283704"/>
    <s v="Nab-Makeup"/>
    <x v="50"/>
    <d v="2025-07-21T00:00:00"/>
    <n v="150"/>
    <d v="2025-08-01T00:00:00"/>
    <m/>
  </r>
  <r>
    <s v="Noorreza Saalih Ahmad"/>
    <s v="R27 Inkerman, Vallee Pitot"/>
    <s v="Vallee Pitot"/>
    <s v="Vallee Pitot"/>
    <n v="57868570"/>
    <s v="Nab-Makeup"/>
    <x v="50"/>
    <d v="2025-07-21T00:00:00"/>
    <n v="150"/>
    <d v="2025-08-01T00:00:00"/>
    <m/>
  </r>
  <r>
    <s v="Samiyah Burkutally"/>
    <s v="Le Valentina Mall, Shop, Phoenix"/>
    <s v="Phoenix"/>
    <s v="Phoenix"/>
    <n v="59272041"/>
    <s v="Nab-Makeup"/>
    <x v="50"/>
    <d v="2025-07-21T00:00:00"/>
    <n v="150"/>
    <d v="2025-08-01T00:00:00"/>
    <m/>
  </r>
  <r>
    <s v="Vedishka Pandoo"/>
    <s v="Wall Street, 7 Exchange Square Building, Ebene"/>
    <s v="Ebene"/>
    <s v="Ebene"/>
    <n v="57718586"/>
    <s v="Nab-Makeup"/>
    <x v="50"/>
    <d v="2025-07-21T00:00:00"/>
    <n v="150"/>
    <d v="2025-08-01T00:00:00"/>
    <m/>
  </r>
  <r>
    <s v="Mohamad Sadek Hosany"/>
    <s v="89 Boundary, Rose Hill"/>
    <s v="Rose Hill"/>
    <s v="Rose Hill"/>
    <n v="57610640"/>
    <s v="Nab-Makeup"/>
    <x v="50"/>
    <d v="2025-07-21T00:00:00"/>
    <n v="150"/>
    <d v="2025-08-01T00:00:00"/>
    <m/>
  </r>
  <r>
    <s v="Preeta Ramessur"/>
    <s v="Rampe le moirt, Mare D'Albert"/>
    <s v="Mare D'Albert"/>
    <s v="Mare D'Albert"/>
    <n v="59010622"/>
    <s v="Nab-Makeup"/>
    <x v="50"/>
    <d v="2025-07-21T00:00:00"/>
    <n v="150"/>
    <d v="2025-08-01T00:00:00"/>
    <m/>
  </r>
  <r>
    <s v="Vyaporee"/>
    <s v="Vis a vis sbm,Royal Road, Port Louis"/>
    <s v="Port Louis"/>
    <s v="Port Louis"/>
    <n v="58255155"/>
    <s v="Little Star Boutique"/>
    <x v="51"/>
    <d v="2025-07-24T00:00:00"/>
    <n v="150"/>
    <d v="2025-08-01T00:00:00"/>
    <s v="COD: Rs 815"/>
  </r>
  <r>
    <s v="Yusraa Meeajun"/>
    <s v="block s6 - flat, Cite Martial  Port - Louis"/>
    <s v="Port Louis"/>
    <s v="Port Louis"/>
    <n v="59751360"/>
    <s v="Luxe Miniatures"/>
    <x v="51"/>
    <d v="2025-07-21T00:00:00"/>
    <n v="150"/>
    <d v="2025-08-01T00:00:00"/>
    <s v="COD: 1800"/>
  </r>
  <r>
    <s v="Saadiyah Boolaky"/>
    <s v="Morcellement Traffic Centre, Saint Pierre"/>
    <s v="Saint Pierre"/>
    <s v="Saint Pierre"/>
    <n v="57226761"/>
    <s v="Nab-Makeup"/>
    <x v="52"/>
    <d v="2025-07-24T00:00:00"/>
    <n v="150"/>
    <d v="2025-08-01T00:00:00"/>
    <m/>
  </r>
  <r>
    <s v="Yassirah Dauhoo"/>
    <s v="Independence Lane, Pamplemousses"/>
    <s v="Pamplemousses"/>
    <s v="Pamplemousses"/>
    <n v="57801577"/>
    <s v="Nab-Makeup"/>
    <x v="52"/>
    <d v="2025-07-24T00:00:00"/>
    <n v="150"/>
    <d v="2025-08-01T00:00:00"/>
    <m/>
  </r>
  <r>
    <s v="Fateema Haadiyah Heerah"/>
    <s v="10, Frere Felix de Valois Street, Champ de Mars, ESSAR Building, Port Louis"/>
    <s v="Port Louis"/>
    <s v="Port Louis"/>
    <n v="57124722"/>
    <s v="Nab-Makeup"/>
    <x v="52"/>
    <d v="2025-07-24T00:00:00"/>
    <n v="150"/>
    <d v="2025-08-01T00:00:00"/>
    <m/>
  </r>
  <r>
    <s v="Jhumunn Imran"/>
    <s v="Royal Road, Montagne Blanche, Port Louis"/>
    <s v="Montagne Blanche"/>
    <s v="Montagne Blanche"/>
    <n v="57575292"/>
    <s v="Nab-Makeup"/>
    <x v="52"/>
    <d v="2025-07-24T00:00:00"/>
    <n v="150"/>
    <d v="2025-08-01T00:00:00"/>
    <m/>
  </r>
  <r>
    <s v="Ravina Bungari"/>
    <s v="22, Palma Road, Quatre-Bornes"/>
    <s v="Quatre-Bornes"/>
    <s v="Quartier Militaire"/>
    <n v="59366000"/>
    <s v="Nab-Makeup"/>
    <x v="52"/>
    <d v="2025-07-24T00:00:00"/>
    <n v="150"/>
    <d v="2025-08-01T00:00:00"/>
    <m/>
  </r>
  <r>
    <s v="Bibi Taslima Taroo"/>
    <s v="15 Avenue St Louis, Belle Rose, Quatre Bornes"/>
    <s v="Belle Rose"/>
    <s v="Belle Rose"/>
    <n v="59816740"/>
    <s v="Nab-Makeup"/>
    <x v="52"/>
    <d v="2025-07-24T00:00:00"/>
    <n v="150"/>
    <d v="2025-08-01T00:00:00"/>
    <m/>
  </r>
  <r>
    <s v="Aliyah Mowlah"/>
    <s v="8 Colonel Draper Street, Beau Bassin"/>
    <s v="Beau Bassin"/>
    <s v="Beau Bassin"/>
    <n v="55013091"/>
    <s v="Nab-Makeup"/>
    <x v="52"/>
    <d v="2025-07-24T00:00:00"/>
    <n v="150"/>
    <d v="2025-08-01T00:00:00"/>
    <m/>
  </r>
  <r>
    <s v="Disha Mungla-Allock"/>
    <s v="Shivala Rd, Le Hochet, Terre Rouge, Pamplemousses"/>
    <s v="Terre Rouge"/>
    <s v="Terre Rouge"/>
    <n v="57030579"/>
    <s v="Nab-Makeup"/>
    <x v="52"/>
    <d v="2025-07-24T00:00:00"/>
    <n v="150"/>
    <d v="2025-08-01T00:00:00"/>
    <m/>
  </r>
  <r>
    <s v="Devina Loganaden"/>
    <s v="Plot No 43, Morcellement MDA, L'Avenir, St Pierre"/>
    <s v="St Pierre"/>
    <s v="St Pierre"/>
    <n v="58804086"/>
    <s v="Nab-Makeup"/>
    <x v="52"/>
    <d v="2025-07-24T00:00:00"/>
    <n v="150"/>
    <d v="2025-08-01T00:00:00"/>
    <m/>
  </r>
  <r>
    <s v="Ayesha Luximon"/>
    <s v="Bhunjun Road, Surinam"/>
    <s v="Surinam"/>
    <s v="Surinam"/>
    <n v="58119489"/>
    <s v="Nab-Makeup"/>
    <x v="52"/>
    <d v="2025-07-24T00:00:00"/>
    <n v="150"/>
    <d v="2025-08-01T00:00:00"/>
    <m/>
  </r>
  <r>
    <s v="Shahana Rojoa"/>
    <s v="Morc Cooperative, Clairfonds 2, Vacoas"/>
    <s v="Vacoas"/>
    <s v="Vacoas"/>
    <n v="59762151"/>
    <s v="Nab-Makeup"/>
    <x v="52"/>
    <d v="2025-07-24T00:00:00"/>
    <n v="150"/>
    <d v="2025-08-01T00:00:00"/>
    <m/>
  </r>
  <r>
    <s v="Avima Hurloll"/>
    <s v="New Road, Roches Noires"/>
    <s v="Roches Noires"/>
    <s v="Roches Noires"/>
    <n v="57852027"/>
    <s v="Nab-Makeup"/>
    <x v="52"/>
    <d v="2025-07-24T00:00:00"/>
    <n v="150"/>
    <d v="2025-08-01T00:00:00"/>
    <m/>
  </r>
  <r>
    <s v="Shashthee Gooroochurun"/>
    <s v="La Ligne Road, Pavillon, Cap Malheureux"/>
    <s v="Cap Malheureux"/>
    <s v="Cap Malheureux"/>
    <n v="57326905"/>
    <s v="Nab-Makeup"/>
    <x v="52"/>
    <d v="2025-07-24T00:00:00"/>
    <n v="150"/>
    <d v="2025-08-01T00:00:00"/>
    <m/>
  </r>
  <r>
    <s v="LaÃ¯llah Peeroo"/>
    <s v="Dudhee Lane, Hollyrood No1, Vacoas"/>
    <s v="Vacoas"/>
    <s v="Vacoas"/>
    <n v="58111868"/>
    <s v="Nab-Makeup"/>
    <x v="52"/>
    <d v="2025-07-24T00:00:00"/>
    <n v="150"/>
    <d v="2025-08-01T00:00:00"/>
    <m/>
  </r>
  <r>
    <s v="Prishitha Sue Venkanah"/>
    <s v="Cyber Tower 1, Orange Business, Ebene"/>
    <s v="Ebene"/>
    <s v="Ebene"/>
    <n v="57905921"/>
    <s v="Nab-Makeup"/>
    <x v="52"/>
    <d v="2025-07-24T00:00:00"/>
    <n v="150"/>
    <d v="2025-08-01T00:00:00"/>
    <m/>
  </r>
  <r>
    <s v="Tasnim Chady"/>
    <s v="11, Avenue Ollier, Rose-Hill"/>
    <s v="Rose-Hill"/>
    <s v="Rose Hill"/>
    <n v="57826178"/>
    <s v="Nab-Makeup"/>
    <x v="52"/>
    <d v="2025-07-24T00:00:00"/>
    <n v="150"/>
    <d v="2025-08-01T00:00:00"/>
    <m/>
  </r>
  <r>
    <s v="Andrew Wan Kut Kai"/>
    <s v="9-15 Sir William Newton Street, 8th Floor, MCB Head Office, Port Louis"/>
    <s v="Port Louis"/>
    <s v="Port Louis"/>
    <n v="57671165"/>
    <s v="Nab-Makeup"/>
    <x v="52"/>
    <d v="2025-07-24T00:00:00"/>
    <n v="150"/>
    <d v="2025-08-01T00:00:00"/>
    <m/>
  </r>
  <r>
    <s v="Reeshika Ramsurun"/>
    <s v="Biswa Lane, Plaine Magnien"/>
    <s v="Plaine Magnien"/>
    <s v="Plaine Magnien"/>
    <n v="58255724"/>
    <s v="Nab-Makeup"/>
    <x v="52"/>
    <d v="2025-07-24T00:00:00"/>
    <n v="150"/>
    <d v="2025-08-01T00:00:00"/>
    <m/>
  </r>
  <r>
    <s v="Vikash Nunkoo"/>
    <s v="Independence Street, Pamplemousses"/>
    <s v="Pamplemousses"/>
    <s v="Pamplemousses"/>
    <n v="57905250"/>
    <s v="Nab-Makeup"/>
    <x v="52"/>
    <d v="2025-07-24T00:00:00"/>
    <n v="150"/>
    <d v="2025-08-01T00:00:00"/>
    <m/>
  </r>
  <r>
    <s v="Deoranee Bucktowar"/>
    <s v="Belvedere Road, Congomah"/>
    <s v="Congomah"/>
    <s v="Congomah"/>
    <n v="57043653"/>
    <s v="Nab-Makeup"/>
    <x v="52"/>
    <d v="2025-07-24T00:00:00"/>
    <n v="150"/>
    <d v="2025-08-01T00:00:00"/>
    <m/>
  </r>
  <r>
    <s v="Auleear Bibi Aisha"/>
    <s v="Jaguessur Lane, Plaine des Roches"/>
    <s v="Plaine des Roches"/>
    <s v="Plaines des Roches"/>
    <n v="57692517"/>
    <s v="Nab-Makeup"/>
    <x v="52"/>
    <d v="2025-07-24T00:00:00"/>
    <n v="150"/>
    <d v="2025-08-01T00:00:00"/>
    <m/>
  </r>
  <r>
    <s v="Shahana Shibchurn"/>
    <s v="Morc La Vallee, Le Cornu, St Croix, Port Louis"/>
    <s v="St Croix"/>
    <s v="Sainte Croix"/>
    <n v="57588028"/>
    <s v="Nab-Makeup"/>
    <x v="52"/>
    <d v="2025-07-24T00:00:00"/>
    <n v="150"/>
    <d v="2025-08-01T00:00:00"/>
    <m/>
  </r>
  <r>
    <s v="Disha Mungla"/>
    <s v="Avenue Tulips, Quatre Bornes"/>
    <s v="Quatre Bornes"/>
    <s v="Quatre Bornes"/>
    <n v="57030579"/>
    <s v="Little Star Boutique"/>
    <x v="53"/>
    <d v="2025-07-24T00:00:00"/>
    <n v="150"/>
    <d v="2025-08-01T00:00:00"/>
    <s v="COD: 550"/>
  </r>
  <r>
    <s v="Nadia"/>
    <s v="53 Karikal, Plaine Verte"/>
    <s v="Plaine Verte"/>
    <s v="Port Louis"/>
    <n v="59208713"/>
    <s v="Little Star Boutique"/>
    <x v="53"/>
    <d v="2025-07-24T00:00:00"/>
    <n v="150"/>
    <d v="2025-08-01T00:00:00"/>
    <s v="COD: 900"/>
  </r>
  <r>
    <s v="Sanjouna Beeharry"/>
    <s v="Royal Road, Chamarel"/>
    <s v="Chamarel"/>
    <s v="Chamarel"/>
    <n v="58147177"/>
    <s v="Glow And Aura"/>
    <x v="53"/>
    <d v="2025-07-24T00:00:00"/>
    <n v="150"/>
    <d v="2025-08-01T00:00:00"/>
    <s v="COD: 700"/>
  </r>
  <r>
    <s v="Izdihaar"/>
    <s v="Bon Air Branch, Triolet"/>
    <s v="Triolet"/>
    <s v="Triolet"/>
    <n v="59175557"/>
    <s v="Glow And Aura"/>
    <x v="53"/>
    <d v="2025-07-24T00:00:00"/>
    <n v="150"/>
    <d v="2025-08-01T00:00:00"/>
    <m/>
  </r>
  <r>
    <s v="Gowmatee Reedoye"/>
    <s v="Avenue Albatross, Montida"/>
    <s v="Montida"/>
    <s v="Mont Ida"/>
    <n v="58024936"/>
    <s v="OKASINA"/>
    <x v="52"/>
    <d v="2025-07-24T00:00:00"/>
    <n v="150"/>
    <d v="2025-08-01T00:00:00"/>
    <m/>
  </r>
  <r>
    <s v="Raina Lutchman"/>
    <s v="Jeetoo Hospital"/>
    <s v="Port Louis"/>
    <s v="Port Louis"/>
    <n v="55003947"/>
    <s v="OKASINA"/>
    <x v="52"/>
    <d v="2025-07-24T00:00:00"/>
    <n v="150"/>
    <d v="2025-08-01T00:00:00"/>
    <m/>
  </r>
  <r>
    <s v="Amirah khoodoruth"/>
    <s v="Morcellement Highland Rose, Highlands"/>
    <s v="Highlands"/>
    <s v="Highlands"/>
    <n v="59242220"/>
    <s v="Little Star Boutique"/>
    <x v="53"/>
    <d v="2025-07-24T00:00:00"/>
    <n v="150"/>
    <d v="2025-08-01T00:00:00"/>
    <s v="COD: 500"/>
  </r>
  <r>
    <s v="Aniisha Mahomed Khan"/>
    <s v="Owadally Lane, Highlands, Phoenix"/>
    <s v="Highlands"/>
    <s v="Highlands"/>
    <n v="59463998"/>
    <s v="Timeless Trends"/>
    <x v="53"/>
    <d v="2025-07-24T00:00:00"/>
    <n v="150"/>
    <d v="2025-08-01T00:00:00"/>
    <m/>
  </r>
  <r>
    <s v="Anousha"/>
    <s v="Bon Accueil State College, Royal Road, Bon Accueil "/>
    <s v="Bon Accueil"/>
    <s v="Bon Accueil"/>
    <n v="57235491"/>
    <s v="Timeless Trends"/>
    <x v="53"/>
    <d v="2025-07-24T00:00:00"/>
    <n v="150"/>
    <d v="2025-08-01T00:00:00"/>
    <m/>
  </r>
  <r>
    <s v="Mme Mohit "/>
    <s v="SSS Lane, Triolet"/>
    <s v="Triolet"/>
    <s v="Triolet"/>
    <n v="57998810"/>
    <s v="Timeless Trends"/>
    <x v="53"/>
    <d v="2025-07-24T00:00:00"/>
    <n v="150"/>
    <d v="2025-08-01T00:00:00"/>
    <s v="COD: 2750"/>
  </r>
  <r>
    <s v="Preeta Ramessur"/>
    <s v="Rampe le moirt, Mare D'Albert"/>
    <s v="Mare D'Albert"/>
    <s v="Mare D'Albert"/>
    <n v="59010622"/>
    <s v="Nab-Makeup"/>
    <x v="52"/>
    <d v="2025-07-24T00:00:00"/>
    <n v="150"/>
    <d v="2025-08-01T00:00:00"/>
    <m/>
  </r>
  <r>
    <s v="Arzeenah Nauthoo"/>
    <s v="Royal Road, Camp de Masque Pave"/>
    <s v="Mauritius"/>
    <s v="Mauritius"/>
    <n v="57681286"/>
    <s v="Nab-Makeup"/>
    <x v="54"/>
    <d v="2025-07-28T00:00:00"/>
    <n v="150"/>
    <d v="2025-08-01T00:00:00"/>
    <m/>
  </r>
  <r>
    <s v="Seedhi Bhantoo"/>
    <s v="Pave Road"/>
    <s v="Riviere du Rempart, Mauritius"/>
    <s v="Riviere Du Poste"/>
    <n v="59264738"/>
    <s v="Nab-Makeup"/>
    <x v="54"/>
    <d v="2025-07-28T00:00:00"/>
    <n v="150"/>
    <d v="2025-08-01T00:00:00"/>
    <m/>
  </r>
  <r>
    <s v="Prisca Venkiah"/>
    <s v="Royal Road Mahebourg"/>
    <s v="Mahebourg, Mauritius"/>
    <s v="Mahebourg"/>
    <n v="57199532"/>
    <s v="Nab-Makeup"/>
    <x v="54"/>
    <d v="2025-07-28T00:00:00"/>
    <n v="150"/>
    <d v="2025-08-01T00:00:00"/>
    <m/>
  </r>
  <r>
    <s v="Pooja Ramcharitar"/>
    <s v="Evaco Group Riviere Citron"/>
    <s v="Beau Plan, Mauritius"/>
    <s v="Beau Plan"/>
    <n v="59864950"/>
    <s v="Nab-Makeup"/>
    <x v="54"/>
    <d v="2025-07-28T00:00:00"/>
    <n v="150"/>
    <d v="2025-08-01T00:00:00"/>
    <m/>
  </r>
  <r>
    <s v="Siraz Hermance Marie Vanessa"/>
    <s v="St Joseph"/>
    <s v="Grand Gaube"/>
    <s v="Grand Gaube"/>
    <n v="55042609"/>
    <s v="Nab-Makeup"/>
    <x v="54"/>
    <d v="2025-07-28T00:00:00"/>
    <n v="150"/>
    <d v="2025-08-01T00:00:00"/>
    <m/>
  </r>
  <r>
    <s v="Nazia Shaheen Sumodhee"/>
    <s v="4, Rue Canal"/>
    <s v="Port Louis, Mauritius"/>
    <s v="Port Louis"/>
    <n v="58079670"/>
    <s v="Nab-Makeup"/>
    <x v="54"/>
    <d v="2025-07-28T00:00:00"/>
    <n v="150"/>
    <d v="2025-08-01T00:00:00"/>
    <m/>
  </r>
  <r>
    <s v="Reshma Sultunti"/>
    <s v="E 65 Rue de la Canelle"/>
    <s v="Ebene"/>
    <s v="Ebene"/>
    <n v="58052187"/>
    <s v="Nab-Makeup"/>
    <x v="54"/>
    <d v="2025-07-28T00:00:00"/>
    <n v="150"/>
    <d v="2025-08-01T00:00:00"/>
    <m/>
  </r>
  <r>
    <s v="Rosalba Ketsia"/>
    <s v="48 Residence Hibiscus"/>
    <s v="Flacq, Mauritius"/>
    <s v="Flacq"/>
    <n v="59702528"/>
    <s v="Nab-Makeup"/>
    <x v="54"/>
    <d v="2025-07-28T00:00:00"/>
    <n v="150"/>
    <d v="2025-08-01T00:00:00"/>
    <m/>
  </r>
  <r>
    <s v="Hritika Kissoon"/>
    <s v="Camp Beton Road"/>
    <s v="Bramsthan"/>
    <s v="Bramsthan"/>
    <n v="58213691"/>
    <s v="Nab-Makeup"/>
    <x v="54"/>
    <d v="2025-07-28T00:00:00"/>
    <n v="150"/>
    <d v="2025-08-01T00:00:00"/>
    <m/>
  </r>
  <r>
    <s v="Zainab Ramjaun"/>
    <s v="Mosque Road"/>
    <s v="Midlands, Mauritius"/>
    <s v="Midlands"/>
    <n v="59859852"/>
    <s v="Nab-Makeup"/>
    <x v="54"/>
    <d v="2025-07-28T00:00:00"/>
    <n v="150"/>
    <d v="2025-08-01T00:00:00"/>
    <m/>
  </r>
  <r>
    <s v="Naairah Cadersaib"/>
    <s v="76, Arsenal Street"/>
    <s v="Port Louis, Mauritius"/>
    <s v="Port Louis"/>
    <n v="59448908"/>
    <s v="Nab-Makeup"/>
    <x v="54"/>
    <d v="2025-07-28T00:00:00"/>
    <n v="150"/>
    <d v="2025-08-01T00:00:00"/>
    <m/>
  </r>
  <r>
    <s v="Lachman Lakshana"/>
    <s v="Kader Road Belveder"/>
    <s v="Lallmatie, Mauritius"/>
    <s v="Lallmatie"/>
    <n v="57912230"/>
    <s v="Nab-Makeup"/>
    <x v="54"/>
    <d v="2025-07-28T00:00:00"/>
    <n v="150"/>
    <d v="2025-08-01T00:00:00"/>
    <m/>
  </r>
  <r>
    <s v="Emambocus Sharmeen"/>
    <s v="Kashmir Road"/>
    <s v="Upper Vale"/>
    <s v="Upper Vale"/>
    <n v="57926382"/>
    <s v="Nab-Makeup"/>
    <x v="54"/>
    <d v="2025-07-28T00:00:00"/>
    <n v="150"/>
    <d v="2025-08-01T00:00:00"/>
    <m/>
  </r>
  <r>
    <s v="Zafirah Syed"/>
    <s v="Royal Road"/>
    <s v="L'Esperance Piton, Piton, Mauritius"/>
    <s v="Piton"/>
    <n v="57855458"/>
    <s v="Nab-Makeup"/>
    <x v="54"/>
    <d v="2025-07-28T00:00:00"/>
    <n v="150"/>
    <d v="2025-08-01T00:00:00"/>
    <m/>
  </r>
  <r>
    <s v="Luxshmee Devi Ubheeram"/>
    <s v="Royal Road"/>
    <s v="Lalmatie"/>
    <s v="Lallmatie"/>
    <n v="57068578"/>
    <s v="Nab-Makeup"/>
    <x v="54"/>
    <d v="2025-07-28T00:00:00"/>
    <n v="150"/>
    <d v="2025-08-01T00:00:00"/>
    <m/>
  </r>
  <r>
    <s v="Ushka Seeroo"/>
    <s v="Errigadoo Lane"/>
    <s v="Midlands, Plaines Wilhems, Mauritius"/>
    <s v="Midlands"/>
    <n v="59133753"/>
    <s v="Nab-Makeup"/>
    <x v="54"/>
    <d v="2025-07-28T00:00:00"/>
    <n v="150"/>
    <d v="2025-08-01T00:00:00"/>
    <m/>
  </r>
  <r>
    <s v="Khushi Dahoo"/>
    <s v="Ebene"/>
    <s v="Ebene, Mauritius"/>
    <s v="Ebene"/>
    <n v="59116723"/>
    <s v="Nab-Makeup"/>
    <x v="54"/>
    <d v="2025-07-28T00:00:00"/>
    <n v="150"/>
    <d v="2025-08-01T00:00:00"/>
    <m/>
  </r>
  <r>
    <s v="Fawziyah Kurreemun"/>
    <s v="School Road"/>
    <s v="Dagotiere"/>
    <s v="Dagotiere"/>
    <n v="57629710"/>
    <s v="Nab-Makeup"/>
    <x v="54"/>
    <d v="2025-07-28T00:00:00"/>
    <n v="150"/>
    <d v="2025-08-01T00:00:00"/>
    <m/>
  </r>
  <r>
    <s v="Muditaa Boyjoo"/>
    <s v="School Lane"/>
    <s v="Grand Bel Air, Mauritius"/>
    <s v="Grand Bel Air"/>
    <n v="59256871"/>
    <s v="Nab-Makeup"/>
    <x v="54"/>
    <d v="2025-07-28T00:00:00"/>
    <n v="150"/>
    <d v="2025-08-01T00:00:00"/>
    <m/>
  </r>
  <r>
    <s v="Kishelle Dookhee"/>
    <s v="53, Morcellement Lorette"/>
    <s v="Beau-Vallon, Mahebourg, Mauritius"/>
    <s v="Mahebourg"/>
    <n v="59084577"/>
    <s v="Nab-Makeup"/>
    <x v="54"/>
    <d v="2025-07-28T00:00:00"/>
    <n v="150"/>
    <d v="2025-08-01T00:00:00"/>
    <m/>
  </r>
  <r>
    <s v="Shahana Madarbaccus"/>
    <s v="Bel Air Kashmir Rd"/>
    <s v="Bel Air, Mauritius"/>
    <s v="Bel Air"/>
    <n v="57069192"/>
    <s v="Nab-Makeup"/>
    <x v="54"/>
    <d v="2025-07-28T00:00:00"/>
    <n v="150"/>
    <d v="2025-08-01T00:00:00"/>
    <m/>
  </r>
  <r>
    <s v="Ruheeta Aujgobee"/>
    <s v="Eclosia Group"/>
    <s v="Eclosia Head Office, Gentilly Moka"/>
    <s v="Moka"/>
    <n v="59150385"/>
    <s v="Nab-Makeup"/>
    <x v="54"/>
    <d v="2025-07-28T00:00:00"/>
    <n v="150"/>
    <d v="2025-08-01T00:00:00"/>
    <m/>
  </r>
  <r>
    <s v="Simita Seegoolam"/>
    <s v="Bonne Terre, Vacoas / At Sicom Tower, Ebene (After 16:30)"/>
    <s v="Vacoas "/>
    <s v="Vacoas "/>
    <n v="54906226"/>
    <s v="Nab-Makeup"/>
    <x v="54"/>
    <d v="2025-07-28T00:00:00"/>
    <n v="150"/>
    <d v="2025-08-01T00:00:00"/>
    <m/>
  </r>
  <r>
    <s v="Bibi Azleen Boojhawoonah"/>
    <s v="Royal Road"/>
    <s v="Grand Bay"/>
    <s v="Grand Baie"/>
    <n v="57848823"/>
    <s v="Nab-Makeup"/>
    <x v="54"/>
    <d v="2025-07-28T00:00:00"/>
    <n v="150"/>
    <d v="2025-08-01T00:00:00"/>
    <m/>
  </r>
  <r>
    <s v="Richa Gokhoola"/>
    <s v="Ramnath Mandir Lane, Schoenfeld Road"/>
    <s v="Riviere Du Rempart"/>
    <s v="Riviere Du Poste"/>
    <n v="57565575"/>
    <s v="Nab-Makeup"/>
    <x v="54"/>
    <d v="2025-07-28T00:00:00"/>
    <n v="150"/>
    <d v="2025-08-01T00:00:00"/>
    <m/>
  </r>
  <r>
    <s v="Mrs Bhavna Mohesh Kunnee"/>
    <s v="Goordin Lane"/>
    <s v="Mahebourg"/>
    <s v="Mahebourg"/>
    <n v="58810707"/>
    <s v="OKASINA"/>
    <x v="54"/>
    <d v="2025-07-28T00:00:00"/>
    <n v="150"/>
    <d v="2025-08-01T00:00:00"/>
    <n v="3575"/>
  </r>
  <r>
    <s v="Saroja Samigoundan"/>
    <s v="14 Eagle Street, Morcellement La Confiance, Beau Bassin"/>
    <s v="Plaines Wilhems"/>
    <s v="Beau Bassin"/>
    <n v="59450164"/>
    <s v="OKASINA"/>
    <x v="54"/>
    <d v="2025-07-28T00:00:00"/>
    <n v="150"/>
    <d v="2025-08-01T00:00:00"/>
    <n v="6100"/>
  </r>
  <r>
    <s v="Varuna Ramburrun"/>
    <s v="Royal Road, St Julien D'Hotman"/>
    <s v="East"/>
    <s v="St Julien D'Hotman"/>
    <n v="52526373"/>
    <s v="OKASINA"/>
    <x v="54"/>
    <d v="2025-07-28T00:00:00"/>
    <n v="150"/>
    <d v="2025-08-01T00:00:00"/>
    <n v="6000"/>
  </r>
  <r>
    <s v="Beedwantee Auchoybur"/>
    <s v="Camp La Bouse"/>
    <s v="Montagne Longue"/>
    <s v="Montagne Longue"/>
    <n v="54955604"/>
    <s v="OKASINA"/>
    <x v="54"/>
    <d v="2025-07-28T00:00:00"/>
    <n v="150"/>
    <d v="2025-08-01T00:00:00"/>
    <n v="3000"/>
  </r>
  <r>
    <s v="Caroline"/>
    <s v="Flacq"/>
    <s v="Flacq"/>
    <s v="Flacq"/>
    <n v="57771177"/>
    <s v="Vibezone Boutik"/>
    <x v="55"/>
    <d v="2025-07-28T00:00:00"/>
    <n v="150"/>
    <d v="2025-08-01T00:00:00"/>
    <n v="950"/>
  </r>
  <r>
    <s v="Melani"/>
    <s v="Rose Belle"/>
    <s v="Rose Belle"/>
    <s v="Rose Belle"/>
    <n v="59235763"/>
    <s v="Vibezone Boutik"/>
    <x v="55"/>
    <d v="2025-07-28T00:00:00"/>
    <n v="150"/>
    <d v="2025-08-01T00:00:00"/>
    <n v="950"/>
  </r>
  <r>
    <s v="Nadine"/>
    <s v="Mont Roches"/>
    <s v="Mont Roches"/>
    <s v="Mont Roches"/>
    <n v="58157818"/>
    <s v="Vibezone Boutik"/>
    <x v="55"/>
    <d v="2025-07-28T00:00:00"/>
    <n v="150"/>
    <d v="2025-08-01T00:00:00"/>
    <n v="950"/>
  </r>
  <r>
    <s v="Narvish"/>
    <s v="Riviere Du Rempart"/>
    <s v="Riviere Du Rempart"/>
    <s v="Riviere Du Poste"/>
    <n v="57097181"/>
    <s v="Vibezone Boutik"/>
    <x v="55"/>
    <d v="2025-07-28T00:00:00"/>
    <n v="150"/>
    <d v="2025-08-01T00:00:00"/>
    <n v="1190"/>
  </r>
  <r>
    <s v="Selvana Rose Vythalingum"/>
    <s v="26 St Clement Street"/>
    <s v="Curepipe, Mauritius"/>
    <s v="Curepipe"/>
    <n v="58659252"/>
    <s v="Nab-Makeup"/>
    <x v="54"/>
    <d v="2025-07-30T00:00:00"/>
    <n v="150"/>
    <d v="2025-08-01T00:00:00"/>
    <m/>
  </r>
  <r>
    <s v="Mrs Sunita Chandanee Unuth"/>
    <s v="Royal Rd 8Eme Mille - Mcb Square"/>
    <s v="Triolet"/>
    <s v="Triolet"/>
    <n v="59209256"/>
    <s v="Timeless Trends"/>
    <x v="55"/>
    <d v="2025-07-31T00:00:00"/>
    <n v="150"/>
    <d v="2025-07-31T00:00:00"/>
    <n v="2750"/>
  </r>
  <r>
    <s v="Devina Ramnundun"/>
    <s v="Le Grand Branch Road, Grand Bois"/>
    <s v="Grand Bois"/>
    <s v="Grand Bois"/>
    <n v="59262137"/>
    <s v="Timeless Trends"/>
    <x v="55"/>
    <d v="2025-07-31T00:00:00"/>
    <n v="150"/>
    <d v="2025-08-01T00:00:00"/>
    <n v="1625"/>
  </r>
  <r>
    <s v="Anesy"/>
    <s v="Chemin Grenier"/>
    <s v="Chemin Grenier"/>
    <s v="Chemin Grenier"/>
    <n v="58454425"/>
    <s v="Vibezone Boutik"/>
    <x v="55"/>
    <s v="Cancelled"/>
    <n v="0"/>
    <s v="Cancelled"/>
    <n v="950"/>
  </r>
  <r>
    <s v="Anissah"/>
    <s v="Mont Ida"/>
    <s v="Mont Ida"/>
    <s v="Mont Ida"/>
    <n v="57698716"/>
    <s v="Little Star Boutique"/>
    <x v="56"/>
    <d v="2025-07-31T00:00:00"/>
    <n v="150"/>
    <d v="2025-08-01T00:00:00"/>
    <n v="500"/>
  </r>
  <r>
    <s v="Koresha Oojageer"/>
    <s v="8 Champ de lort Street, Port Louis"/>
    <s v="Port Louis"/>
    <s v="Port Louis"/>
    <n v="57222051"/>
    <s v="Little Star Boutique"/>
    <x v="56"/>
    <d v="2025-07-31T00:00:00"/>
    <n v="150"/>
    <d v="2025-08-01T00:00:00"/>
    <n v="850"/>
  </r>
  <r>
    <s v="SAROJINI BEDACEE"/>
    <s v="Avenue Gerbera, Riche Mare, Central Flacq"/>
    <s v="Central Flacq"/>
    <s v="Central Flacq"/>
    <n v="57733603"/>
    <s v="OKASINA"/>
    <x v="57"/>
    <d v="2025-07-31T00:00:00"/>
    <n v="150"/>
    <d v="2025-08-01T00:00:00"/>
    <s v="COD: 1800"/>
  </r>
  <r>
    <s v="Purmah Divya Singh"/>
    <s v="Greedhary Road, Barlow, Belle Vue Maurelle"/>
    <s v="Belle Vue Maurelle"/>
    <s v="Belle Vue Maurel"/>
    <n v="58122636"/>
    <s v="OKASINA"/>
    <x v="57"/>
    <d v="2025-07-31T00:00:00"/>
    <n v="150"/>
    <d v="2025-08-01T00:00:00"/>
    <s v="COD: 2000"/>
  </r>
  <r>
    <s v="Neelavadee Chocalingum"/>
    <s v="Candos Hospital"/>
    <s v="Candos Hospital, Vacoas"/>
    <s v="Vacoas"/>
    <n v="59165741"/>
    <s v="Timeless Trends"/>
    <x v="56"/>
    <d v="2025-08-04T00:00:00"/>
    <n v="150"/>
    <m/>
    <s v="COD: 1450"/>
  </r>
  <r>
    <s v="Archana Bissessur"/>
    <s v="10, Rashid Khan Street, Coromandel"/>
    <s v="Coromandel"/>
    <s v="Coromandel"/>
    <n v="54920520"/>
    <s v="Nab-Makeup"/>
    <x v="57"/>
    <d v="2025-07-31T00:00:00"/>
    <n v="150"/>
    <d v="2025-08-01T00:00:00"/>
    <m/>
  </r>
  <r>
    <s v="Humaira Akbar"/>
    <s v="Sooben Lane, L'Escalier"/>
    <s v="L'Escalier"/>
    <s v="L'Escalier"/>
    <n v="58577627"/>
    <s v="Nab-Makeup"/>
    <x v="57"/>
    <d v="2025-07-31T00:00:00"/>
    <n v="150"/>
    <d v="2025-08-01T00:00:00"/>
    <m/>
  </r>
  <r>
    <s v="Vishay Luchman"/>
    <s v="Solferino No5, Vacoas"/>
    <s v="Vacoas"/>
    <s v="Vacoas"/>
    <s v="52542526 / 57733135"/>
    <s v="Nab-Makeup"/>
    <x v="57"/>
    <d v="2025-07-31T00:00:00"/>
    <n v="150"/>
    <d v="2025-08-01T00:00:00"/>
    <m/>
  </r>
  <r>
    <s v="Ravishka Devi Seewoodharry"/>
    <s v="Royal Road, L'Escalier"/>
    <s v="L'Escalier"/>
    <s v="L'Escalier"/>
    <n v="57067565"/>
    <s v="Nab-Makeup"/>
    <x v="57"/>
    <d v="2025-07-31T00:00:00"/>
    <n v="150"/>
    <d v="2025-08-01T00:00:00"/>
    <m/>
  </r>
  <r>
    <s v="Shivaranjali Virasami"/>
    <s v="Footballground Road"/>
    <s v="L'Esperance"/>
    <s v="L'Esperance"/>
    <n v="59419397"/>
    <s v="Nab-Makeup"/>
    <x v="57"/>
    <d v="2025-08-05T00:00:00"/>
    <n v="150"/>
    <m/>
    <m/>
  </r>
  <r>
    <s v="Seena Seburuth"/>
    <s v="SBM Tower, Place D'Armes, Port Louis"/>
    <s v="Port Louis"/>
    <s v="Port Louis"/>
    <n v="57081703"/>
    <s v="Nab-Makeup"/>
    <x v="57"/>
    <d v="2025-07-31T00:00:00"/>
    <n v="150"/>
    <d v="2025-08-01T00:00:00"/>
    <m/>
  </r>
  <r>
    <s v="Nushruth Gokhool"/>
    <s v="Beekawoo Lane, Phoenix"/>
    <s v="Phoenix"/>
    <s v="Phoenix"/>
    <n v="58139815"/>
    <s v="Nab-Makeup"/>
    <x v="57"/>
    <d v="2025-07-31T00:00:00"/>
    <n v="150"/>
    <d v="2025-08-01T00:00:00"/>
    <m/>
  </r>
  <r>
    <s v="Heelona Appadoo"/>
    <s v="257, Avenue des Herons, Morcellement Bismic, Flic en Flac"/>
    <s v="Flic en Flac"/>
    <s v="Flic En Flac"/>
    <n v="57925275"/>
    <s v="Nab-Makeup"/>
    <x v="57"/>
    <d v="2025-07-31T00:00:00"/>
    <n v="150"/>
    <d v="2025-08-01T00:00:00"/>
    <m/>
  </r>
  <r>
    <s v="Kavina St Felix"/>
    <s v="51, Avenue de la Faye, Belle Rose"/>
    <s v="Belle Rose"/>
    <s v="Belle Rose"/>
    <n v="54949025"/>
    <s v="Nab-Makeup"/>
    <x v="57"/>
    <d v="2025-07-31T00:00:00"/>
    <n v="150"/>
    <d v="2025-08-01T00:00:00"/>
    <m/>
  </r>
  <r>
    <s v="Jerika Koowaree"/>
    <s v="3 Louis Larche Street"/>
    <s v="Beau Bassin"/>
    <s v="Beau Bassin"/>
    <n v="52596892"/>
    <s v="Nab-Makeup"/>
    <x v="57"/>
    <d v="2025-07-31T00:00:00"/>
    <n v="150"/>
    <d v="2025-08-01T00:00:00"/>
    <m/>
  </r>
  <r>
    <s v="Teesha Seechurn"/>
    <s v="Airport"/>
    <s v="Airport"/>
    <s v="Airport"/>
    <n v="55024122"/>
    <s v="Nab-Makeup"/>
    <x v="57"/>
    <d v="2025-07-31T00:00:00"/>
    <n v="150"/>
    <d v="2025-08-01T00:00:00"/>
    <m/>
  </r>
  <r>
    <s v="Maeva Jaune"/>
    <s v="Camp Madras"/>
    <s v="Grand Gaube"/>
    <s v="Grand Gaube"/>
    <n v="54790996"/>
    <s v="Nab-Makeup"/>
    <x v="57"/>
    <d v="2025-07-31T00:00:00"/>
    <n v="150"/>
    <d v="2025-08-01T00:00:00"/>
    <m/>
  </r>
  <r>
    <s v="Rati Cawroo"/>
    <s v="Lot 127, Residence Les Jardins D'Anna, Flic en Flac"/>
    <s v="Flic en Flac"/>
    <s v="Flic En Flac"/>
    <n v="55029138"/>
    <s v="Nab-Makeup"/>
    <x v="57"/>
    <d v="2025-07-31T00:00:00"/>
    <n v="150"/>
    <d v="2025-08-01T00:00:00"/>
    <m/>
  </r>
  <r>
    <s v="Yashna Sahadew"/>
    <s v="Royal Road, Isidore-Rose"/>
    <s v="Quatre Cocos"/>
    <s v="Central Flacq"/>
    <n v="57824254"/>
    <s v="Nab-Makeup"/>
    <x v="57"/>
    <d v="2025-07-31T00:00:00"/>
    <n v="150"/>
    <d v="2025-08-01T00:00:00"/>
    <m/>
  </r>
  <r>
    <s v="Bibi Aisha Dilholaush"/>
    <s v="Royal Road, Union Park"/>
    <s v="Union Park"/>
    <s v="Union Park"/>
    <n v="59018427"/>
    <s v="Nab-Makeup"/>
    <x v="57"/>
    <d v="2025-07-31T00:00:00"/>
    <n v="150"/>
    <d v="2025-08-01T00:00:00"/>
    <m/>
  </r>
  <r>
    <s v="Jyoteesha Domun Auckel"/>
    <s v="Etowar Lane, Ecroignard"/>
    <s v="Ecroignard"/>
    <s v="Ecroignard"/>
    <n v="58270596"/>
    <s v="Nab-Makeup"/>
    <x v="57"/>
    <d v="2025-07-31T00:00:00"/>
    <n v="150"/>
    <d v="2025-08-01T00:00:00"/>
    <m/>
  </r>
  <r>
    <s v="Kivisti Naddali"/>
    <s v="Lot 44, Morc Louis Regnaud, Deep River"/>
    <s v="Olivia"/>
    <s v="Olivia"/>
    <n v="59779756"/>
    <s v="Nab-Makeup"/>
    <x v="57"/>
    <d v="2025-07-31T00:00:00"/>
    <n v="150"/>
    <d v="2025-08-01T00:00:00"/>
    <m/>
  </r>
  <r>
    <s v="Seeam"/>
    <s v="Pleine Des Roches"/>
    <s v="Pleine Des Roches"/>
    <s v="Plaines des Roches"/>
    <n v="57886638"/>
    <s v="Vibezone Boutik"/>
    <x v="56"/>
    <d v="2025-07-31T00:00:00"/>
    <n v="150"/>
    <d v="2025-08-01T00:00:00"/>
    <s v="Rs 950"/>
  </r>
  <r>
    <s v="Christophe"/>
    <s v="Riviere Du Rampart"/>
    <s v="Riviere Du Rampart"/>
    <s v="Riviere Du Poste"/>
    <n v="54950540"/>
    <s v="Vibezone Boutik"/>
    <x v="56"/>
    <s v="Cancelled"/>
    <n v="150"/>
    <m/>
    <s v="I went there twice"/>
  </r>
  <r>
    <s v="Shameem"/>
    <s v="Pamplemouses"/>
    <s v="Pamplemouses"/>
    <s v="Pamplemousses"/>
    <n v="57014444"/>
    <s v="Vibezone Boutik"/>
    <x v="56"/>
    <d v="2025-08-05T00:00:00"/>
    <n v="150"/>
    <m/>
    <s v="Rs 499"/>
  </r>
  <r>
    <s v="Natasha"/>
    <s v="Troues Aux Biches"/>
    <s v="Troues Aux Biches"/>
    <s v="Troues Aux Biches"/>
    <n v="57669478"/>
    <s v="Vibezone Boutik"/>
    <x v="56"/>
    <d v="2025-07-31T00:00:00"/>
    <n v="150"/>
    <d v="2025-08-01T00:00:00"/>
    <s v="rs 950"/>
  </r>
  <r>
    <s v="Ramdass"/>
    <s v="Lallmatie"/>
    <s v="Lallmatie"/>
    <s v="Lallmatie"/>
    <n v="57479555"/>
    <s v="Vibezone Boutik"/>
    <x v="56"/>
    <d v="2025-07-31T00:00:00"/>
    <n v="150"/>
    <d v="2025-08-01T00:00:00"/>
    <s v="Rs 950"/>
  </r>
  <r>
    <s v="Anisha"/>
    <s v="Calebasses"/>
    <s v="Calebasses"/>
    <s v="Calebasses"/>
    <n v="58281789"/>
    <s v="Vibezone Boutik"/>
    <x v="56"/>
    <d v="2025-07-31T00:00:00"/>
    <n v="150"/>
    <d v="2025-08-01T00:00:00"/>
    <s v="RS 1500"/>
  </r>
  <r>
    <s v="Preeya Dassaye"/>
    <s v="Victoria House, Port Louis"/>
    <s v="Port Louis"/>
    <s v="Port Louis"/>
    <n v="57794769"/>
    <s v="OKASINA"/>
    <x v="57"/>
    <d v="2025-07-31T00:00:00"/>
    <n v="150"/>
    <d v="2025-08-01T00:00:00"/>
    <s v="COD:22OO"/>
  </r>
  <r>
    <s v="Luna"/>
    <s v="Grand Gaube"/>
    <s v="Grand Gaube"/>
    <s v="Grand Gaube"/>
    <n v="58475169"/>
    <s v="Vibezone Boutik"/>
    <x v="56"/>
    <s v="Cancelled"/>
    <m/>
    <s v="Cancelled"/>
    <n v="825"/>
  </r>
  <r>
    <s v="Raj"/>
    <s v="Trou D'eau Douce"/>
    <s v="Trou D'eau Douce"/>
    <s v="Trou D’Eau Douce"/>
    <n v="57925858"/>
    <s v="Vibezone Boutik"/>
    <x v="56"/>
    <s v="Cancelled"/>
    <n v="150"/>
    <m/>
    <s v="I went there twice"/>
  </r>
  <r>
    <s v="Amina"/>
    <s v="Albion"/>
    <s v="Albion"/>
    <s v="Albion"/>
    <n v="57274823"/>
    <s v="Vibezone Boutik"/>
    <x v="56"/>
    <d v="2025-08-05T00:00:00"/>
    <n v="150"/>
    <m/>
    <s v="Rs 699"/>
  </r>
  <r>
    <s v="Azhar"/>
    <s v="Plaine Verte"/>
    <s v="Port Louis"/>
    <s v="Port Louis"/>
    <n v="57380654"/>
    <s v="Glow And Aura"/>
    <x v="56"/>
    <d v="2025-08-05T00:00:00"/>
    <n v="150"/>
    <m/>
    <s v="Rs 750"/>
  </r>
  <r>
    <s v="Mme Rajabalee"/>
    <s v="4, Paliaca, Port Louis"/>
    <s v="Port Louis"/>
    <s v="Port Louis"/>
    <n v="52503432"/>
    <s v="Glow And Aura"/>
    <x v="56"/>
    <d v="2025-07-31T00:00:00"/>
    <n v="150"/>
    <d v="2025-08-01T00:00:00"/>
    <s v="Rs 550"/>
  </r>
  <r>
    <s v="Shadeeda Beebeejaun"/>
    <s v="Royal Road, Riviere Du Rampart"/>
    <s v="Riviere Du Rampart"/>
    <s v="Riviere Du Rampart"/>
    <n v="59186330"/>
    <s v="Nab-Makeup"/>
    <x v="58"/>
    <d v="2025-08-05T00:00:00"/>
    <n v="150"/>
    <m/>
    <m/>
  </r>
  <r>
    <s v="Sameea Ghanty"/>
    <s v="Gunny Lane Avenue, Belle Rose, Quatre Bornes"/>
    <s v="Quatre Bornes"/>
    <s v="Quatre Bornes"/>
    <n v="54284660"/>
    <s v="Nab-Makeup"/>
    <x v="58"/>
    <d v="2025-08-04T00:00:00"/>
    <n v="150"/>
    <m/>
    <m/>
  </r>
  <r>
    <s v="Preshnee Ramchurn"/>
    <s v="Forbach Road, Fond Du Sac (Urgent)"/>
    <s v="Fond Du Sac"/>
    <s v="Fond Du Sac"/>
    <n v="54912470"/>
    <s v="Nab-Makeup"/>
    <x v="58"/>
    <d v="2025-08-05T00:00:00"/>
    <n v="150"/>
    <m/>
    <m/>
  </r>
  <r>
    <s v="Shaynaz Ghannoo"/>
    <s v="Royal Road, Montagne Blanche"/>
    <s v="Montagne Blanche"/>
    <s v="Montagne Blanche"/>
    <n v="59789739"/>
    <s v="Nab-Makeup"/>
    <x v="58"/>
    <d v="2025-08-04T00:00:00"/>
    <n v="150"/>
    <m/>
    <m/>
  </r>
  <r>
    <s v="Shifa Rehmati Joomun"/>
    <s v="Sungaraligum Lane, 7eme Mille, Triolet"/>
    <s v="Triolet"/>
    <s v="Triolet"/>
    <n v="57643513"/>
    <s v="Nab-Makeup"/>
    <x v="58"/>
    <d v="2025-08-05T00:00:00"/>
    <n v="150"/>
    <m/>
    <m/>
  </r>
  <r>
    <s v="Veyshnavi Jaymungul"/>
    <s v="Royal Road, L'Esperance, Quartier Militaire"/>
    <s v="Alma / L'Esperence Quartier Militaire"/>
    <s v="Alma"/>
    <n v="59200530"/>
    <s v="Nab-Makeup"/>
    <x v="58"/>
    <d v="2025-08-04T00:00:00"/>
    <n v="150"/>
    <m/>
    <m/>
  </r>
  <r>
    <s v="Yashna Sahadew"/>
    <s v="Royal Road, Isidore-Rose"/>
    <s v="Centre de Flacq"/>
    <s v="Central Flacq"/>
    <n v="57824254"/>
    <s v="Nab-Makeup"/>
    <x v="58"/>
    <d v="2025-08-05T00:00:00"/>
    <n v="150"/>
    <m/>
    <m/>
  </r>
  <r>
    <s v="Amira Mungroo (Deliver to Shaad Jeetoo)"/>
    <s v="Mamoo Lane, Plaine Magnien"/>
    <s v="Plaine Magnien"/>
    <s v="Plaine Magnien"/>
    <n v="57617158"/>
    <s v="Nab-Makeup"/>
    <x v="58"/>
    <d v="2025-08-04T00:00:00"/>
    <n v="150"/>
    <m/>
    <m/>
  </r>
  <r>
    <s v="Shabnam Mohamed Hossen Hoolash"/>
    <s v="Royal Road, Grande Retraite, Bon Accueil"/>
    <s v="Grande Retraite, Bon Accueil"/>
    <s v="Grande Retraite"/>
    <n v="59271243"/>
    <s v="Nab-Makeup"/>
    <x v="58"/>
    <d v="2025-08-05T00:00:00"/>
    <n v="150"/>
    <m/>
    <m/>
  </r>
  <r>
    <s v="Britany"/>
    <s v="Rue Bourbon, behind bazar Adamson, Port Louis"/>
    <s v="Port Louis"/>
    <s v="Port Louis"/>
    <n v="57996202"/>
    <s v="Nab-Makeup"/>
    <x v="58"/>
    <d v="2025-08-05T00:00:00"/>
    <n v="150"/>
    <m/>
    <m/>
  </r>
  <r>
    <s v="Shabnoor Bhugel"/>
    <s v="King's Road, Goodlands"/>
    <s v="Goodlands"/>
    <s v="Goodlands"/>
    <n v="58409137"/>
    <s v="Nab-Makeup"/>
    <x v="58"/>
    <d v="2025-08-05T00:00:00"/>
    <n v="150"/>
    <m/>
    <m/>
  </r>
  <r>
    <s v="Raakshita Sewtohul"/>
    <s v="Avenue des Colombes, Mont Ida"/>
    <s v="Mont Ida"/>
    <s v="Mont Ida"/>
    <n v="57265037"/>
    <s v="Nab-Makeup"/>
    <x v="58"/>
    <d v="2025-08-05T00:00:00"/>
    <n v="150"/>
    <m/>
    <m/>
  </r>
  <r>
    <s v="Mamta Bauljeewon"/>
    <s v="Royal Road, Riviere des Anguilles"/>
    <s v="Riviere des Anguilles"/>
    <s v="Riviere des Anguilles"/>
    <n v="58619536"/>
    <s v="Nab-Makeup"/>
    <x v="58"/>
    <d v="2025-08-04T00:00:00"/>
    <n v="150"/>
    <m/>
    <m/>
  </r>
  <r>
    <s v="Booteeahnako Veedhya"/>
    <s v="Chemin Camp La Serpe, Bel Air, Riviere Seche (Derriere Winners)"/>
    <s v="Bel Air, Riviere Seche"/>
    <s v="Bel Air Riviere Seche"/>
    <n v="59601911"/>
    <s v="Nab-Makeup"/>
    <x v="58"/>
    <d v="2025-08-05T00:00:00"/>
    <n v="150"/>
    <m/>
    <m/>
  </r>
  <r>
    <s v="Nabeena Huzooree"/>
    <s v="3, P11/Phase, Goodlands"/>
    <s v="Goodlands"/>
    <s v="Goodlands"/>
    <n v="55042488"/>
    <s v="Nab-Makeup"/>
    <x v="58"/>
    <d v="2025-08-05T00:00:00"/>
    <n v="150"/>
    <m/>
    <m/>
  </r>
  <r>
    <s v="Anishta Doorga"/>
    <s v="3 Prince Alfred Street, Tranquebar"/>
    <s v="Tranquebar"/>
    <s v="Port Louis"/>
    <n v="58381496"/>
    <s v="Nab-Makeup"/>
    <x v="58"/>
    <d v="2025-08-05T00:00:00"/>
    <n v="150"/>
    <m/>
    <m/>
  </r>
  <r>
    <s v="Leesha Seehaye"/>
    <s v="Gandhi Avenue, Ernest Florent"/>
    <s v="Ernest Florent"/>
    <s v="Ernest Florent"/>
    <n v="58231090"/>
    <s v="Nab-Makeup"/>
    <x v="58"/>
    <d v="2025-08-05T00:00:00"/>
    <n v="150"/>
    <m/>
    <m/>
  </r>
  <r>
    <s v="Yarchana Lokee"/>
    <s v="Rue Des Professeurs, Ebene"/>
    <s v="Ebene"/>
    <s v="Ebene"/>
    <n v="57027022"/>
    <s v="Nab-Makeup"/>
    <x v="58"/>
    <d v="2025-08-04T00:00:00"/>
    <n v="150"/>
    <m/>
    <m/>
  </r>
  <r>
    <s v="Adillah Aisha Toraubally"/>
    <s v="227 boundary road muslun lane no2, Rose Hill"/>
    <s v="Rose Hill"/>
    <s v="Rose Hill"/>
    <n v="59895059"/>
    <s v="Nab-Makeup"/>
    <x v="58"/>
    <d v="2025-08-04T00:00:00"/>
    <n v="150"/>
    <m/>
    <m/>
  </r>
  <r>
    <s v="Priyasha Oomajee"/>
    <s v="Ram Street, Midlands"/>
    <s v="Midlands"/>
    <s v="Midlands"/>
    <n v="58313491"/>
    <s v="Nab-Makeup"/>
    <x v="58"/>
    <d v="2025-08-04T00:00:00"/>
    <n v="150"/>
    <m/>
    <m/>
  </r>
  <r>
    <s v="Alfa Kadarkhan"/>
    <s v="Shivalah Rd, Plaine Magnien"/>
    <s v="Plaine Magnien"/>
    <s v="Plaine Magnien"/>
    <n v="58171322"/>
    <s v="Nab-Makeup"/>
    <x v="58"/>
    <d v="2025-08-04T00:00:00"/>
    <n v="150"/>
    <m/>
    <m/>
  </r>
  <r>
    <s v="Karishma Ghunowa"/>
    <s v="Royal Road, Moka (Your Dream Motors)"/>
    <s v="Moka"/>
    <s v="Moka"/>
    <n v="52529812"/>
    <s v="Nab-Makeup"/>
    <x v="58"/>
    <d v="2025-08-04T00:00:00"/>
    <n v="150"/>
    <m/>
    <m/>
  </r>
  <r>
    <s v="Reema Duval"/>
    <s v="Cite Malherbes, Curepipe"/>
    <s v="Curepipe"/>
    <s v="Curepipe"/>
    <n v="57916550"/>
    <s v="Nab-Makeup"/>
    <x v="58"/>
    <d v="2025-08-04T00:00:00"/>
    <n v="150"/>
    <m/>
    <m/>
  </r>
  <r>
    <s v="Humairaa Khadaroo"/>
    <s v="Market road, Central Flacq"/>
    <s v="Central Flacq"/>
    <s v="Central Flacq"/>
    <n v="59052883"/>
    <s v="Nab-Makeup"/>
    <x v="58"/>
    <d v="2025-08-05T00:00:00"/>
    <n v="150"/>
    <m/>
    <m/>
  </r>
  <r>
    <s v="Hajrah Neeroo"/>
    <s v="41 Paul Taureau, Port Louis"/>
    <s v="Port Louis"/>
    <s v="Port Louis"/>
    <n v="58051075"/>
    <s v="Nab-Makeup"/>
    <x v="58"/>
    <d v="2025-08-05T00:00:00"/>
    <n v="150"/>
    <m/>
    <m/>
  </r>
  <r>
    <s v="Avneet Kaur Mothoree"/>
    <s v="Ripailles, L'Escalier Branch Rd"/>
    <s v="Ripailles"/>
    <s v="Ripailles"/>
    <n v="52705016"/>
    <s v="Nab-Makeup"/>
    <x v="58"/>
    <d v="2025-08-04T00:00:00"/>
    <n v="150"/>
    <m/>
    <m/>
  </r>
  <r>
    <s v="Ramduth Hemanshi"/>
    <s v="70 Morc VRS, La Barrack Road, Riviere Des Anguilles"/>
    <s v="Riviere Des Anguilles"/>
    <s v="Riviere Des Anguilles"/>
    <n v="58412036"/>
    <s v="Nab-Makeup"/>
    <x v="58"/>
    <d v="2025-08-04T00:00:00"/>
    <n v="150"/>
    <m/>
    <m/>
  </r>
  <r>
    <s v="Sangeeta Moneea"/>
    <s v="Pavillon, Cap Malheureux"/>
    <s v="Cap Malheureux"/>
    <s v="Cap Malheureux"/>
    <n v="58352822"/>
    <s v="Nab-Makeup"/>
    <x v="58"/>
    <d v="2025-08-05T00:00:00"/>
    <n v="150"/>
    <m/>
    <m/>
  </r>
  <r>
    <s v="Lalloo Celina"/>
    <s v="Hospital Road, Arsenal (Delivery before 10th Aug, 8:00 am and 15:00)"/>
    <s v="Arsenal"/>
    <s v="Arsenal"/>
    <n v="57603737"/>
    <s v="Nab-Makeup"/>
    <x v="58"/>
    <d v="2025-08-05T00:00:00"/>
    <n v="150"/>
    <m/>
    <m/>
  </r>
  <r>
    <s v="Richa Furcy"/>
    <s v="Le Bouchon Road, Trois Boutiques, Union Vale"/>
    <s v="Trois Boutiques, Union Vale"/>
    <s v="Union Vale"/>
    <n v="58207596"/>
    <s v="OKASINA"/>
    <x v="58"/>
    <d v="2025-08-04T00:00:00"/>
    <n v="150"/>
    <m/>
    <m/>
  </r>
  <r>
    <s v="Manisha Betchoo"/>
    <s v="Camp Accasia Rd, Poste De Flacq"/>
    <s v="Poste De Flacq"/>
    <s v="Poste De Flacq"/>
    <n v="57895098"/>
    <s v="OKASINA"/>
    <x v="58"/>
    <d v="2025-08-05T00:00:00"/>
    <n v="150"/>
    <m/>
    <m/>
  </r>
  <r>
    <s v="Gayetree Arunachalam"/>
    <s v="Tamil temple road, Goodlands"/>
    <s v="Goodlands"/>
    <s v="Goodlands"/>
    <n v="57595683"/>
    <s v="OKASINA"/>
    <x v="58"/>
    <d v="2025-08-05T00:00:00"/>
    <n v="150"/>
    <m/>
    <m/>
  </r>
  <r>
    <s v="MANISHTA"/>
    <s v="Pope Hennessy St, Beau Bassin - Wastewater Management Authority"/>
    <s v="Beau Bassin"/>
    <s v="Beau Bassin"/>
    <n v="58827049"/>
    <s v="OKASINA"/>
    <x v="58"/>
    <d v="2025-08-04T00:00:00"/>
    <n v="150"/>
    <m/>
    <m/>
  </r>
  <r>
    <s v="Savita"/>
    <s v="Tribecca mall - Xti shop"/>
    <s v="Tribecca mall"/>
    <s v="Tribecca mall"/>
    <n v="57604178"/>
    <s v="OKASINA"/>
    <x v="58"/>
    <d v="2025-08-04T00:00:00"/>
    <n v="150"/>
    <m/>
    <n v="3100"/>
  </r>
  <r>
    <s v="Premila Badaye"/>
    <s v="Rama Road, Chamouny"/>
    <s v="Chamouny"/>
    <s v="Chamouny"/>
    <n v="57533488"/>
    <s v="OKASINA"/>
    <x v="58"/>
    <d v="2025-08-06T00:00:00"/>
    <n v="150"/>
    <m/>
    <n v="1625"/>
  </r>
  <r>
    <s v="RAJINI"/>
    <s v="Vallee Des Pretres"/>
    <s v="Port Louis"/>
    <s v="Port Louis"/>
    <n v="57040969"/>
    <s v="Vibezone Boutik"/>
    <x v="59"/>
    <d v="2025-08-05T00:00:00"/>
    <n v="150"/>
    <m/>
    <n v="950"/>
  </r>
  <r>
    <s v="KRITESH"/>
    <s v="Pamplemousses"/>
    <s v="Pamplemousses"/>
    <s v="Pamplemousses"/>
    <n v="59165916"/>
    <s v="Vibezone Boutik"/>
    <x v="59"/>
    <d v="2025-08-05T00:00:00"/>
    <n v="150"/>
    <m/>
    <n v="825"/>
  </r>
  <r>
    <s v="Nirma Ubhee"/>
    <s v="Royal Road, Bramsthan, Morcellment Mon Reve"/>
    <s v="Bramsthan"/>
    <s v="Bramsthan"/>
    <n v="58178472"/>
    <s v="Timeless Trends"/>
    <x v="59"/>
    <d v="2025-08-05T00:00:00"/>
    <n v="150"/>
    <m/>
    <n v="2100"/>
  </r>
  <r>
    <s v="Mitali Mourugan"/>
    <s v="Vivea Business Park"/>
    <s v="Saint Piere"/>
    <s v="Saint Piere"/>
    <n v="52692008"/>
    <s v="Timeless Trends"/>
    <x v="59"/>
    <d v="2025-08-05T00:00:00"/>
    <n v="150"/>
    <m/>
    <m/>
  </r>
  <r>
    <s v="Assha"/>
    <s v="Curepipe"/>
    <s v="Curepipe"/>
    <s v="Curepipe"/>
    <n v="59479702"/>
    <s v="Timeless Trends"/>
    <x v="59"/>
    <d v="2025-08-05T00:00:00"/>
    <n v="150"/>
    <m/>
    <n v="1350"/>
  </r>
  <r>
    <s v="Bilkiss Deemahomed"/>
    <s v="Vallee Des Pretres"/>
    <s v="Port Louis"/>
    <s v="Port Louis"/>
    <n v="58155863"/>
    <s v="Little Star Boutique"/>
    <x v="59"/>
    <d v="2025-08-05T00:00:00"/>
    <n v="150"/>
    <m/>
    <n v="550"/>
  </r>
  <r>
    <s v="Vhidoushi Tengurchittoo"/>
    <s v="Nexsky building"/>
    <s v="Ebene"/>
    <s v="Ebene"/>
    <n v="57564286"/>
    <s v="Little Star Boutique"/>
    <x v="59"/>
    <d v="2025-08-04T00:00:00"/>
    <n v="150"/>
    <m/>
    <n v="965"/>
  </r>
  <r>
    <s v="Mahomudally Bibi Ouzmah"/>
    <s v="110, Morc VRS2, Ville Noire"/>
    <s v="Ville Noire"/>
    <s v="Ville Noire"/>
    <n v="59229937"/>
    <s v="Nab-Makeup"/>
    <x v="59"/>
    <d v="2025-08-07T00:00:00"/>
    <n v="150"/>
    <m/>
    <m/>
  </r>
  <r>
    <s v="Bibi Zaheerah Banu Toorabally"/>
    <s v="Petite Riviere"/>
    <s v="Petite Riviere"/>
    <s v="Petite Riviere"/>
    <n v="55071312"/>
    <s v="Nab-Makeup"/>
    <x v="59"/>
    <d v="2025-08-05T00:00:00"/>
    <n v="150"/>
    <m/>
    <m/>
  </r>
  <r>
    <s v="Damree Aaliyah Bibi Zafirah"/>
    <s v="Latapie Road, Dodo Lane, Bon Accueil"/>
    <s v="Bon Accueil"/>
    <s v="Bon Accueil"/>
    <n v="58021671"/>
    <s v="Nab-Makeup"/>
    <x v="59"/>
    <d v="2025-08-05T00:00:00"/>
    <n v="150"/>
    <m/>
    <m/>
  </r>
  <r>
    <s v="Vaibhavi Bhudoye Roopam"/>
    <s v="Route Bassin, Jackson Lane, Quatre Bornes"/>
    <s v="Quatre Bornes"/>
    <s v="Quatre Bornes"/>
    <n v="58211264"/>
    <s v="Nab-Makeup"/>
    <x v="59"/>
    <d v="2025-08-05T00:00:00"/>
    <n v="150"/>
    <m/>
    <m/>
  </r>
  <r>
    <s v="Raysha Damree / Rayhaan Ollite"/>
    <s v="Nexsky Ebene, 7eme Etage, Regus"/>
    <s v="Ebene"/>
    <s v="Ebene"/>
    <s v="59287570 / 57539804"/>
    <s v="Nab-Makeup"/>
    <x v="59"/>
    <d v="2025-08-05T00:00:00"/>
    <n v="150"/>
    <m/>
    <m/>
  </r>
  <r>
    <s v="Karishma Lall"/>
    <s v="Tagore Lane, Roches Noires"/>
    <s v="Roches Noires"/>
    <s v="Roches Noires"/>
    <n v="59470778"/>
    <s v="Nab-Makeup"/>
    <x v="59"/>
    <d v="2025-08-05T00:00:00"/>
    <n v="150"/>
    <m/>
    <m/>
  </r>
  <r>
    <s v="Raawiyah Sunkur"/>
    <s v="34 Maharatta Street, Port Louis, Mauritius"/>
    <s v="Port Louis"/>
    <s v="Port Louis"/>
    <n v="58339743"/>
    <s v="Nab-Makeup"/>
    <x v="60"/>
    <d v="2025-08-07T00:00:00"/>
    <n v="150"/>
    <m/>
    <m/>
  </r>
  <r>
    <s v="Narmeen Jahaleea"/>
    <s v="Royal Road, Bel Air Riviere Seche, Mauritius"/>
    <s v="Bel Air Riviere Seche"/>
    <s v="Bel Air Riviere Seche"/>
    <n v="54753613"/>
    <s v="Nab-Makeup"/>
    <x v="60"/>
    <d v="2025-08-07T00:00:00"/>
    <n v="150"/>
    <m/>
    <m/>
  </r>
  <r>
    <s v="Mamta Bauljeewon"/>
    <s v="Royal Road, Riviere Des Anguilles"/>
    <s v="Royal Road"/>
    <s v="Riviere des Anguilles"/>
    <n v="58619536"/>
    <s v="Nab-Makeup"/>
    <x v="60"/>
    <d v="2025-08-07T00:00:00"/>
    <n v="150"/>
    <m/>
    <m/>
  </r>
  <r>
    <s v="Saadiyah Boolaky"/>
    <s v="Morcellement Traffic Centre, Saint Pierre"/>
    <s v="Morcellement Traffic Centre"/>
    <s v="Saint Pierre"/>
    <n v="57225676"/>
    <s v="Nab-Makeup"/>
    <x v="60"/>
    <d v="2025-08-07T00:00:00"/>
    <n v="150"/>
    <m/>
    <m/>
  </r>
  <r>
    <s v="Emma Taikie"/>
    <s v="Gaz Carbonique, 4 Willoughby Road, Phoenix"/>
    <s v="4 Willoughby Road"/>
    <s v="Phoenix"/>
    <n v="54210250"/>
    <s v="Nab-Makeup"/>
    <x v="60"/>
    <d v="2025-08-07T00:00:00"/>
    <n v="150"/>
    <m/>
    <m/>
  </r>
  <r>
    <s v="Tanusha Devi Ramdhany"/>
    <s v="Rivalland Road, Creve Coeur"/>
    <s v="Rivalland Road"/>
    <s v="Creve Coeur"/>
    <n v="57984413"/>
    <s v="Nab-Makeup"/>
    <x v="60"/>
    <d v="2025-08-07T00:00:00"/>
    <n v="150"/>
    <m/>
    <m/>
  </r>
  <r>
    <s v="Udhin Tashveena"/>
    <s v="5C, Avenue Mahant Kabir, Phoenix"/>
    <s v="Avenue Mahant Kabir"/>
    <s v="Phoenix"/>
    <n v="57758694"/>
    <s v="Nab-Makeup"/>
    <x v="60"/>
    <d v="2025-08-07T00:00:00"/>
    <n v="150"/>
    <m/>
    <m/>
  </r>
  <r>
    <s v="Haajerah Imrit"/>
    <s v="113, Avenue Ollier, Rose Hill"/>
    <s v="Avenue Ollier"/>
    <s v="Rose Hill"/>
    <n v="59225275"/>
    <s v="Nab-Makeup"/>
    <x v="60"/>
    <d v="2025-08-07T00:00:00"/>
    <n v="150"/>
    <m/>
    <m/>
  </r>
  <r>
    <s v="Avantika Gheerdharry"/>
    <s v="Allee Mangues, Gros Cailloux"/>
    <s v="Allee Mangues"/>
    <s v="Gros Cailloux"/>
    <n v="59760275"/>
    <s v="Nab-Makeup"/>
    <x v="60"/>
    <d v="2025-08-07T00:00:00"/>
    <n v="150"/>
    <m/>
    <m/>
  </r>
  <r>
    <s v="Ashna Padiachy"/>
    <s v="Smf Quarters, Vacoas, Mauritius"/>
    <s v="Vacoas"/>
    <s v="Vacoas"/>
    <n v="58326318"/>
    <s v="Nab-Makeup"/>
    <x v="60"/>
    <d v="2025-08-07T00:00:00"/>
    <n v="150"/>
    <m/>
    <m/>
  </r>
  <r>
    <s v="Wardah Mahomedally"/>
    <s v="37 Abbe Des Rouledes, Plaine-Verte, Port-Louis, Mauritius"/>
    <s v="Port-Louis"/>
    <s v="Port-Louis"/>
    <n v="58089108"/>
    <s v="Nab-Makeup"/>
    <x v="60"/>
    <d v="2025-08-07T00:00:00"/>
    <n v="150"/>
    <m/>
    <m/>
  </r>
  <r>
    <s v="Catherine Bestel"/>
    <s v="31, Domaine Du Levant, Roches Noires, Mauritius"/>
    <s v="Roches Noires"/>
    <s v="Roches Noires"/>
    <n v="52562551"/>
    <s v="Nab-Makeup"/>
    <x v="60"/>
    <d v="2025-08-07T00:00:00"/>
    <n v="150"/>
    <m/>
    <m/>
  </r>
  <r>
    <s v="Azhar Eathally"/>
    <s v="Avenue Des Corbijeaux, Mont Ida, Mauritius"/>
    <s v="Mont Ida"/>
    <s v="Mont Ida"/>
    <n v="57682021"/>
    <s v="Nab-Makeup"/>
    <x v="60"/>
    <d v="2025-08-07T00:00:00"/>
    <n v="150"/>
    <m/>
    <m/>
  </r>
  <r>
    <s v="Fatemah Peerbux"/>
    <s v="Maurice Raffray Street, Roche Brunes, Beaubassin"/>
    <s v="Roche Brunes"/>
    <s v="Beau Bassin"/>
    <n v="59347288"/>
    <s v="Nab-Makeup"/>
    <x v="60"/>
    <d v="2025-08-07T00:00:00"/>
    <n v="150"/>
    <m/>
    <m/>
  </r>
  <r>
    <s v="Shabneez Abdool Khader"/>
    <s v="Parasol Lane, Mont-Fertile, New-Grove, Mauritius"/>
    <s v="New-Grove"/>
    <s v="New-Grove"/>
    <n v="59273443"/>
    <s v="Nab-Makeup"/>
    <x v="60"/>
    <d v="2025-08-07T00:00:00"/>
    <n v="150"/>
    <m/>
    <m/>
  </r>
  <r>
    <s v="Sophie Herbu"/>
    <s v="Lot 39 Morcellement Jardin De Bougainvilliers, Pointe Aux Sables, Mauritius"/>
    <s v="Pointe Aux Sables"/>
    <s v="Pointe Aux Sables"/>
    <n v="54949449"/>
    <s v="Nab-Makeup"/>
    <x v="60"/>
    <d v="2025-08-07T00:00:00"/>
    <n v="150"/>
    <m/>
    <m/>
  </r>
  <r>
    <s v="Varusha Veeramootoo (Andrew Canarapen)"/>
    <s v="Henry Koenig Street, Curepipe"/>
    <s v="Curepipe"/>
    <s v="Curepipe"/>
    <n v="59460159"/>
    <s v="Nab-Makeup"/>
    <x v="60"/>
    <d v="2025-08-07T00:00:00"/>
    <n v="150"/>
    <m/>
    <m/>
  </r>
  <r>
    <s v="Namrata Etwareea"/>
    <s v="Morcellement Jeeraz, Maison Blanche, Pamplemousses, Mauritius"/>
    <s v="Pamplemousses"/>
    <s v="Pamplemousses"/>
    <n v="59186019"/>
    <s v="Nab-Makeup"/>
    <x v="60"/>
    <d v="2025-08-07T00:00:00"/>
    <n v="150"/>
    <m/>
    <m/>
  </r>
  <r>
    <s v="Kendy Ng"/>
    <s v="Closel Road, Emirates Swimming, Phoenix, Mauritius"/>
    <s v="Phoenix"/>
    <s v="Phoenix"/>
    <n v="58147235"/>
    <s v="Nab-Makeup"/>
    <x v="60"/>
    <d v="2025-08-07T00:00:00"/>
    <n v="150"/>
    <m/>
    <m/>
  </r>
  <r>
    <s v="Shahine Peermamode"/>
    <s v="27, Morcellement Bellouguet, Brown Sequard Street, Curepipe, Mauritius"/>
    <s v="Curepipe"/>
    <s v="Curepipe"/>
    <n v="59453635"/>
    <s v="Nab-Makeup"/>
    <x v="60"/>
    <d v="2025-08-07T00:00:00"/>
    <n v="150"/>
    <m/>
    <m/>
  </r>
  <r>
    <s v="Maneisha Appadoo"/>
    <s v="Mosque Road, Rose-Belle, Mauritius"/>
    <s v="Rose-Belle"/>
    <s v="Rose-Belle"/>
    <n v="58141471"/>
    <s v="Nab-Makeup"/>
    <x v="60"/>
    <d v="2025-08-07T00:00:00"/>
    <n v="150"/>
    <m/>
    <m/>
  </r>
  <r>
    <s v="Sandeshna Kowlessur"/>
    <s v="Royal Road, Camp De Masque Pave, 40401, Flacq, Mauritius"/>
    <s v="Flacq"/>
    <s v="Flacq"/>
    <n v="58256248"/>
    <s v="Nab-Makeup"/>
    <x v="60"/>
    <d v="2025-08-07T00:00:00"/>
    <n v="150"/>
    <m/>
    <m/>
  </r>
  <r>
    <s v="Yaasin Munsah"/>
    <s v="Cemetery Road, L'Escalier"/>
    <s v="Cemetery Road"/>
    <s v="L'Escalier"/>
    <n v="57551100"/>
    <s v="Nab-Makeup"/>
    <x v="60"/>
    <d v="2025-08-07T00:00:00"/>
    <n v="150"/>
    <m/>
    <m/>
  </r>
  <r>
    <s v="Amiirah Deenmahomed"/>
    <s v="Moncellement Currumthalee Glen Park, Vacoas, Mauritius"/>
    <s v="Vacoas"/>
    <s v="Vacoas"/>
    <n v="54899559"/>
    <s v="Nab-Makeup"/>
    <x v="60"/>
    <d v="2025-08-07T00:00:00"/>
    <n v="150"/>
    <m/>
    <m/>
  </r>
  <r>
    <s v="Saabirah Toorabally"/>
    <s v="Morcellement Jhuboo, Mont Choisy"/>
    <s v="Morcellement Jhuboo"/>
    <s v="Mont choisy"/>
    <n v="58071491"/>
    <s v="Nab-Makeup"/>
    <x v="60"/>
    <d v="2025-08-07T00:00:00"/>
    <n v="150"/>
    <m/>
    <m/>
  </r>
  <r>
    <s v="Hrishti Jerkoo"/>
    <s v="Royal Road Bois Pignolet, Terre Rouge"/>
    <s v="Royal Road Bois Pignolet"/>
    <s v="Terre rouge"/>
    <n v="58366160"/>
    <s v="Nab-Makeup"/>
    <x v="60"/>
    <d v="2025-08-07T00:00:00"/>
    <n v="150"/>
    <m/>
    <m/>
  </r>
  <r>
    <s v="Rekha Obhymaun"/>
    <s v="Railway Iii Street, Bois Pignolet, Terre Rouge"/>
    <s v="Bois Pignolet"/>
    <s v="Terre Rouge"/>
    <n v="59444007"/>
    <s v="OKASINA"/>
    <x v="60"/>
    <d v="2025-08-07T00:00:00"/>
    <n v="150"/>
    <m/>
    <m/>
  </r>
  <r>
    <s v="Seemita Mauracheea"/>
    <s v="Shivala Road, Montaigne Blanche"/>
    <s v="Montaigne Blanche"/>
    <s v="Montagne Blanche"/>
    <n v="59480843"/>
    <s v="OKASINA"/>
    <x v="60"/>
    <d v="2025-08-07T00:00:00"/>
    <n v="150"/>
    <m/>
    <n v="1400"/>
  </r>
  <r>
    <s v="Jeetoo Meenakshee"/>
    <s v="Shivala Road, Triolet"/>
    <s v="Triolet"/>
    <s v="Triolet"/>
    <n v="54816753"/>
    <s v="OKASINA"/>
    <x v="60"/>
    <d v="2025-08-07T00:00:00"/>
    <n v="150"/>
    <m/>
    <n v="3000"/>
  </r>
  <r>
    <s v="Alison Brasse"/>
    <s v="Midlands"/>
    <s v="Midlands"/>
    <s v="Midlands"/>
    <n v="59184077"/>
    <s v="OKASINA"/>
    <x v="60"/>
    <d v="2025-08-07T00:00:00"/>
    <n v="150"/>
    <m/>
    <n v="2600"/>
  </r>
  <r>
    <s v="Reshmee Hurry"/>
    <s v="Coastal Road, Point Aux Canonier, Grand Baie"/>
    <s v="Point Aux Canonier"/>
    <s v="Grand Baie"/>
    <n v="59795613"/>
    <s v="Glow And Aura"/>
    <x v="61"/>
    <d v="2025-08-07T00:00:00"/>
    <n v="150"/>
    <m/>
    <n v="1150"/>
  </r>
  <r>
    <s v="Mulveena"/>
    <s v="FCC"/>
    <s v="Ebene"/>
    <s v="Ebene"/>
    <n v="57703327"/>
    <s v="OKASINA"/>
    <x v="60"/>
    <d v="2025-08-07T00:00:00"/>
    <n v="150"/>
    <m/>
    <m/>
  </r>
  <r>
    <s v="Thomas Anne Marie Elsa"/>
    <s v="Dorade Lane, Saint Martin, Baie Du Cap, Mauritius"/>
    <s v="Baie Du Cap"/>
    <s v="Baie Du Cap"/>
    <n v="59092367"/>
    <s v="Nab-Makeup"/>
    <x v="60"/>
    <d v="2025-08-11T00:00:00"/>
    <n v="150"/>
    <m/>
    <m/>
  </r>
  <r>
    <s v="Shanyah Nunkoo"/>
    <s v="Bois D'Oiseau Road, Plaine Magnien"/>
    <s v="Bois D'Oiseau Road"/>
    <s v="Plaine Magnien"/>
    <n v="54946450"/>
    <s v="Nab-Makeup"/>
    <x v="60"/>
    <d v="2025-08-12T00:00:00"/>
    <n v="150"/>
    <m/>
    <m/>
  </r>
  <r>
    <s v="Virginie"/>
    <s v="Eau Coulee"/>
    <s v="Eau Coulee"/>
    <s v="Eau Coulee"/>
    <n v="59369923"/>
    <s v="Glow And Aura"/>
    <x v="61"/>
    <d v="2025-08-12T00:00:00"/>
    <n v="150"/>
    <m/>
    <n v="350"/>
  </r>
  <r>
    <s v="Danielle "/>
    <s v="Gobinden Lane, Allée Brillant, Floréal"/>
    <s v="Allée Brillant"/>
    <s v="Floréal"/>
    <n v="52534462"/>
    <s v="Timeless Trends"/>
    <x v="61"/>
    <d v="2025-08-12T00:00:00"/>
    <n v="150"/>
    <m/>
    <n v="900"/>
  </r>
  <r>
    <s v="Veena Ramsahye"/>
    <s v="Royal Road, Pointe aux Piments (After social welfare centre)"/>
    <s v="Pamplemousses"/>
    <s v="Pamplemousses"/>
    <n v="57507379"/>
    <s v="OKASINA"/>
    <x v="60"/>
    <d v="2025-08-07T00:00:00"/>
    <n v="150"/>
    <m/>
    <n v="4450"/>
  </r>
  <r>
    <s v="Vanisha"/>
    <s v="Plaine des Papayes"/>
    <s v="Plaine des Papayes"/>
    <s v="Plaine des Papayes"/>
    <n v="58084430"/>
    <s v="Little Star Boutique"/>
    <x v="62"/>
    <d v="2025-08-12T00:00:00"/>
    <n v="150"/>
    <m/>
    <m/>
  </r>
  <r>
    <s v="Clara Yuzna"/>
    <s v="Saint Pierre"/>
    <s v="Moka"/>
    <s v="Moka"/>
    <n v="57675891"/>
    <s v="Glow And Aura"/>
    <x v="62"/>
    <s v="Cancelled"/>
    <n v="0"/>
    <n v="0"/>
    <n v="1750"/>
  </r>
  <r>
    <s v="Khushi Mudhoo"/>
    <s v="Melle Jeanne Road, Melville, Goodlands"/>
    <s v="Goodlands"/>
    <s v="Goodlands"/>
    <n v="57033780"/>
    <s v="OKASINA"/>
    <x v="63"/>
    <d v="2025-08-12T00:00:00"/>
    <n v="150"/>
    <m/>
    <n v="2000"/>
  </r>
  <r>
    <s v="Bhawna Narain"/>
    <s v="Ebene - Sicom Tower"/>
    <s v="Ebene"/>
    <s v="Ebene"/>
    <n v="57098193"/>
    <s v="OKASINA"/>
    <x v="63"/>
    <d v="2025-08-12T00:00:00"/>
    <n v="150"/>
    <m/>
    <n v="1145"/>
  </r>
  <r>
    <s v="Murdhen Indranee"/>
    <s v="Avenue Soobiah, Reduit, Near Tamil League"/>
    <s v="Reduit"/>
    <s v="Reduit"/>
    <n v="59149219"/>
    <s v="OKASINA"/>
    <x v="63"/>
    <d v="2025-08-12T00:00:00"/>
    <n v="150"/>
    <m/>
    <n v="1300"/>
  </r>
  <r>
    <s v="Priya Bundhoo"/>
    <s v="MCIA Head Office, MSIRI Complex, Reduit"/>
    <s v="Reduit"/>
    <s v="Reduit"/>
    <n v="57954180"/>
    <s v="OKASINA"/>
    <x v="63"/>
    <d v="2025-08-12T00:00:00"/>
    <n v="150"/>
    <m/>
    <m/>
  </r>
  <r>
    <s v="Keshika Khadun"/>
    <s v="Morcellement VRS 143 Grand Bois"/>
    <s v="Grand Bois"/>
    <s v="Grand Bois"/>
    <n v="58343479"/>
    <s v="Nab-Makeup"/>
    <x v="63"/>
    <d v="2025-08-12T00:00:00"/>
    <n v="150"/>
    <m/>
    <m/>
  </r>
  <r>
    <s v="Aparna Ramgoolam"/>
    <s v="Avenue Des Colombes, Medine Camp de Masque"/>
    <s v="Camp de Masque"/>
    <s v="Camp de Masque"/>
    <n v="57726954"/>
    <s v="Nab-Makeup"/>
    <x v="63"/>
    <d v="2025-08-12T00:00:00"/>
    <n v="150"/>
    <m/>
    <m/>
  </r>
  <r>
    <s v="Yashiirah Nuzooa"/>
    <s v="Petite Paquet, Montagne Blanche"/>
    <s v="Montagne Blanche"/>
    <s v="Montagne Blanche"/>
    <s v="59238728 / 57524648"/>
    <s v="Nab-Makeup"/>
    <x v="63"/>
    <d v="2025-08-12T00:00:00"/>
    <n v="150"/>
    <m/>
    <m/>
  </r>
  <r>
    <s v="Yogini Armon"/>
    <s v="Bord Cascades, Henrietta, Vacoas"/>
    <s v="Vacoas"/>
    <s v="Vacoas"/>
    <n v="57337705"/>
    <s v="Nab-Makeup"/>
    <x v="63"/>
    <d v="2025-08-12T00:00:00"/>
    <n v="150"/>
    <m/>
    <m/>
  </r>
  <r>
    <s v="Neeshti Reetoo"/>
    <s v="178, Bhageerutty Street, Curepipe"/>
    <s v="Curepipe"/>
    <s v="Curepipe"/>
    <n v="59447030"/>
    <s v="Nab-Makeup"/>
    <x v="63"/>
    <d v="2025-08-12T00:00:00"/>
    <n v="150"/>
    <m/>
    <m/>
  </r>
  <r>
    <s v="Parvinita Sharma Joottun"/>
    <s v="Royal Road, Plaine des Roches"/>
    <s v="Plaine des Roches"/>
    <s v="Plaines des Roches"/>
    <n v="59083167"/>
    <s v="Nab-Makeup"/>
    <x v="63"/>
    <d v="2025-08-12T00:00:00"/>
    <n v="150"/>
    <m/>
    <m/>
  </r>
  <r>
    <s v="Bheemuch Chitrakshi Devi"/>
    <s v="Royal Road, Riche Terre"/>
    <s v="Riche Terre"/>
    <s v="Riche Terre"/>
    <n v="57739362"/>
    <s v="Nab-Makeup"/>
    <x v="63"/>
    <d v="2025-08-12T00:00:00"/>
    <n v="150"/>
    <m/>
    <m/>
  </r>
  <r>
    <s v="Zaafirah Keramuth"/>
    <s v="Royal Road, Notre Dame"/>
    <s v="Notre Dame"/>
    <s v="Notre Dame"/>
    <n v="58009660"/>
    <s v="Nab-Makeup"/>
    <x v="63"/>
    <d v="2025-08-12T00:00:00"/>
    <n v="150"/>
    <m/>
    <m/>
  </r>
  <r>
    <s v="Yumna Caderbavah"/>
    <s v="Caderbavah, L’ane L’escalier"/>
    <s v="L’Escalier"/>
    <s v="L'Escalier"/>
    <n v="57593962"/>
    <s v="Nab-Makeup"/>
    <x v="63"/>
    <d v="2025-08-12T00:00:00"/>
    <n v="150"/>
    <m/>
    <m/>
  </r>
  <r>
    <s v="Vima"/>
    <s v="Batiment Catalyst, Ebene"/>
    <s v="Ebene"/>
    <s v="Ebene"/>
    <n v="58110926"/>
    <s v="Nab-Makeup"/>
    <x v="63"/>
    <d v="2025-08-12T00:00:00"/>
    <n v="150"/>
    <m/>
    <m/>
  </r>
  <r>
    <s v="Teeshta Bissessur"/>
    <s v="Ramkelawon St, Deux Bras Rd, New Grove"/>
    <s v="New Grove"/>
    <s v="New Grove"/>
    <n v="58289088"/>
    <s v="Nab-Makeup"/>
    <x v="63"/>
    <d v="2025-08-12T00:00:00"/>
    <n v="150"/>
    <m/>
    <m/>
  </r>
  <r>
    <s v="Adil Beeharry"/>
    <s v="Prud'homme Street, Riviere des Anguilles"/>
    <s v="Riviere des Anguilles"/>
    <s v="Riviere des Anguilles"/>
    <n v="57986280"/>
    <s v="Nab-Makeup"/>
    <x v="63"/>
    <d v="2025-08-12T00:00:00"/>
    <n v="150"/>
    <m/>
    <m/>
  </r>
  <r>
    <s v="Tanisha Beesoon"/>
    <s v="17 Avenue Tranquille, Vacoas (afternoon)"/>
    <s v="Vacoas"/>
    <s v="Vacoas"/>
    <n v="57869379"/>
    <s v="Nab-Makeup"/>
    <x v="63"/>
    <d v="2025-08-12T00:00:00"/>
    <n v="150"/>
    <m/>
    <m/>
  </r>
  <r>
    <s v="Farhanah Joomun"/>
    <s v="River Side Street, Petit Bel Air, Mahebourg"/>
    <s v="Mahebourg"/>
    <s v="Mahebourg"/>
    <n v="58614821"/>
    <s v="Nab-Makeup"/>
    <x v="63"/>
    <d v="2025-08-15T00:00:00"/>
    <n v="150"/>
    <m/>
    <m/>
  </r>
  <r>
    <s v="Uzmanaz Zakiya Mahamed Hussain"/>
    <s v="Royal Road, Grand Retraite"/>
    <s v="Bon Accueil"/>
    <s v="Bon Accueil"/>
    <n v="58177131"/>
    <s v="Nab-Makeup"/>
    <x v="63"/>
    <d v="2025-08-12T00:00:00"/>
    <n v="150"/>
    <m/>
    <m/>
  </r>
  <r>
    <s v="Mrs Rashmee Bhaugeerutty"/>
    <s v="Vacoas Popular Multi Purpose Cooperative Society Ltd, Morc Coop, Bonne Terre, Vacoas"/>
    <s v="Vacoas"/>
    <s v="Vacoas"/>
    <n v="57608691"/>
    <s v="Nab-Makeup"/>
    <x v="63"/>
    <d v="2025-08-12T00:00:00"/>
    <n v="150"/>
    <m/>
    <m/>
  </r>
  <r>
    <s v="Emamally ZAYNAH"/>
    <s v="Tres bon 1, Vacoas"/>
    <s v="Vacoas"/>
    <s v="Vacoas"/>
    <n v="58273051"/>
    <s v="Nab-Makeup"/>
    <x v="63"/>
    <d v="2025-08-12T00:00:00"/>
    <n v="150"/>
    <m/>
    <m/>
  </r>
  <r>
    <s v="Nazaahah Oozeer"/>
    <s v="101, Morc Lenoir, Petit Camp, Phoenix"/>
    <s v="Phoenix"/>
    <s v="Phoenix"/>
    <n v="57987775"/>
    <s v="Nab-Makeup"/>
    <x v="63"/>
    <d v="2025-08-12T00:00:00"/>
    <n v="150"/>
    <m/>
    <m/>
  </r>
  <r>
    <s v="Sakshi Pariag"/>
    <s v="Royal Road, Fond du Sac"/>
    <s v="Fond du Sac"/>
    <s v="Fond Du Sac"/>
    <n v="57831021"/>
    <s v="Nab-Makeup"/>
    <x v="63"/>
    <d v="2025-08-12T00:00:00"/>
    <n v="150"/>
    <m/>
    <m/>
  </r>
  <r>
    <s v="Yashni Beetalah"/>
    <s v="10 Route Bassin, Quatre Bornes"/>
    <s v="Quatre Bornes"/>
    <s v="Quatre Bornes"/>
    <n v="57850366"/>
    <s v="Nab-Makeup"/>
    <x v="63"/>
    <d v="2025-08-12T00:00:00"/>
    <n v="150"/>
    <m/>
    <m/>
  </r>
  <r>
    <s v="Marie Celine Coret Dorcy"/>
    <s v="Morcellement Petite Bretagne, Albion"/>
    <s v="Albion"/>
    <s v="Albion"/>
    <n v="58251924"/>
    <s v="Nab-Makeup"/>
    <x v="63"/>
    <d v="2025-08-12T00:00:00"/>
    <n v="150"/>
    <m/>
    <m/>
  </r>
  <r>
    <s v="Yashna Ballgobin"/>
    <s v="Basalt Street, Deelawar Lane, Terre Rouge"/>
    <s v="Terre Rouge"/>
    <s v="Terre Rouge"/>
    <n v="58219994"/>
    <s v="Nab-Makeup"/>
    <x v="63"/>
    <d v="2025-08-12T00:00:00"/>
    <n v="150"/>
    <m/>
    <m/>
  </r>
  <r>
    <s v="Joomun Wazifah"/>
    <s v="Royal Road, Goodlands"/>
    <s v="Goodlands"/>
    <s v="Goodlands"/>
    <n v="59212890"/>
    <s v="Nab-Makeup"/>
    <x v="63"/>
    <d v="2025-08-12T00:00:00"/>
    <n v="150"/>
    <m/>
    <m/>
  </r>
  <r>
    <s v="Neeshti Reetoo"/>
    <s v="178, Bhageerutty Street, Curepipe"/>
    <s v="Plaines Wilhems"/>
    <s v="Curepipe"/>
    <n v="59447030"/>
    <s v="Nab-Makeup"/>
    <x v="64"/>
    <d v="2025-08-15T00:00:00"/>
    <n v="150"/>
    <m/>
    <s v="—"/>
  </r>
  <r>
    <s v="Wardah Jumun"/>
    <s v="Bijouterie Etoile Dor, Royal Road, Plaine Magnien"/>
    <s v="Grand Port"/>
    <s v="Plaine Magnien"/>
    <n v="57976877"/>
    <s v="Nab-Makeup"/>
    <x v="64"/>
    <d v="2025-08-15T00:00:00"/>
    <n v="150"/>
    <m/>
    <s v="—"/>
  </r>
  <r>
    <s v="Hansinee Ramdhany"/>
    <s v="Nightingale Avenue, Lallmatie"/>
    <s v="Flacq"/>
    <s v="Lallmatie"/>
    <n v="59101825"/>
    <s v="Nab-Makeup"/>
    <x v="64"/>
    <d v="2025-08-15T00:00:00"/>
    <n v="150"/>
    <m/>
    <s v="—"/>
  </r>
  <r>
    <s v="Yomela Mootien"/>
    <s v="T21, Quartier des Terminalias, Labourdonnais, Mapou"/>
    <s v="Riviere du Rempart"/>
    <s v="Mapou"/>
    <n v="58247405"/>
    <s v="Nab-Makeup"/>
    <x v="64"/>
    <d v="2025-08-15T00:00:00"/>
    <n v="150"/>
    <m/>
    <s v="—"/>
  </r>
  <r>
    <s v="Kshanika Khirodhur"/>
    <s v="12, Khirodhur Street, St Louis, Surinam"/>
    <s v="Savanne"/>
    <s v="Surinam"/>
    <n v="54555614"/>
    <s v="Nab-Makeup"/>
    <x v="64"/>
    <d v="2025-08-15T00:00:00"/>
    <n v="150"/>
    <m/>
    <s v="—"/>
  </r>
  <r>
    <s v="Nundlall Vedita"/>
    <s v="Rose Hill"/>
    <s v="Plaines Wilhems"/>
    <s v="Rose Hill"/>
    <n v="57324285"/>
    <s v="Nab-Makeup"/>
    <x v="64"/>
    <d v="2025-08-15T00:00:00"/>
    <n v="150"/>
    <m/>
    <s v="—"/>
  </r>
  <r>
    <s v="Amisha Gunputh"/>
    <s v="Grannum Road, Vacoas"/>
    <s v="Plaines Wilhems"/>
    <s v="Vacoas"/>
    <n v="59102190"/>
    <s v="Nab-Makeup"/>
    <x v="64"/>
    <d v="2025-08-15T00:00:00"/>
    <n v="150"/>
    <m/>
    <s v="—"/>
  </r>
  <r>
    <s v="Boodhoo Pallavi"/>
    <s v="Old Market Road, Rivière du Rempart (near Courts Mammouth)"/>
    <s v="Riviere du Rempart"/>
    <s v="Riviere Du Poste"/>
    <n v="58854006"/>
    <s v="Nab-Makeup"/>
    <x v="64"/>
    <d v="2025-08-15T00:00:00"/>
    <n v="150"/>
    <m/>
    <s v="—"/>
  </r>
  <r>
    <s v="Sivanee Muruvan"/>
    <s v="Rue Couvent de Lorette, Curepipe"/>
    <s v="Plaines Wilhems"/>
    <s v="Curepipe"/>
    <n v="57080476"/>
    <s v="Nab-Makeup"/>
    <x v="64"/>
    <d v="2025-08-15T00:00:00"/>
    <n v="150"/>
    <m/>
    <s v="—"/>
  </r>
  <r>
    <s v="Hadiyah Santoo"/>
    <s v="Lotus Street, Plaine Magnien"/>
    <s v="Grand Port"/>
    <s v="Plaine Magnien"/>
    <n v="59260341"/>
    <s v="Nab-Makeup"/>
    <x v="64"/>
    <d v="2025-08-15T00:00:00"/>
    <n v="150"/>
    <m/>
    <s v="—"/>
  </r>
  <r>
    <s v="Farheen Bhoodoo"/>
    <s v="Hossenbux Building, Vacoas"/>
    <s v="Plaines Wilhems"/>
    <s v="Vacoas"/>
    <n v="55030498"/>
    <s v="Nab-Makeup"/>
    <x v="64"/>
    <d v="2025-08-15T00:00:00"/>
    <n v="150"/>
    <m/>
    <s v="—"/>
  </r>
  <r>
    <s v="Yashna Sahadew"/>
    <s v="Royal Road Isidore-Rose, Quatre Cocos"/>
    <s v="Flacq"/>
    <s v="Quatre Cocos"/>
    <n v="57824254"/>
    <s v="Nab-Makeup"/>
    <x v="64"/>
    <d v="2025-08-15T00:00:00"/>
    <n v="150"/>
    <m/>
    <s v="—"/>
  </r>
  <r>
    <s v="Noosayah Joomun"/>
    <s v="Highlands Road, Phoenix"/>
    <s v="Plaines Wilhems"/>
    <s v="Phoenix"/>
    <n v="58030976"/>
    <s v="Nab-Makeup"/>
    <x v="64"/>
    <d v="2025-08-15T00:00:00"/>
    <n v="150"/>
    <m/>
    <s v="—"/>
  </r>
  <r>
    <s v="Deeya Mungur"/>
    <s v="18 Martindale Street, Beau Bassin"/>
    <s v="Plaines Wilhems"/>
    <s v="Beau Bassin"/>
    <n v="58551967"/>
    <s v="Nab-Makeup"/>
    <x v="64"/>
    <d v="2025-08-15T00:00:00"/>
    <n v="150"/>
    <m/>
    <s v="—"/>
  </r>
  <r>
    <s v="Stephanie How"/>
    <s v="C/O Rey &amp; Lenferna Ltd, Royal Road, Bell Village"/>
    <s v="Port Louis"/>
    <s v="Bell Village"/>
    <n v="57888899"/>
    <s v="Nab-Makeup"/>
    <x v="64"/>
    <d v="2025-08-15T00:00:00"/>
    <n v="150"/>
    <m/>
    <s v="—"/>
  </r>
  <r>
    <s v="Danalutchmee Ballasoupramanien"/>
    <s v="51, Dr Reid, Beau-Bassin"/>
    <s v="Plaines Wilhems"/>
    <s v="Beau Bassin"/>
    <n v="57081657"/>
    <s v="Nab-Makeup"/>
    <x v="64"/>
    <d v="2025-08-15T00:00:00"/>
    <n v="150"/>
    <m/>
    <s v="—"/>
  </r>
  <r>
    <s v="Zakiyyah Doomun Khan"/>
    <s v="26 A Remy Ollier, Phoenix"/>
    <s v="Plaines Wilhems"/>
    <s v="Phoenix"/>
    <n v="59107630"/>
    <s v="Nab-Makeup"/>
    <x v="64"/>
    <d v="2025-08-15T00:00:00"/>
    <n v="150"/>
    <m/>
    <s v="—"/>
  </r>
  <r>
    <s v="Shriya Dheereess"/>
    <s v="P 12 B Chemin la Gare, Poste de Flacq"/>
    <s v="Flacq"/>
    <s v="Poste de Flacq"/>
    <n v="57722161"/>
    <s v="Nab-Makeup"/>
    <x v="64"/>
    <d v="2025-08-15T00:00:00"/>
    <n v="150"/>
    <m/>
    <s v="—"/>
  </r>
  <r>
    <s v="Faezah Nauzeer"/>
    <s v="26, Impasse Gorah Issac, Port Louis"/>
    <s v="Port Louis"/>
    <s v="Port Louis"/>
    <n v="58384830"/>
    <s v="OKASINA"/>
    <x v="64"/>
    <d v="2025-08-15T00:00:00"/>
    <n v="150"/>
    <m/>
    <s v="COD 875RS"/>
  </r>
  <r>
    <s v="PREMILA BADAYE"/>
    <s v="CHEMIN GRENIER"/>
    <s v="CHEMIN GRENIER"/>
    <s v="Chemin Grenier"/>
    <n v="57533488"/>
    <s v="OKASINA"/>
    <x v="64"/>
    <d v="2025-08-14T00:00:00"/>
    <n v="150"/>
    <m/>
    <n v="2250"/>
  </r>
  <r>
    <s v="Yus Islam"/>
    <s v="15 Cantons, Vacoas"/>
    <s v="Vacoas"/>
    <s v="Vacoas"/>
    <n v="57635836"/>
    <s v="Little Star Boutique"/>
    <x v="65"/>
    <d v="2025-08-15T00:00:00"/>
    <n v="150"/>
    <m/>
    <s v="Unpaid rs 850/-"/>
  </r>
  <r>
    <s v="Nushreen"/>
    <s v="L'Avenir, Flacq"/>
    <s v="Flacq"/>
    <s v="Flacq"/>
    <n v="59089311"/>
    <s v="Timeless Trends"/>
    <x v="65"/>
    <d v="2025-08-15T00:00:00"/>
    <n v="150"/>
    <m/>
    <s v="COD: Rs 1625"/>
  </r>
  <r>
    <s v="Neha Puttur"/>
    <s v="Dream Price, Triolet"/>
    <s v="Triolet"/>
    <s v="Triolet"/>
    <n v="58149009"/>
    <s v="Timeless Trends"/>
    <x v="65"/>
    <d v="2025-08-15T00:00:00"/>
    <n v="150"/>
    <m/>
    <s v="COD: Rs 1625"/>
  </r>
  <r>
    <s v="Mrs Hansa"/>
    <s v="Remy Ollier St. Port Louis (Newton Tower bldg parking side)"/>
    <s v="Port Louis"/>
    <s v="Port Louis"/>
    <n v="57751893"/>
    <s v="Timeless Trends"/>
    <x v="66"/>
    <d v="2025-08-22T00:00:00"/>
    <n v="150"/>
    <m/>
    <n v="1625"/>
  </r>
  <r>
    <s v="Vyaporee"/>
    <s v="Vis a Vis SBM, Port louis"/>
    <s v="Port Louis"/>
    <s v="Port Louis"/>
    <n v="58255155"/>
    <s v="Little Star Boutique"/>
    <x v="66"/>
    <d v="2025-08-19T00:00:00"/>
    <n v="150"/>
    <m/>
    <n v="500"/>
  </r>
  <r>
    <s v="Varuna Ramburrun"/>
    <s v="Royal Road, St Julien D'Hotman"/>
    <s v="East"/>
    <s v="St Julien D'Hotman"/>
    <n v="52526373"/>
    <s v="OKASINA"/>
    <x v="67"/>
    <d v="2025-08-19T00:00:00"/>
    <n v="150"/>
    <m/>
    <n v="10895"/>
  </r>
  <r>
    <s v="Emma Bhawah"/>
    <s v="Allee Tamarin Gandhi Lane, Bambous, Mauritius"/>
    <s v="West"/>
    <s v="Bambous"/>
    <s v="5751 9225"/>
    <s v="Nab-Makeup"/>
    <x v="67"/>
    <d v="2025-08-19T00:00:00"/>
    <n v="150"/>
    <m/>
    <m/>
  </r>
  <r>
    <s v="Maryam Mungroo"/>
    <s v="Market Lane, Rose Belle, Mauritius"/>
    <s v="South"/>
    <s v="Rose Belle"/>
    <s v="5928 3079"/>
    <s v="Nab-Makeup"/>
    <x v="67"/>
    <d v="2025-08-19T00:00:00"/>
    <n v="150"/>
    <m/>
    <m/>
  </r>
  <r>
    <s v="Samiyah Burkutally"/>
    <s v="Anwar E Qouba Mosque Rd, Camp Fouquereaux, Phoenix, Mauritius"/>
    <s v="Central"/>
    <s v="Phoenix"/>
    <s v="5927 2041"/>
    <s v="Nab-Makeup"/>
    <x v="67"/>
    <d v="2025-08-19T00:00:00"/>
    <n v="150"/>
    <m/>
    <m/>
  </r>
  <r>
    <s v="Sharfaa Auhammud"/>
    <s v="Camishi Lane, Camp Fouquereaux, St Antoine, Mauritius"/>
    <s v="Central"/>
    <s v="St Antoine"/>
    <s v="5829 8331"/>
    <s v="Nab-Makeup"/>
    <x v="67"/>
    <d v="2025-08-19T00:00:00"/>
    <n v="150"/>
    <m/>
    <m/>
  </r>
  <r>
    <s v="Bibi Sahanah Shibchurn"/>
    <s v="51 Roshan Lane, Morcellement La Vallée, Le Cornu, St Croix, Port Louis"/>
    <s v="North"/>
    <s v="St Croix (PL)"/>
    <s v="5758 8028"/>
    <s v="Nab-Makeup"/>
    <x v="67"/>
    <d v="2025-08-19T00:00:00"/>
    <n v="150"/>
    <m/>
    <m/>
  </r>
  <r>
    <s v="Waliyya Sundhoo"/>
    <s v="5 Dr Bour Street, Rose-Hill, Mauritius"/>
    <s v="Central"/>
    <s v="Rose-Hill"/>
    <s v="5800 2834"/>
    <s v="Nab-Makeup"/>
    <x v="67"/>
    <d v="2025-08-19T00:00:00"/>
    <n v="150"/>
    <m/>
    <m/>
  </r>
  <r>
    <s v="Shamnaz Gurreebat"/>
    <s v="Bonnair Road, Triolet, Mauritius"/>
    <s v="North"/>
    <s v="Triolet"/>
    <s v="5833 8876"/>
    <s v="Nab-Makeup"/>
    <x v="67"/>
    <d v="2025-08-19T00:00:00"/>
    <n v="150"/>
    <m/>
    <m/>
  </r>
  <r>
    <s v="Nithisha Nirsimloo"/>
    <s v="Le Ravin Riverside, B5, Moka, Mauritius"/>
    <s v="Central"/>
    <s v="Moka"/>
    <s v="5982 7315"/>
    <s v="Nab-Makeup"/>
    <x v="67"/>
    <d v="2025-08-19T00:00:00"/>
    <n v="150"/>
    <m/>
    <m/>
  </r>
  <r>
    <s v="Khaoula Baroudi"/>
    <s v="31 Frederick Bonnefin, Forest Side, Mauritius"/>
    <s v="Central"/>
    <s v="Forest Side"/>
    <s v="5936 2930"/>
    <s v="Nab-Makeup"/>
    <x v="67"/>
    <d v="2025-08-19T00:00:00"/>
    <n v="150"/>
    <m/>
    <m/>
  </r>
  <r>
    <s v="Heshma Jogoosing"/>
    <s v="Melle Jeane Road, Goodlands, Mauritius"/>
    <s v="North"/>
    <s v="Goodlands"/>
    <n v="59015844"/>
    <s v="Nab-Makeup"/>
    <x v="67"/>
    <d v="2025-08-22T00:00:00"/>
    <n v="150"/>
    <m/>
    <m/>
  </r>
  <r>
    <s v="Karishma Jeetah"/>
    <s v="43, Sir Edward Nairac Street, Chebel, Beau Bassin"/>
    <s v="Central"/>
    <s v="Beau Bassin"/>
    <s v="5702 5491"/>
    <s v="Nab-Makeup"/>
    <x v="67"/>
    <d v="2025-08-19T00:00:00"/>
    <n v="150"/>
    <m/>
    <m/>
  </r>
  <r>
    <s v="Diana Appadoo"/>
    <s v="Lot No. 3, Morc. Residence Grove, Mare D'Albert, Mauritius"/>
    <s v="South"/>
    <s v="Mare D'Albert"/>
    <s v="5784 0163"/>
    <s v="Nab-Makeup"/>
    <x v="67"/>
    <d v="2025-08-19T00:00:00"/>
    <n v="150"/>
    <m/>
    <m/>
  </r>
  <r>
    <s v="Jameela HossenMohamed"/>
    <s v="Joseph Legris, Terre Rouge, Port Louis, Mauritius"/>
    <s v="North"/>
    <s v="Terre Rouge (PL)"/>
    <s v="5506 5606"/>
    <s v="Nab-Makeup"/>
    <x v="67"/>
    <d v="2025-08-19T00:00:00"/>
    <n v="150"/>
    <m/>
    <m/>
  </r>
  <r>
    <s v="Shanya BinMohammed"/>
    <s v="Résidence Agathe, Block E08, Melrose"/>
    <s v="East"/>
    <s v="Melrose"/>
    <s v="5829 3142"/>
    <s v="Nab-Makeup"/>
    <x v="67"/>
    <d v="2025-08-19T00:00:00"/>
    <n v="150"/>
    <m/>
    <m/>
  </r>
  <r>
    <s v="Drishtee Bhujun"/>
    <s v="Technotronics Ltd, Qunize Cantons, Vacoas Square Shopping Mall"/>
    <s v="Central"/>
    <s v="Vacoas"/>
    <s v="5860 5212"/>
    <s v="Nab-Makeup"/>
    <x v="67"/>
    <d v="2025-08-19T00:00:00"/>
    <n v="150"/>
    <m/>
    <m/>
  </r>
  <r>
    <s v="Sophie Herbu"/>
    <s v="4th Floor, Harbour Front Building, Port Louis, Mauritius"/>
    <s v="North"/>
    <s v="Port Louis"/>
    <s v="5494 9449"/>
    <s v="Nab-Makeup"/>
    <x v="67"/>
    <d v="2025-08-19T00:00:00"/>
    <n v="150"/>
    <m/>
    <m/>
  </r>
  <r>
    <s v="Sandrine Mahier"/>
    <s v="Villa Tuscane, Balisage Lane, Calodyne"/>
    <s v="Calodyne"/>
    <s v="Calodyne"/>
    <n v="54966565"/>
    <s v="Nab-Makeup"/>
    <x v="66"/>
    <d v="2025-08-19T00:00:00"/>
    <n v="150"/>
    <m/>
    <m/>
  </r>
  <r>
    <s v="Shaziah Wozeer"/>
    <s v="95 La Paix Street, Port Louis"/>
    <s v="Port Louis"/>
    <s v="Port Louis"/>
    <n v="57349330"/>
    <s v="Nab-Makeup"/>
    <x v="68"/>
    <d v="2025-08-22T00:00:00"/>
    <n v="150"/>
    <m/>
    <s v="–"/>
  </r>
  <r>
    <s v="Soobhujhun Yootika"/>
    <s v="NHDC F12 Montagne Blanche, Montagne Blanche"/>
    <s v="Montagne Blanche"/>
    <s v="Montagne Blanche"/>
    <n v="58137442"/>
    <s v="Nab-Makeup"/>
    <x v="68"/>
    <d v="2025-08-22T00:00:00"/>
    <n v="150"/>
    <m/>
    <s v="–"/>
  </r>
  <r>
    <s v="Ameena Ochatoya"/>
    <s v="B3 Arab Lane, Camp Yoloff, Port Louis"/>
    <s v="Port Louis"/>
    <s v="Port Louis"/>
    <n v="58029556"/>
    <s v="Nab-Makeup"/>
    <x v="68"/>
    <d v="2025-08-22T00:00:00"/>
    <n v="150"/>
    <m/>
    <s v="–"/>
  </r>
  <r>
    <s v="Lalloo Celina"/>
    <s v="Hospital Road, Arsenal"/>
    <s v="Arsenal"/>
    <s v="Arsenal"/>
    <n v="57603737"/>
    <s v="Nab-Makeup"/>
    <x v="68"/>
    <d v="2025-08-22T00:00:00"/>
    <n v="150"/>
    <m/>
    <s v="–"/>
  </r>
  <r>
    <s v="Yakshini Digumber"/>
    <s v="18 Nahaboo Solim Street, Beau Bassin"/>
    <s v="Beau Bassin"/>
    <s v="Beau Bassin"/>
    <n v="57053426"/>
    <s v="Nab-Makeup"/>
    <x v="68"/>
    <d v="2025-08-22T00:00:00"/>
    <n v="150"/>
    <m/>
    <s v="–"/>
  </r>
  <r>
    <s v="Zaynah Nujjoo"/>
    <s v="Royal Road, Grand Baie"/>
    <s v="Grand Baie"/>
    <s v="Grand Baie"/>
    <n v="57927340"/>
    <s v="Nab-Makeup"/>
    <x v="68"/>
    <d v="2025-08-22T00:00:00"/>
    <n v="150"/>
    <m/>
    <s v="–"/>
  </r>
  <r>
    <s v="Drishti Ramchurn"/>
    <s v="146, Morcellement VRS, Gros Billot, New Grove"/>
    <s v="New Grove"/>
    <s v="New Grove"/>
    <n v="58093231"/>
    <s v="Nab-Makeup"/>
    <x v="68"/>
    <d v="2025-08-22T00:00:00"/>
    <n v="150"/>
    <m/>
    <s v="–"/>
  </r>
  <r>
    <s v="Gloria Hart"/>
    <s v="Morcellement Tagore, L’Escalier"/>
    <s v="L’Escalier"/>
    <s v="L’Escalier"/>
    <n v="57721292"/>
    <s v="Nab-Makeup"/>
    <x v="68"/>
    <d v="2025-08-22T00:00:00"/>
    <n v="150"/>
    <m/>
    <s v="–"/>
  </r>
  <r>
    <s v="Deeya Rambaruth"/>
    <s v="Ebene (near DHL)"/>
    <s v="Ebene"/>
    <s v="Ebene"/>
    <n v="59160770"/>
    <s v="Nab-Makeup"/>
    <x v="68"/>
    <d v="2025-08-22T00:00:00"/>
    <n v="150"/>
    <m/>
    <s v="–"/>
  </r>
  <r>
    <s v="Tejeshwari Laxmi Devi Reesaul"/>
    <s v="Swami Dayanand Road, Petit Raffray"/>
    <s v="Petit Raffray"/>
    <s v="Petit Raffray"/>
    <n v="57664186"/>
    <s v="Nab-Makeup"/>
    <x v="68"/>
    <d v="2025-08-22T00:00:00"/>
    <n v="150"/>
    <m/>
    <s v="–"/>
  </r>
  <r>
    <s v="Tanya Donzé"/>
    <s v="Chemin 20 pieds, Grand Baie"/>
    <s v="Grand Baie"/>
    <s v="Grand Baie"/>
    <n v="52516583"/>
    <s v="Nab-Makeup"/>
    <x v="68"/>
    <d v="2025-08-22T00:00:00"/>
    <n v="150"/>
    <m/>
    <s v="–"/>
  </r>
  <r>
    <s v="Téanna Diveshnee Chelumbrum"/>
    <s v="Victoria Branch Road, Pamplemousses"/>
    <s v="Pamplemousses"/>
    <s v="Pamplemousses"/>
    <n v="54788968"/>
    <s v="Nab-Makeup"/>
    <x v="68"/>
    <d v="2025-08-22T00:00:00"/>
    <n v="150"/>
    <m/>
    <s v="–"/>
  </r>
  <r>
    <s v="Mrs Beeharry"/>
    <s v="Orchard Centre, Quatre Bornes"/>
    <s v="Quatre Bornes"/>
    <s v="Quatre Bornes"/>
    <n v="57436998"/>
    <s v="OKASINA"/>
    <x v="68"/>
    <d v="2025-08-22T00:00:00"/>
    <n v="150"/>
    <m/>
    <n v="4000"/>
  </r>
  <r>
    <s v="Yasmine Ramjaun"/>
    <s v="Royal Road, Tyack, Rivière des Anguilles"/>
    <s v="Tyack / RDA"/>
    <s v="Tyack / RDA"/>
    <n v="57078814"/>
    <s v="Azzah Boutique"/>
    <x v="69"/>
    <d v="2025-08-22T00:00:00"/>
    <n v="150"/>
    <m/>
    <s v="–"/>
  </r>
  <r>
    <s v="Tasleema Neerooa"/>
    <s v="Triolet (Pin Provided)"/>
    <s v="Triolet"/>
    <s v="Triolet"/>
    <n v="57800440"/>
    <s v="Azzah Boutique"/>
    <x v="69"/>
    <d v="2025-08-22T00:00:00"/>
    <n v="150"/>
    <m/>
    <s v="–"/>
  </r>
  <r>
    <s v="Amirah Nain"/>
    <s v="Port Louis: Morning – Dispensaire Vallée des Prêtres (until 11:30) Afternoon – Dispensaire Bouloux, Cassis"/>
    <s v="Port Louis / Cassis"/>
    <s v="Port Louis / Cassis"/>
    <n v="57970856"/>
    <s v="Azzah Boutique"/>
    <x v="69"/>
    <d v="2025-08-22T00:00:00"/>
    <n v="150"/>
    <m/>
    <s v="–"/>
  </r>
  <r>
    <s v="Zuhayr Bhugel"/>
    <s v="Kings Road, Goodlands"/>
    <s v="Goodlands"/>
    <s v="Goodlands"/>
    <n v="54889171"/>
    <s v="Azzah Boutique"/>
    <x v="69"/>
    <d v="2025-08-22T00:00:00"/>
    <n v="150"/>
    <m/>
    <s v="–"/>
  </r>
  <r>
    <s v="Amiirah Khoodoruth"/>
    <s v="Morcellement Highland Rose, Highlands"/>
    <s v="Highlands"/>
    <s v="Highlands"/>
    <n v="59242220"/>
    <s v="Little Star Boutique"/>
    <x v="69"/>
    <d v="2025-08-22T00:00:00"/>
    <n v="150"/>
    <m/>
    <n v="1200"/>
  </r>
  <r>
    <s v="Saira "/>
    <s v="Triolet "/>
    <s v="Triolet "/>
    <s v="Triolet "/>
    <n v="52544523"/>
    <s v="Glow And Aura"/>
    <x v="69"/>
    <d v="2025-08-22T00:00:00"/>
    <n v="150"/>
    <m/>
    <n v="800"/>
  </r>
  <r>
    <s v="Zakkiyah "/>
    <s v="Terre rouge "/>
    <s v="Terre rouge "/>
    <s v="Terre rouge "/>
    <n v="58365447"/>
    <s v="Glow And Aura"/>
    <x v="69"/>
    <d v="2025-08-22T00:00:00"/>
    <n v="150"/>
    <m/>
    <n v="770"/>
  </r>
  <r>
    <s v="Poonam Jhary"/>
    <s v="Kalimaye Rd, Melle Jeanne, Goodlands"/>
    <s v="Goodlands"/>
    <s v="Goodlands"/>
    <n v="57470178"/>
    <s v="OKASINA"/>
    <x v="69"/>
    <d v="2025-08-22T00:00:00"/>
    <n v="150"/>
    <m/>
    <n v="3100"/>
  </r>
  <r>
    <s v="Vedishka Pandoo"/>
    <s v="Wall Street, 7 Exchange Square, Ebene"/>
    <s v="Ebene"/>
    <m/>
    <n v="57718586"/>
    <s v="Nab-Makeup"/>
    <x v="70"/>
    <d v="2025-08-29T00:00:00"/>
    <n v="150"/>
    <m/>
    <s v="–"/>
  </r>
  <r>
    <s v="Amina Saadia Toraubally"/>
    <s v="119 Ave Ollier, Rose Hill"/>
    <s v="Rose Hill"/>
    <m/>
    <n v="52574839"/>
    <s v="Nab-Makeup"/>
    <x v="70"/>
    <d v="2025-08-26T00:00:00"/>
    <n v="150"/>
    <m/>
    <s v="–"/>
  </r>
  <r>
    <s v="Zaafirah Keramuth"/>
    <s v="Royal Road, Notre Dame"/>
    <s v="Notre Dame"/>
    <m/>
    <n v="58009660"/>
    <s v="Nab-Makeup"/>
    <x v="70"/>
    <d v="2025-08-26T00:00:00"/>
    <n v="150"/>
    <m/>
    <s v="–"/>
  </r>
  <r>
    <s v="Reetisha Suroop"/>
    <s v="E6 Cité Trois Boutiques"/>
    <s v="Trois Boutiques"/>
    <m/>
    <n v="58138992"/>
    <s v="Nab-Makeup"/>
    <x v="70"/>
    <d v="2025-08-29T00:00:00"/>
    <n v="150"/>
    <m/>
    <s v="–"/>
  </r>
  <r>
    <s v="Saadiyah Boolaky"/>
    <s v="Morcellement Traffic Centre, Saint Pierre"/>
    <s v="St Pierre"/>
    <m/>
    <n v="57225676"/>
    <s v="Nab-Makeup"/>
    <x v="70"/>
    <d v="2025-08-26T00:00:00"/>
    <n v="150"/>
    <m/>
    <s v="–"/>
  </r>
  <r>
    <s v="Zikrah Boodhoo"/>
    <s v="Royal Road, Upper Vale"/>
    <s v="Upper Vale"/>
    <m/>
    <n v="58220763"/>
    <s v="Nab-Makeup"/>
    <x v="70"/>
    <d v="2025-08-26T00:00:00"/>
    <n v="150"/>
    <m/>
    <s v="–"/>
  </r>
  <r>
    <s v="Shabnam Emamdeen"/>
    <s v="Ganachaud Road, Castel, Eau Coulee"/>
    <s v="Eau Coulee"/>
    <m/>
    <n v="57851354"/>
    <s v="Nab-Makeup"/>
    <x v="70"/>
    <d v="2025-08-26T00:00:00"/>
    <n v="150"/>
    <m/>
    <s v="–"/>
  </r>
  <r>
    <s v="Tandra Somnac"/>
    <s v="3 Rue Madame Mont Roches, Beau Bassin"/>
    <s v="Beau Bassin"/>
    <m/>
    <n v="57660214"/>
    <s v="Nab-Makeup"/>
    <x v="70"/>
    <d v="2025-08-26T00:00:00"/>
    <n v="150"/>
    <m/>
    <s v="–"/>
  </r>
  <r>
    <s v="Ooushna Rangasamy"/>
    <s v="K24 Rue Saponnière, La Tour Koenig"/>
    <s v="La Tour Koenig"/>
    <m/>
    <s v="57096825 / 58046102"/>
    <s v="Nab-Makeup"/>
    <x v="70"/>
    <d v="2025-08-26T00:00:00"/>
    <n v="150"/>
    <m/>
    <s v="–"/>
  </r>
  <r>
    <s v="Rati Saulick"/>
    <s v="School Lane, Morcellement St André, Pamplemousses"/>
    <s v="Pamplemousses"/>
    <m/>
    <n v="57024558"/>
    <s v="Nab-Makeup"/>
    <x v="70"/>
    <d v="2025-08-26T00:00:00"/>
    <n v="150"/>
    <m/>
    <s v="–"/>
  </r>
  <r>
    <s v="Sabrina Parrianen"/>
    <s v="Appt NHDC N07, La Caverne, Vacoas"/>
    <s v="Vacoas"/>
    <m/>
    <n v="59778727"/>
    <s v="Nab-Makeup"/>
    <x v="70"/>
    <d v="2025-08-26T00:00:00"/>
    <n v="150"/>
    <m/>
    <s v="–"/>
  </r>
  <r>
    <s v="Amnah"/>
    <s v="Nelson Mandela Lane, Terre Rouge"/>
    <s v="Terre Rouge"/>
    <m/>
    <n v="58301890"/>
    <s v="Nab-Makeup"/>
    <x v="70"/>
    <d v="2025-08-26T00:00:00"/>
    <n v="150"/>
    <m/>
    <s v="–"/>
  </r>
  <r>
    <s v="Farhana"/>
    <s v="Buckingham vis-à-vis SBM, Rose Hill"/>
    <s v="Rose Hill"/>
    <m/>
    <n v="57782811"/>
    <s v="Nab-Makeup"/>
    <x v="70"/>
    <d v="2025-08-26T00:00:00"/>
    <n v="150"/>
    <m/>
    <s v="–"/>
  </r>
  <r>
    <s v="Noorianah Lollmahamod Roojee"/>
    <s v="Avenue des Cygnes, Mont Ida"/>
    <s v="Mont Ida"/>
    <m/>
    <n v="59862046"/>
    <s v="Nab-Makeup"/>
    <x v="70"/>
    <d v="2025-08-26T00:00:00"/>
    <n v="150"/>
    <m/>
    <s v="–"/>
  </r>
  <r>
    <s v="Mrs Rajhub Azhaar"/>
    <s v="Boodhun Street, Rose Hill"/>
    <s v="Rose Hill"/>
    <m/>
    <n v="57755077"/>
    <s v="Nab-Makeup"/>
    <x v="70"/>
    <d v="2025-08-26T00:00:00"/>
    <n v="150"/>
    <m/>
    <s v="–"/>
  </r>
  <r>
    <s v="Shaheerah Sooboa"/>
    <s v="53 Abdool Razack Mohamed Street, Port Louis"/>
    <s v="Port Louis"/>
    <m/>
    <n v="59019359"/>
    <s v="Nab-Makeup"/>
    <x v="70"/>
    <d v="2025-08-26T00:00:00"/>
    <n v="150"/>
    <m/>
    <s v="–"/>
  </r>
  <r>
    <s v="Wardah Gunnoo"/>
    <s v="60 La Paix Street, Port Louis"/>
    <s v="Port Louis"/>
    <m/>
    <n v="57845153"/>
    <s v="Nab-Makeup"/>
    <x v="70"/>
    <d v="2025-08-26T00:00:00"/>
    <n v="150"/>
    <m/>
    <s v="–"/>
  </r>
  <r>
    <s v="Deersynee Mootyaloo"/>
    <s v="Camy Lane, Surinam"/>
    <s v="Surinam"/>
    <m/>
    <n v="59830258"/>
    <s v="Nab-Makeup"/>
    <x v="70"/>
    <d v="2025-08-26T00:00:00"/>
    <n v="150"/>
    <m/>
    <s v="–"/>
  </r>
  <r>
    <s v="Kriti Moorgawa"/>
    <s v="Shivala Lane, Rose Belle"/>
    <s v="Rose Belle"/>
    <m/>
    <n v="58384617"/>
    <s v="Nab-Makeup"/>
    <x v="70"/>
    <d v="2025-08-26T00:00:00"/>
    <n v="150"/>
    <m/>
    <s v="–"/>
  </r>
  <r>
    <s v="Preety Woosye"/>
    <s v="Dr Edgar Millien Govt School, Souillac Street, La Butte, PL"/>
    <s v="Port Louis"/>
    <m/>
    <n v="59211851"/>
    <s v="Nab-Makeup"/>
    <x v="70"/>
    <d v="2025-08-26T00:00:00"/>
    <n v="150"/>
    <m/>
    <s v="–"/>
  </r>
  <r>
    <s v="Hayfa Sambon"/>
    <s v="Royal Road, Morcellement St André"/>
    <s v="Pamplemousses"/>
    <m/>
    <n v="54728876"/>
    <s v="Nab-Makeup"/>
    <x v="70"/>
    <d v="2025-08-26T00:00:00"/>
    <n v="150"/>
    <m/>
    <s v="–"/>
  </r>
  <r>
    <s v="Nasreen Soopun-Jeetoo"/>
    <s v="Municipality of Vacoas-Phoenix, Vacoas"/>
    <s v="Vacoas"/>
    <m/>
    <n v="57873113"/>
    <s v="Nab-Makeup"/>
    <x v="70"/>
    <d v="2025-08-26T00:00:00"/>
    <n v="150"/>
    <m/>
    <s v="–"/>
  </r>
  <r>
    <s v="Mrs Rashmee Bhaugeerutty"/>
    <s v="Vacoas Popular Multi Purpose Coop, Morc Coop, Bonne Terre"/>
    <s v="Vacoas"/>
    <m/>
    <n v="57608691"/>
    <s v="Nab-Makeup"/>
    <x v="70"/>
    <d v="2025-08-26T00:00:00"/>
    <n v="150"/>
    <m/>
    <s v="–"/>
  </r>
  <r>
    <s v="Zohra Jeeroburkan"/>
    <s v="Route du Jardin, Suzor Street, Curepipe"/>
    <s v="Curepipe"/>
    <m/>
    <n v="55194720"/>
    <s v="Nab-Makeup"/>
    <x v="70"/>
    <d v="2025-08-26T00:00:00"/>
    <n v="150"/>
    <m/>
    <s v="–"/>
  </r>
  <r>
    <s v="Soodhakar Meetun"/>
    <s v="Royal Road, Riviere Des Anguilles"/>
    <s v="RDA"/>
    <m/>
    <n v="59608817"/>
    <s v="Nab-Makeup"/>
    <x v="70"/>
    <d v="2025-08-26T00:00:00"/>
    <n v="150"/>
    <m/>
    <s v="–"/>
  </r>
  <r>
    <s v="Madiha"/>
    <s v="9eme Mille Cremation Road, Triolet"/>
    <s v="Triolet"/>
    <m/>
    <n v="58117663"/>
    <s v="Luxe Miniatures"/>
    <x v="71"/>
    <d v="2025-08-26T00:00:00"/>
    <n v="150"/>
    <m/>
    <n v="150"/>
  </r>
  <r>
    <s v="Zaynah Atchia"/>
    <s v="Jemmingham Street, WMA Building, Curepipe"/>
    <s v="Curepipe"/>
    <m/>
    <n v="59757531"/>
    <s v="Luxe Miniatures"/>
    <x v="71"/>
    <d v="2025-09-01T00:00:00"/>
    <n v="150"/>
    <m/>
    <n v="2600"/>
  </r>
  <r>
    <s v="Jasbeer Abdool"/>
    <s v="New Trunk Road, Plaine Lauzun, Port Louis"/>
    <s v="Port Louis"/>
    <m/>
    <n v="58148400"/>
    <s v="OKASINA"/>
    <x v="70"/>
    <d v="2025-08-26T00:00:00"/>
    <n v="150"/>
    <m/>
    <n v="1500"/>
  </r>
  <r>
    <s v="Poonam Jhary"/>
    <s v="Kalimaye Rd, Melle Jeanne, Goodlands"/>
    <s v="Goodlands"/>
    <m/>
    <n v="57470178"/>
    <s v="OKASINA"/>
    <x v="70"/>
    <d v="2025-08-26T00:00:00"/>
    <n v="150"/>
    <m/>
    <n v="2000"/>
  </r>
  <r>
    <s v="Mrs Beeharry"/>
    <s v="Orchard Centre, Quatre Bornes - Pick up"/>
    <s v="Quatre Bornes"/>
    <s v="Quatre Bornes"/>
    <n v="57436998"/>
    <s v="OKASINA"/>
    <x v="70"/>
    <d v="2025-08-26T00:00:00"/>
    <n v="150"/>
    <m/>
    <n v="3000"/>
  </r>
  <r>
    <s v="Medha Bismohun "/>
    <s v="3rd Lane, Lalljee Street, Rosebelle, Mauritius"/>
    <s v="Rosebelle"/>
    <s v="Rosebelle"/>
    <n v="57624823"/>
    <s v="OKASINA"/>
    <x v="70"/>
    <d v="2025-08-26T00:00:00"/>
    <n v="150"/>
    <m/>
    <n v="2700"/>
  </r>
  <r>
    <s v="Mrs Beeharry"/>
    <s v="Orchard Centre, Quatre Bornes - Drop"/>
    <s v="Quatre Bornes"/>
    <s v="Quatre Bornes"/>
    <n v="57436998"/>
    <s v="OKASINA"/>
    <x v="70"/>
    <d v="2025-08-26T00:00:00"/>
    <n v="150"/>
    <m/>
    <m/>
  </r>
  <r>
    <s v="SHIVANEE - NABIIHAH - May's Shop"/>
    <s v="CHEMIN GRENIER, Mauritius"/>
    <s v="CHEMIN GRENIER, Mauritius"/>
    <s v="CHEMIN GRENIER, Mauritius"/>
    <n v="57316777"/>
    <s v="NABIIHAH - May's Shop"/>
    <x v="71"/>
    <d v="2025-08-28T00:00:00"/>
    <n v="100"/>
    <m/>
    <m/>
  </r>
  <r>
    <s v="PRATEEMAH - NABIIHAH - May's Shop"/>
    <s v="CHEMIN GRENIER, Mauritius"/>
    <s v="CHEMIN GRENIER, Mauritius"/>
    <s v="CHEMIN GRENIER, Mauritius"/>
    <n v="57536636"/>
    <s v="NABIIHAH - May's Shop"/>
    <x v="71"/>
    <d v="2025-08-28T00:00:00"/>
    <n v="100"/>
    <m/>
    <m/>
  </r>
  <r>
    <s v="MUFIDA - NABIIHAH - May's Shop"/>
    <s v="CHEMIN GRENIER, Mauritius"/>
    <s v="CHEMIN GRENIER, Mauritius"/>
    <s v="CHEMIN GRENIER, Mauritius"/>
    <n v="57791633"/>
    <s v="NABIIHAH - May's Shop"/>
    <x v="71"/>
    <d v="2025-08-28T00:00:00"/>
    <n v="100"/>
    <m/>
    <m/>
  </r>
  <r>
    <s v="NEELAM BEEHARY - NABIIHAH - May's Shop"/>
    <s v="SURINAM/RIV DES ANGUILLES, Mauritius"/>
    <s v="SURINAM/RIV DES ANGUILLES, Mauritius"/>
    <s v="SURINAM/RIV DES ANGUILLES, Mauritius"/>
    <n v="58383805"/>
    <s v="NABIIHAH - May's Shop"/>
    <x v="71"/>
    <d v="2025-08-29T00:00:00"/>
    <n v="100"/>
    <m/>
    <m/>
  </r>
  <r>
    <s v="CR - NABIIHAH - May's Shop"/>
    <s v="RIV DES ANGUILLES, Mauritius"/>
    <s v="RIV DES ANGUILLES, Mauritius"/>
    <s v="RIV DES ANGUILLES, Mauritius"/>
    <n v="57665656"/>
    <s v="NABIIHAH - May's Shop"/>
    <x v="71"/>
    <d v="2025-08-29T00:00:00"/>
    <n v="100"/>
    <m/>
    <m/>
  </r>
  <r>
    <s v="AMISTA - NABIIHAH - May's Shop"/>
    <s v="BRITANNIA, Mauritius"/>
    <s v="BRITANNIA, Mauritius"/>
    <s v="BRITANNIA, Mauritius"/>
    <n v="57119590"/>
    <s v="NABIIHAH - May's Shop"/>
    <x v="71"/>
    <d v="2025-08-29T00:00:00"/>
    <n v="100"/>
    <m/>
    <m/>
  </r>
  <r>
    <s v="SHREYA - NABIIHAH - May's Shop"/>
    <s v="TROIS BOUTIQUE UNION VALE, Mauritius"/>
    <s v="TROIS BOUTIQUE UNION VALE, Mauritius"/>
    <s v="TROIS BOUTIQUE UNION VALE, Mauritius"/>
    <n v="57911084"/>
    <s v="NABIIHAH - May's Shop"/>
    <x v="71"/>
    <d v="2025-08-29T00:00:00"/>
    <n v="100"/>
    <m/>
    <m/>
  </r>
  <r>
    <s v="RADS DEVIKA - NABIIHAH - May's Shop"/>
    <s v="TROIS BOUTIQUE , Mauritius"/>
    <s v="TROIS BOUTIQUE , Mauritius"/>
    <s v="TROIS BOUTIQUE , Mauritius"/>
    <n v="59149684"/>
    <s v="NABIIHAH - May's Shop"/>
    <x v="71"/>
    <d v="2025-08-29T00:00:00"/>
    <n v="100"/>
    <m/>
    <m/>
  </r>
  <r>
    <s v="ASH - NABIIHAH - May's Shop"/>
    <s v="PLAINE MAGNIEN, Mauritius"/>
    <s v="PLAINE MAGNIEN, Mauritius"/>
    <s v="PLAINE MAGNIEN, Mauritius"/>
    <n v="57991850"/>
    <s v="NABIIHAH - May's Shop"/>
    <x v="71"/>
    <d v="2025-08-29T00:00:00"/>
    <n v="100"/>
    <m/>
    <m/>
  </r>
  <r>
    <s v="ALYAA - NABIIHAH - May's Shop"/>
    <s v="PLAINE MAGNIEN, Mauritius"/>
    <s v="PLAINE MAGNIEN, Mauritius"/>
    <s v="PLAINE MAGNIEN, Mauritius"/>
    <n v="57760368"/>
    <s v="NABIIHAH - May's Shop"/>
    <x v="71"/>
    <d v="2025-08-29T00:00:00"/>
    <n v="100"/>
    <m/>
    <m/>
  </r>
  <r>
    <s v="IZAH KHAN/MEHSAR - NABIIHAH - May's Shop"/>
    <s v="MAHEBOURG, Mauritius"/>
    <s v="MAHEBOURG, Mauritius"/>
    <s v="MAHEBOURG, Mauritius"/>
    <n v="57963575"/>
    <s v="NABIIHAH - May's Shop"/>
    <x v="71"/>
    <d v="2025-08-29T00:00:00"/>
    <n v="100"/>
    <m/>
    <m/>
  </r>
  <r>
    <s v="SWAFIYA - NABIIHAH - May's Shop"/>
    <s v="MAHEBOURG, Mauritius"/>
    <s v="MAHEBOURG, Mauritius"/>
    <s v="MAHEBOURG, Mauritius"/>
    <n v="57858859"/>
    <s v="NABIIHAH - May's Shop"/>
    <x v="71"/>
    <d v="2025-08-29T00:00:00"/>
    <n v="100"/>
    <m/>
    <m/>
  </r>
  <r>
    <s v="SAMIYA - NABIIHAH - May's Shop"/>
    <s v="MAHEBOURG, Mauritius"/>
    <s v="MAHEBOURG, Mauritius"/>
    <s v="MAHEBOURG, Mauritius"/>
    <n v="58895296"/>
    <s v="NABIIHAH - May's Shop"/>
    <x v="71"/>
    <d v="2025-08-29T00:00:00"/>
    <n v="100"/>
    <m/>
    <m/>
  </r>
  <r>
    <s v="SUMMERTIME - NABIIHAH - May's Shop"/>
    <s v="MAHEBOURG, Mauritius"/>
    <s v="MAHEBOURG, Mauritius"/>
    <s v="MAHEBOURG, Mauritius"/>
    <n v="54924921"/>
    <s v="NABIIHAH - May's Shop"/>
    <x v="71"/>
    <d v="2025-08-29T00:00:00"/>
    <n v="100"/>
    <m/>
    <m/>
  </r>
  <r>
    <s v="SHANTI DEENOO - NABIIHAH - May's Shop"/>
    <s v="MAHEBOURG, Mauritius"/>
    <s v="MAHEBOURG, Mauritius"/>
    <s v="MAHEBOURG, Mauritius"/>
    <n v="59151470"/>
    <s v="NABIIHAH - May's Shop"/>
    <x v="71"/>
    <d v="2025-08-29T00:00:00"/>
    <n v="100"/>
    <m/>
    <m/>
  </r>
  <r>
    <s v="MALINEE - NABIIHAH - May's Shop"/>
    <s v="NEW GROVE, Mauritius"/>
    <s v="NEW GROVE, Mauritius"/>
    <s v="NEW GROVE, Mauritius"/>
    <n v="59271093"/>
    <s v="NABIIHAH - May's Shop"/>
    <x v="71"/>
    <d v="2025-08-29T00:00:00"/>
    <n v="100"/>
    <m/>
    <m/>
  </r>
  <r>
    <s v="ROUGE  - NABIIHAH - May's Shop"/>
    <s v="ROSEBELLE, Mauritius"/>
    <s v="ROSEBELLE, Mauritius"/>
    <s v="ROSEBELLE, Mauritius"/>
    <n v="57884969"/>
    <s v="NABIIHAH - May's Shop"/>
    <x v="71"/>
    <d v="2025-08-29T00:00:00"/>
    <n v="100"/>
    <m/>
    <m/>
  </r>
  <r>
    <s v="KAMINI - NABIIHAH - May's Shop"/>
    <s v="GRAND BOIS, Mauritius"/>
    <s v="GRAND BOIS, Mauritius"/>
    <s v="GRAND BOIS, Mauritius"/>
    <n v="54507613"/>
    <s v="NABIIHAH - May's Shop"/>
    <x v="71"/>
    <d v="2025-08-29T00:00:00"/>
    <n v="100"/>
    <m/>
    <m/>
  </r>
  <r>
    <s v="SHAHEEN - NABIIHAH - May's Shop"/>
    <s v="GRAND BOIS OLD SAVANNE RD, Mauritius"/>
    <s v="GRAND BOIS OLD SAVANNE RD, Mauritius"/>
    <s v="GRAND BOIS OLD SAVANNE RD, Mauritius"/>
    <n v="59896800"/>
    <s v="NABIIHAH - May's Shop"/>
    <x v="71"/>
    <d v="2025-08-29T00:00:00"/>
    <n v="100"/>
    <m/>
    <m/>
  </r>
  <r>
    <s v="JENNIFEER - NABIIHAH - May's Shop"/>
    <s v="BOIS CHERI MOKIA, Mauritius"/>
    <s v="BOIS CHERI MOKIA, Mauritius"/>
    <s v="BOIS CHERI MOKIA, Mauritius"/>
    <n v="59249825"/>
    <s v="NABIIHAH - May's Shop"/>
    <x v="71"/>
    <d v="2025-09-01T00:00:00"/>
    <n v="100"/>
    <m/>
    <m/>
  </r>
  <r>
    <s v="NICE &amp; TASTY - NABIIHAH - May's Shop"/>
    <s v="NOUVELLE FRANCE, Mauritius"/>
    <s v="NOUVELLE FRANCE, Mauritius"/>
    <s v="NOUVELLE FRANCE, Mauritius"/>
    <n v="58023048"/>
    <s v="NABIIHAH - May's Shop"/>
    <x v="71"/>
    <d v="2025-08-29T00:00:00"/>
    <n v="100"/>
    <m/>
    <m/>
  </r>
  <r>
    <s v="RESHMA - NABIIHAH - May's Shop"/>
    <s v="NOUVELLE FRANCE, Mauritius"/>
    <s v="NOUVELLE FRANCE, Mauritius"/>
    <s v="NOUVELLE FRANCE, Mauritius"/>
    <n v="58023048"/>
    <s v="NABIIHAH - May's Shop"/>
    <x v="71"/>
    <d v="2025-08-29T00:00:00"/>
    <n v="100"/>
    <m/>
    <m/>
  </r>
  <r>
    <s v="DAY JOY  - NABIIHAH - May's Shop"/>
    <s v="CUREPIPE, Mauritius"/>
    <s v="CUREPIPE, Mauritius"/>
    <s v="CUREPIPE, Mauritius"/>
    <n v="57263973"/>
    <s v="NABIIHAH - May's Shop"/>
    <x v="71"/>
    <d v="2025-08-29T00:00:00"/>
    <n v="100"/>
    <m/>
    <m/>
  </r>
  <r>
    <s v="ADRIANA - NABIIHAH - May's Shop"/>
    <s v="CUREPIPE, Mauritius"/>
    <s v="CUREPIPE, Mauritius"/>
    <s v="CUREPIPE, Mauritius"/>
    <n v="57839194"/>
    <s v="NABIIHAH - May's Shop"/>
    <x v="71"/>
    <d v="2025-08-29T00:00:00"/>
    <n v="100"/>
    <m/>
    <m/>
  </r>
  <r>
    <s v="ZARINA RAZBULLY - NABIIHAH - May's Shop"/>
    <s v="CUREPIPE, Mauritius"/>
    <s v="CUREPIPE, Mauritius"/>
    <s v="CUREPIPE, Mauritius"/>
    <n v="59247371"/>
    <s v="NABIIHAH - May's Shop"/>
    <x v="71"/>
    <d v="2025-09-01T00:00:00"/>
    <n v="100"/>
    <m/>
    <m/>
  </r>
  <r>
    <s v="YASMIN - NABIIHAH - May's Shop"/>
    <s v="EAU COULEE, Mauritius"/>
    <s v="EAU COULEE, Mauritius"/>
    <s v="EAU COULEE, Mauritius"/>
    <n v="57560468"/>
    <s v="NABIIHAH - May's Shop"/>
    <x v="71"/>
    <d v="2025-08-29T00:00:00"/>
    <n v="100"/>
    <m/>
    <m/>
  </r>
  <r>
    <s v="JENITA - NABIIHAH - May's Shop"/>
    <s v="EAU COULEE, Mauritius"/>
    <s v="EAU COULEE, Mauritius"/>
    <s v="EAU COULEE, Mauritius"/>
    <n v="57922145"/>
    <s v="NABIIHAH - May's Shop"/>
    <x v="71"/>
    <d v="2025-08-29T00:00:00"/>
    <n v="100"/>
    <m/>
    <m/>
  </r>
  <r>
    <s v="KAVITA - NABIIHAH - May's Shop"/>
    <s v="VACOAS, Mauritius"/>
    <s v="VACOAS, Mauritius"/>
    <s v="VACOAS, Mauritius"/>
    <n v="57090783"/>
    <s v="NABIIHAH - May's Shop"/>
    <x v="71"/>
    <d v="2025-08-29T00:00:00"/>
    <n v="100"/>
    <m/>
    <m/>
  </r>
  <r>
    <s v="PRITISHA - NABIIHAH - May's Shop"/>
    <s v="VACOAS, Mauritius"/>
    <s v="VACOAS, Mauritius"/>
    <s v="VACOAS, Mauritius"/>
    <n v="58065664"/>
    <s v="NABIIHAH - May's Shop"/>
    <x v="71"/>
    <d v="2025-08-29T00:00:00"/>
    <n v="100"/>
    <m/>
    <m/>
  </r>
  <r>
    <s v="KOOMANEE - NABIIHAH - May's Shop"/>
    <s v="VACOAS, Mauritius"/>
    <s v="VACOAS, Mauritius"/>
    <s v="VACOAS, Mauritius"/>
    <n v="57319631"/>
    <s v="NABIIHAH - May's Shop"/>
    <x v="71"/>
    <d v="2025-08-29T00:00:00"/>
    <n v="100"/>
    <m/>
    <m/>
  </r>
  <r>
    <s v="WASILA - NABIIHAH - May's Shop"/>
    <s v="VACOAS, Mauritius"/>
    <s v="VACOAS, Mauritius"/>
    <s v="VACOAS, Mauritius"/>
    <n v="57433832"/>
    <s v="NABIIHAH - May's Shop"/>
    <x v="71"/>
    <d v="2025-08-29T00:00:00"/>
    <n v="100"/>
    <m/>
    <m/>
  </r>
  <r>
    <s v="SAVI - NABIIHAH - May's Shop"/>
    <s v="VACOAS LA CAVERNE, Mauritius"/>
    <s v="VACOAS LA CAVERNE, Mauritius"/>
    <s v="VACOAS LA CAVERNE, Mauritius"/>
    <n v="57643420"/>
    <s v="NABIIHAH - May's Shop"/>
    <x v="71"/>
    <d v="2025-08-29T00:00:00"/>
    <n v="100"/>
    <m/>
    <m/>
  </r>
  <r>
    <s v="REKHA - NABIIHAH - May's Shop"/>
    <s v="VACOAS, Mauritius"/>
    <s v="VACOAS, Mauritius"/>
    <s v="VACOAS, Mauritius"/>
    <n v="57524979"/>
    <s v="NABIIHAH - May's Shop"/>
    <x v="71"/>
    <d v="2025-08-29T00:00:00"/>
    <n v="100"/>
    <m/>
    <m/>
  </r>
  <r>
    <s v="PREMILLA - NABIIHAH - May's Shop"/>
    <s v="BEAU SONGES, Mauritius"/>
    <s v="BEAU SONGES, Mauritius"/>
    <s v="BEAU SONGES, Mauritius"/>
    <n v="52576414"/>
    <s v="NABIIHAH - May's Shop"/>
    <x v="71"/>
    <d v="2025-09-01T00:00:00"/>
    <n v="100"/>
    <m/>
    <m/>
  </r>
  <r>
    <s v="NORMELA - NABIIHAH - May's Shop"/>
    <s v="QBORNES, Mauritius"/>
    <s v="QBORNES, Mauritius"/>
    <s v="QBORNES, Mauritius"/>
    <n v="59495016"/>
    <s v="NABIIHAH - May's Shop"/>
    <x v="71"/>
    <d v="2025-08-29T00:00:00"/>
    <n v="100"/>
    <m/>
    <m/>
  </r>
  <r>
    <s v="NAWMEE - NABIIHAH - May's Shop"/>
    <s v="QBORNES, Mauritius"/>
    <s v="QBORNES, Mauritius"/>
    <s v="QBORNES, Mauritius"/>
    <n v="59230524"/>
    <s v="NABIIHAH - May's Shop"/>
    <x v="71"/>
    <s v="Cancelled"/>
    <n v="100"/>
    <m/>
    <m/>
  </r>
  <r>
    <s v="NH SNACKS - NABIIHAH - May's Shop"/>
    <s v="ROSEHILL, Mauritius"/>
    <s v="ROSEHILL, Mauritius"/>
    <s v="ROSEHILL, Mauritius"/>
    <n v="59181873"/>
    <s v="NABIIHAH - May's Shop"/>
    <x v="71"/>
    <d v="2025-09-01T00:00:00"/>
    <n v="100"/>
    <m/>
    <m/>
  </r>
  <r>
    <s v="CRESTA - NABIIHAH - May's Shop"/>
    <s v="ROSEHILL, Mauritius"/>
    <s v="ROSEHILL, Mauritius"/>
    <s v="ROSEHILL, Mauritius"/>
    <n v="59217901"/>
    <s v="NABIIHAH - May's Shop"/>
    <x v="71"/>
    <d v="2025-09-01T00:00:00"/>
    <n v="100"/>
    <m/>
    <m/>
  </r>
  <r>
    <s v="PRIYA DALLENA - NABIIHAH - May's Shop"/>
    <s v="ROSEHILL, 529 SEENEEVASEN AVE TREFLES ROSEHILL, Mauritius"/>
    <s v="ROSEHILL, 529 SEENEEVASEN AVE TREFLES ROSEHILL, Mauritius"/>
    <s v="ROSEHILL, 529 SEENEEVASEN AVE TREFLES ROSEHILL, Mauritius"/>
    <n v="54814669"/>
    <s v="NABIIHAH - May's Shop"/>
    <x v="71"/>
    <d v="2025-09-01T00:00:00"/>
    <n v="100"/>
    <m/>
    <m/>
  </r>
  <r>
    <s v="NAJAAH - NABIIHAH - May's Shop"/>
    <s v="EBENE, Mauritius"/>
    <s v="EBENE, Mauritius"/>
    <s v="EBENE, Mauritius"/>
    <n v="57191441"/>
    <s v="NABIIHAH - May's Shop"/>
    <x v="71"/>
    <d v="2025-09-01T00:00:00"/>
    <n v="100"/>
    <m/>
    <m/>
  </r>
  <r>
    <s v="JEENA - NABIIHAH - May's Shop"/>
    <s v="EBENE, Mauritius"/>
    <s v="EBENE, Mauritius"/>
    <s v="EBENE, Mauritius"/>
    <n v="58110347"/>
    <s v="NABIIHAH - May's Shop"/>
    <x v="71"/>
    <d v="2025-09-01T00:00:00"/>
    <n v="100"/>
    <m/>
    <m/>
  </r>
  <r>
    <s v="PRISHA - NABIIHAH - May's Shop"/>
    <s v="EBENE, Mauritius"/>
    <s v="EBENE, Mauritius"/>
    <s v="EBENE, Mauritius"/>
    <n v="54953948"/>
    <s v="NABIIHAH - May's Shop"/>
    <x v="71"/>
    <d v="2025-09-01T00:00:00"/>
    <n v="100"/>
    <m/>
    <m/>
  </r>
  <r>
    <s v="SHALINI - NABIIHAH - May's Shop"/>
    <s v="REDUIT, Mauritius"/>
    <s v="REDUIT, Mauritius"/>
    <s v="REDUIT, Mauritius"/>
    <n v="57565859"/>
    <s v="NABIIHAH - May's Shop"/>
    <x v="71"/>
    <d v="2025-09-01T00:00:00"/>
    <n v="100"/>
    <m/>
    <m/>
  </r>
  <r>
    <s v="WESH - NABIIHAH - May's Shop"/>
    <s v="ST PIERRE, Mauritius"/>
    <s v="ST PIERRE, Mauritius"/>
    <s v="ST PIERRE, Mauritius"/>
    <n v="59064489"/>
    <s v="NABIIHAH - May's Shop"/>
    <x v="71"/>
    <d v="2025-09-01T00:00:00"/>
    <n v="100"/>
    <m/>
    <m/>
  </r>
  <r>
    <s v="ADVANCE DERMA - NABIIHAH - May's Shop"/>
    <s v="ST PIERRE, Mauritius"/>
    <s v="ST PIERRE, Mauritius"/>
    <s v="ST PIERRE, Mauritius"/>
    <n v="59151836"/>
    <s v="NABIIHAH - May's Shop"/>
    <x v="71"/>
    <d v="2025-09-01T00:00:00"/>
    <n v="100"/>
    <m/>
    <m/>
  </r>
  <r>
    <s v="TANOOJA - NABIIHAH - May's Shop"/>
    <s v="MOKA, MONTAGE ORY LE BOCAGE MOKA, Mauritius"/>
    <s v="MOKA, MONTAGE ORY LE BOCAGE MOKA, Mauritius"/>
    <s v="MOKA, MONTAGE ORY LE BOCAGE MOKA, Mauritius"/>
    <n v="57961218"/>
    <s v="NABIIHAH - May's Shop"/>
    <x v="71"/>
    <d v="2025-09-01T00:00:00"/>
    <n v="100"/>
    <m/>
    <m/>
  </r>
  <r>
    <s v="THANS - NABIIHAH - May's Shop"/>
    <s v="BEAU BASSIN, 5,REMY OLLIER ST, BEAU BASSIN, Mauritius"/>
    <s v="BEAU BASSIN, 5,REMY OLLIER ST, BEAU BASSIN, Mauritius"/>
    <s v="BEAU BASSIN, 5,REMY OLLIER ST, BEAU BASSIN, Mauritius"/>
    <n v="59235798"/>
    <s v="NABIIHAH - May's Shop"/>
    <x v="71"/>
    <d v="2025-09-01T00:00:00"/>
    <n v="100"/>
    <m/>
    <m/>
  </r>
  <r>
    <s v="JOSH - NABIIHAH - May's Shop"/>
    <s v="BEAU BASSIN, Mauritius"/>
    <s v="BEAU BASSIN, Mauritius"/>
    <s v="BEAU BASSIN, Mauritius"/>
    <n v="54281762"/>
    <s v="NABIIHAH - May's Shop"/>
    <x v="71"/>
    <d v="2025-09-01T00:00:00"/>
    <n v="100"/>
    <m/>
    <m/>
  </r>
  <r>
    <s v="MAMTA - NABIIHAH - May's Shop"/>
    <s v="COROMANDEL, Mauritius"/>
    <s v="COROMANDEL, Mauritius"/>
    <s v="COROMANDEL, Mauritius"/>
    <n v="59897541"/>
    <s v="NABIIHAH - May's Shop"/>
    <x v="71"/>
    <d v="2025-09-01T00:00:00"/>
    <n v="100"/>
    <m/>
    <m/>
  </r>
  <r>
    <s v="CHICADEE/AYMAN - NABIIHAH - May's Shop"/>
    <s v="COROMANDEL, Mauritius"/>
    <s v="COROMANDEL, Mauritius"/>
    <s v="COROMANDEL, Mauritius"/>
    <n v="58064951"/>
    <s v="NABIIHAH - May's Shop"/>
    <x v="71"/>
    <d v="2025-09-01T00:00:00"/>
    <n v="100"/>
    <m/>
    <m/>
  </r>
  <r>
    <s v="SHARMILA - NABIIHAH - May's Shop"/>
    <s v="POINTE AUX SABLES, Mauritius"/>
    <s v="POINTE AUX SABLES, Mauritius"/>
    <s v="POINTE AUX SABLES, Mauritius"/>
    <n v="57670359"/>
    <s v="NABIIHAH - May's Shop"/>
    <x v="71"/>
    <d v="2025-09-01T00:00:00"/>
    <n v="100"/>
    <m/>
    <m/>
  </r>
  <r>
    <s v="DEVINE LOTUS - NABIIHAH - May's Shop"/>
    <s v="PAILLES, GUIBIES RD, PAILLES, Mauritius"/>
    <s v="PAILLES, GUIBIES RD, PAILLES, Mauritius"/>
    <s v="PAILLES, GUIBIES RD, PAILLES, Mauritius"/>
    <n v="57953043"/>
    <s v="NABIIHAH - May's Shop"/>
    <x v="71"/>
    <d v="2025-09-01T00:00:00"/>
    <n v="100"/>
    <m/>
    <m/>
  </r>
  <r>
    <s v="SIA-RS - NABIIHAH - May's Shop"/>
    <s v="PAILLES, Mauritius"/>
    <s v="PAILLES, Mauritius"/>
    <s v="PAILLES, Mauritius"/>
    <n v="59153190"/>
    <s v="NABIIHAH - May's Shop"/>
    <x v="71"/>
    <d v="2025-09-01T00:00:00"/>
    <n v="100"/>
    <m/>
    <m/>
  </r>
  <r>
    <s v="SHAHTAJ - NABIIHAH - May's Shop"/>
    <s v="PAILLES, Mauritius"/>
    <s v="PAILLES, Mauritius"/>
    <s v="PAILLES, Mauritius"/>
    <n v="57169782"/>
    <s v="NABIIHAH - May's Shop"/>
    <x v="71"/>
    <d v="2025-09-01T00:00:00"/>
    <n v="100"/>
    <m/>
    <m/>
  </r>
  <r>
    <s v="HAYRON - NABIIHAH - May's Shop"/>
    <s v="BEL VILLAGE /(ST CROIX after 4.30), Mauritius"/>
    <s v="BEL VILLAGE /(ST CROIX after 4.30), Mauritius"/>
    <s v="BEL VILLAGE /(ST CROIX after 4.30), Mauritius"/>
    <n v="57628544"/>
    <s v="NABIIHAH - May's Shop"/>
    <x v="71"/>
    <d v="2025-09-01T00:00:00"/>
    <n v="100"/>
    <m/>
    <m/>
  </r>
  <r>
    <s v="ANNE - NABIIHAH - May's Shop"/>
    <s v="CASSIS, Mauritius"/>
    <s v="CASSIS, Mauritius"/>
    <s v="CASSIS, Mauritius"/>
    <n v="52547066"/>
    <s v="NABIIHAH - May's Shop"/>
    <x v="71"/>
    <d v="2025-09-01T00:00:00"/>
    <n v="100"/>
    <m/>
    <m/>
  </r>
  <r>
    <s v="KETTY - NABIIHAH - May's Shop"/>
    <s v="CASSIS, Mauritius"/>
    <s v="CASSIS, Mauritius"/>
    <s v="CASSIS, Mauritius"/>
    <n v="57023168"/>
    <s v="NABIIHAH - May's Shop"/>
    <x v="71"/>
    <d v="2025-09-01T00:00:00"/>
    <n v="100"/>
    <m/>
    <m/>
  </r>
  <r>
    <s v="KARISHMA - NABIIHAH - May's Shop"/>
    <s v="MER ROUGE, Mauritius"/>
    <s v="MER ROUGE, Mauritius"/>
    <s v="MER ROUGE, Mauritius"/>
    <n v="57519228"/>
    <s v="NABIIHAH - May's Shop"/>
    <x v="71"/>
    <d v="2025-09-01T00:00:00"/>
    <n v="100"/>
    <m/>
    <m/>
  </r>
  <r>
    <s v="ANNICK  - NABIIHAH - May's Shop"/>
    <s v="PAMPLEMOUSSE, Mauritius"/>
    <s v="PAMPLEMOUSSE, Mauritius"/>
    <s v="PAMPLEMOUSSE, Mauritius"/>
    <n v="59188979"/>
    <s v="NABIIHAH - May's Shop"/>
    <x v="71"/>
    <d v="2025-09-01T00:00:00"/>
    <n v="100"/>
    <m/>
    <m/>
  </r>
  <r>
    <s v="KD - NABIIHAH - May's Shop"/>
    <s v="BALACLAVA, WESTIN HOTEL BALACLAVA, Mauritius"/>
    <s v="BALACLAVA, WESTIN HOTEL BALACLAVA, Mauritius"/>
    <s v="BALACLAVA, WESTIN HOTEL BALACLAVA, Mauritius"/>
    <n v="57917236"/>
    <s v="NABIIHAH - May's Shop"/>
    <x v="71"/>
    <d v="2025-09-01T00:00:00"/>
    <n v="100"/>
    <m/>
    <m/>
  </r>
  <r>
    <s v="ARASI - NABIIHAH - May's Shop"/>
    <s v="TRIOLET, PRINCE OF Wales st TRIOLET, Mauritius"/>
    <s v="TRIOLET, PRINCE OF Wales st TRIOLET, Mauritius"/>
    <s v="TRIOLET, PRINCE OF Wales st TRIOLET, Mauritius"/>
    <n v="57050487"/>
    <s v="NABIIHAH - May's Shop"/>
    <x v="71"/>
    <d v="2025-09-01T00:00:00"/>
    <n v="100"/>
    <m/>
    <m/>
  </r>
  <r>
    <s v="SHEILA SEPAUL - NABIIHAH - May's Shop"/>
    <s v="TROLET, ROYAL RD 8TH MIL, TROLET (NEAR NIC), Mauritius"/>
    <s v="TROLET, ROYAL RD 8TH MIL, TROLET (NEAR NIC), Mauritius"/>
    <s v="TROLET, ROYAL RD 8TH MIL, TROLET (NEAR NIC), Mauritius"/>
    <n v="57551335"/>
    <s v="NABIIHAH - May's Shop"/>
    <x v="71"/>
    <d v="2025-09-01T00:00:00"/>
    <n v="100"/>
    <m/>
    <m/>
  </r>
  <r>
    <s v="KAYLA - NABIIHAH - May's Shop"/>
    <s v="TROLET, shiv prakash mandir lane TRIOLET, Mauritius"/>
    <s v="TROLET, shiv prakash mandir lane TRIOLET, Mauritius"/>
    <s v="TROLET, shiv prakash mandir lane TRIOLET, Mauritius"/>
    <n v="59230819"/>
    <s v="NABIIHAH - May's Shop"/>
    <x v="71"/>
    <d v="2025-09-01T00:00:00"/>
    <n v="100"/>
    <m/>
    <m/>
  </r>
  <r>
    <s v="JESS JESS - NABIIHAH - May's Shop"/>
    <s v="PLAINE DES PAPAYES, Mauritius"/>
    <s v="PLAINE DES PAPAYES, Mauritius"/>
    <s v="PLAINE DES PAPAYES, Mauritius"/>
    <n v="54751291"/>
    <s v="NABIIHAH - May's Shop"/>
    <x v="71"/>
    <d v="2025-09-01T00:00:00"/>
    <n v="100"/>
    <m/>
    <m/>
  </r>
  <r>
    <s v="MOONSAMY - NABIIHAH - May's Shop"/>
    <s v="GRAND BAY, Mauritius"/>
    <s v="GRAND BAY, Mauritius"/>
    <s v="GRAND BAY, Mauritius"/>
    <n v="57877841"/>
    <s v="NABIIHAH - May's Shop"/>
    <x v="71"/>
    <d v="2025-09-01T00:00:00"/>
    <n v="100"/>
    <m/>
    <m/>
  </r>
  <r>
    <s v="HAPPINESS - NABIIHAH - May's Shop"/>
    <s v="GRAND BAY, Mauritius"/>
    <s v="GRAND BAY, Mauritius"/>
    <s v="GRAND BAY, Mauritius"/>
    <n v="58670585"/>
    <s v="NABIIHAH - May's Shop"/>
    <x v="71"/>
    <d v="2025-09-01T00:00:00"/>
    <n v="100"/>
    <m/>
    <m/>
  </r>
  <r>
    <s v="SNEHA - NABIIHAH - May's Shop"/>
    <s v="UPPER VALE, Mauritius"/>
    <s v="UPPER VALE, Mauritius"/>
    <s v="UPPER VALE, Mauritius"/>
    <n v="59895766"/>
    <s v="NABIIHAH - May's Shop"/>
    <x v="71"/>
    <d v="2025-09-01T00:00:00"/>
    <n v="100"/>
    <m/>
    <m/>
  </r>
  <r>
    <s v="TANYA - NABIIHAH - May's Shop"/>
    <s v="PETIT RAFFRAY, Mauritius"/>
    <s v="PETIT RAFFRAY, Mauritius"/>
    <s v="PETIT RAFFRAY, Mauritius"/>
    <n v="57967615"/>
    <s v="NABIIHAH - May's Shop"/>
    <x v="71"/>
    <d v="2025-09-01T00:00:00"/>
    <n v="100"/>
    <m/>
    <m/>
  </r>
  <r>
    <s v="MALIKA - NABIIHAH - May's Shop"/>
    <s v="L'ESPERENCE TREBUCHET, Mauritius"/>
    <s v="L'ESPERENCE TREBUCHET, Mauritius"/>
    <s v="L'ESPERENCE TREBUCHET, Mauritius"/>
    <n v="57317485"/>
    <s v="NABIIHAH - May's Shop"/>
    <x v="71"/>
    <d v="2025-09-01T00:00:00"/>
    <n v="100"/>
    <m/>
    <m/>
  </r>
  <r>
    <s v="MEENAXI - NABIIHAH - May's Shop"/>
    <s v="ESPERENCE PITON, Mauritius"/>
    <s v="ESPERENCE PITON, Mauritius"/>
    <s v="ESPERENCE PITON, Mauritius"/>
    <n v="57628150"/>
    <s v="NABIIHAH - May's Shop"/>
    <x v="71"/>
    <d v="2025-09-01T00:00:00"/>
    <n v="100"/>
    <m/>
    <m/>
  </r>
  <r>
    <s v="MALINI - NABIIHAH - May's Shop"/>
    <s v="RIV DU REMPART, Mauritius"/>
    <s v="RIV DU REMPART, Mauritius"/>
    <s v="RIV DU REMPART, Mauritius"/>
    <n v="57979108"/>
    <s v="NABIIHAH - May's Shop"/>
    <x v="71"/>
    <d v="2025-09-01T00:00:00"/>
    <n v="100"/>
    <m/>
    <m/>
  </r>
  <r>
    <s v="BHAVNA - NABIIHAH - May's Shop"/>
    <s v="RIV DU REMPART, Mauritius"/>
    <s v="RIV DU REMPART, Mauritius"/>
    <s v="RIV DU REMPART, Mauritius"/>
    <n v="57098642"/>
    <s v="NABIIHAH - May's Shop"/>
    <x v="71"/>
    <d v="2025-09-01T00:00:00"/>
    <n v="100"/>
    <m/>
    <m/>
  </r>
  <r>
    <s v="KAVITA - NABIIHAH - May's Shop"/>
    <s v="GOODLAND, Mauritius"/>
    <s v="GOODLAND, Mauritius"/>
    <s v="GOODLAND, Mauritius"/>
    <n v="57915451"/>
    <s v="NABIIHAH - May's Shop"/>
    <x v="71"/>
    <d v="2025-08-29T00:00:00"/>
    <n v="100"/>
    <m/>
    <m/>
  </r>
  <r>
    <s v="PARDESI - NABIIHAH - May's Shop"/>
    <s v="BRISEE VERDIER, Mauritius"/>
    <s v="BRISEE VERDIER, Mauritius"/>
    <s v="BRISEE VERDIER, Mauritius"/>
    <n v="57096981"/>
    <s v="NABIIHAH - May's Shop"/>
    <x v="71"/>
    <d v="2025-09-01T00:00:00"/>
    <n v="100"/>
    <m/>
    <m/>
  </r>
  <r>
    <s v="ASHWINA - NABIIHAH - May's Shop"/>
    <s v="BON ACCEUIL, Mauritius"/>
    <s v="BON ACCEUIL, Mauritius"/>
    <s v="BON ACCEUIL, Mauritius"/>
    <n v="57048813"/>
    <s v="NABIIHAH - May's Shop"/>
    <x v="71"/>
    <d v="2025-09-01T00:00:00"/>
    <n v="100"/>
    <m/>
    <m/>
  </r>
  <r>
    <s v="BEB - NABIIHAH - May's Shop"/>
    <s v="CENTRAL FLACQ, Mauritius"/>
    <s v="CENTRAL FLACQ, Mauritius"/>
    <s v="CENTRAL FLACQ, Mauritius"/>
    <n v="59026136"/>
    <s v="NABIIHAH - May's Shop"/>
    <x v="71"/>
    <d v="2025-09-01T00:00:00"/>
    <n v="100"/>
    <m/>
    <m/>
  </r>
  <r>
    <s v="NATASHA - NABIIHAH - May's Shop"/>
    <s v="FLACQ, Mauritius"/>
    <s v="FLACQ, Mauritius"/>
    <s v="FLACQ, Mauritius"/>
    <n v="57611902"/>
    <s v="NABIIHAH - May's Shop"/>
    <x v="71"/>
    <d v="2025-09-01T00:00:00"/>
    <n v="100"/>
    <m/>
    <m/>
  </r>
  <r>
    <s v="JURRY - NABIIHAH - May's Shop"/>
    <s v="BEL AIR RIVIER SECHE, Mauritius"/>
    <s v="BEL AIR RIVIER SECHE, Mauritius"/>
    <s v="BEL AIR RIVIER SECHE, Mauritius"/>
    <n v="57835363"/>
    <s v="NABIIHAH - May's Shop"/>
    <x v="71"/>
    <d v="2025-09-01T00:00:00"/>
    <n v="100"/>
    <m/>
    <m/>
  </r>
  <r>
    <s v="SHILPA - NABIIHAH - May's Shop"/>
    <s v="BEL AIR, Mauritius"/>
    <s v="BEL AIR, Mauritius"/>
    <s v="BEL AIR, Mauritius"/>
    <n v="59114101"/>
    <s v="NABIIHAH - May's Shop"/>
    <x v="71"/>
    <d v="2025-09-01T00:00:00"/>
    <n v="100"/>
    <m/>
    <m/>
  </r>
  <r>
    <s v="SHAKILA - NABIIHAH - May's Shop"/>
    <s v="BEL AIR, Mauritius"/>
    <s v="BEL AIR, Mauritius"/>
    <s v="BEL AIR, Mauritius"/>
    <n v="57217237"/>
    <s v="NABIIHAH - May's Shop"/>
    <x v="71"/>
    <d v="2025-09-01T00:00:00"/>
    <n v="100"/>
    <m/>
    <m/>
  </r>
  <r>
    <s v="MAGESHWARY - NABIIHAH - May's Shop"/>
    <s v="TAGORE RD ST JULLIEN VILLAGE, Mauritius"/>
    <s v="TAGORE RD ST JULLIEN VILLAGE, Mauritius"/>
    <s v="TAGORE RD ST JULLIEN VILLAGE, Mauritius"/>
    <n v="59093155"/>
    <s v="NABIIHAH - May's Shop"/>
    <x v="71"/>
    <d v="2025-09-01T00:00:00"/>
    <n v="100"/>
    <m/>
    <m/>
  </r>
  <r>
    <s v="AFSHA - NABIIHAH - May's Shop"/>
    <s v="QUARTIER MILITAIRE, Mauritius"/>
    <s v="QUARTIER MILITAIRE, Mauritius"/>
    <s v="QUARTIER MILITAIRE, Mauritius"/>
    <n v="57716080"/>
    <s v="NABIIHAH - May's Shop"/>
    <x v="71"/>
    <d v="2025-09-01T00:00:00"/>
    <n v="100"/>
    <m/>
    <m/>
  </r>
  <r>
    <s v="THAT’S GIRL/MINOO - NABIIHAH - May's Shop"/>
    <s v="ALMA, VERDUN, Mauritius"/>
    <s v="ALMA, VERDUN, Mauritius"/>
    <s v="ALMA, VERDUN, Mauritius"/>
    <n v="59251761"/>
    <s v="NABIIHAH - May's Shop"/>
    <x v="71"/>
    <d v="2025-09-01T00:00:00"/>
    <n v="100"/>
    <m/>
    <m/>
  </r>
  <r>
    <s v="BAL - NABIIHAH - May's Shop"/>
    <s v="RIVIERE NOIRE ROYAL RD, Mauritius"/>
    <s v="RIVIERE NOIRE ROYAL RD, Mauritius"/>
    <s v="RIVIERE NOIRE ROYAL RD, Mauritius"/>
    <n v="57853135"/>
    <s v="NABIIHAH - May's Shop"/>
    <x v="71"/>
    <d v="2025-09-01T00:00:00"/>
    <n v="300"/>
    <m/>
    <m/>
  </r>
  <r>
    <s v="YANA - NABIIHAH - May's Shop"/>
    <s v="FLIC EN FLAC, Mauritius"/>
    <s v="FLIC EN FLAC, Mauritius"/>
    <s v="FLIC EN FLAC, Mauritius"/>
    <n v="55029138"/>
    <s v="NABIIHAH - May's Shop"/>
    <x v="71"/>
    <d v="2025-09-01T00:00:00"/>
    <n v="100"/>
    <m/>
    <m/>
  </r>
  <r>
    <s v="SYLVETTE - NABIIHAH - May's Shop"/>
    <s v="FLIC EN FLAC, Mauritius"/>
    <s v="FLIC EN FLAC, Mauritius"/>
    <s v="FLIC EN FLAC, Mauritius"/>
    <n v="59403788"/>
    <s v="NABIIHAH - May's Shop"/>
    <x v="71"/>
    <d v="2025-09-01T00:00:00"/>
    <n v="100"/>
    <m/>
    <m/>
  </r>
  <r>
    <s v="Natasha Greedharry"/>
    <s v="13 Malcom de Chazal St, Beau Vallon, Mahebourg"/>
    <s v="South"/>
    <s v="Mahebourg"/>
    <n v="57854751"/>
    <s v="Nab-Makeup"/>
    <x v="72"/>
    <d v="2025-08-29T00:00:00"/>
    <n v="150"/>
    <m/>
    <m/>
  </r>
  <r>
    <s v="Tanushree Dowlut-Gopaul"/>
    <s v="Sharp Shooter Lane, Mgr Leen Avenue, Bassin"/>
    <m/>
    <s v="Bassin"/>
    <n v="57041543"/>
    <s v="Nab-Makeup"/>
    <x v="72"/>
    <d v="2025-08-29T00:00:00"/>
    <n v="150"/>
    <m/>
    <m/>
  </r>
  <r>
    <s v="Marie Amelie Ariana Labonne"/>
    <s v="Le Reef Shop Ltd, Royal Road, La Gaulette"/>
    <s v="West"/>
    <s v="La Gaulette"/>
    <n v="58598832"/>
    <s v="Nab-Makeup"/>
    <x v="72"/>
    <d v="2025-09-01T00:00:00"/>
    <n v="150"/>
    <m/>
    <m/>
  </r>
  <r>
    <s v="Anishta Doorga"/>
    <s v="3 Prince Alfred, Tranquebar, Port Louis"/>
    <s v="Port Louis"/>
    <s v="Tranquebar"/>
    <n v="58381496"/>
    <s v="Nab-Makeup"/>
    <x v="72"/>
    <d v="2025-09-01T00:00:00"/>
    <n v="150"/>
    <m/>
    <m/>
  </r>
  <r>
    <s v="Mr. Hosenbocus Mohamed Farhaz"/>
    <s v="Camp Mapou Road, Henrietta, Vacoas"/>
    <s v="Centre"/>
    <s v="Vacoas"/>
    <s v="59753479 / 59760666"/>
    <s v="Nab-Makeup"/>
    <x v="72"/>
    <d v="2025-09-01T00:00:00"/>
    <n v="150"/>
    <m/>
    <m/>
  </r>
  <r>
    <s v="Nundini Bysooa"/>
    <s v="Royal Road, Isidore-Rose"/>
    <m/>
    <s v="Isidore-Rose"/>
    <n v="57651014"/>
    <s v="Nab-Makeup"/>
    <x v="72"/>
    <d v="2025-09-01T00:00:00"/>
    <n v="150"/>
    <m/>
    <m/>
  </r>
  <r>
    <s v="Yeshna Sookun"/>
    <s v="Gandhi Bhawan Street, Roches Noires"/>
    <s v="North"/>
    <s v="Roches Noires"/>
    <n v="58172285"/>
    <s v="Nab-Makeup"/>
    <x v="72"/>
    <d v="2025-09-01T00:00:00"/>
    <n v="150"/>
    <m/>
    <m/>
  </r>
  <r>
    <s v="Anisha Puran"/>
    <s v="Royal Road, Caroline, Bel Air Rivière Seche"/>
    <s v="East"/>
    <s v="Bel Air R. Seche"/>
    <n v="54965550"/>
    <s v="Nab-Makeup"/>
    <x v="72"/>
    <d v="2025-09-01T00:00:00"/>
    <n v="150"/>
    <m/>
    <m/>
  </r>
  <r>
    <s v="Cheronah Aumeer"/>
    <s v="Sskidz Clothing, Curepipe Centre, Curepipe"/>
    <s v="Centre"/>
    <s v="Curepipe"/>
    <n v="59163451"/>
    <s v="Nab-Makeup"/>
    <x v="72"/>
    <d v="2025-08-29T00:00:00"/>
    <n v="150"/>
    <m/>
    <m/>
  </r>
  <r>
    <s v="Dushila Prehagg"/>
    <s v="Maurel Road, Rivière du Rempart"/>
    <s v="North"/>
    <s v="R. du Rempart"/>
    <n v="57570693"/>
    <s v="Nab-Makeup"/>
    <x v="72"/>
    <d v="2025-09-01T00:00:00"/>
    <n v="150"/>
    <m/>
    <m/>
  </r>
  <r>
    <s v="Geetisha Sandhoo"/>
    <s v="Royal Road, Petit Raffray"/>
    <s v="North"/>
    <s v="Petit Raffray"/>
    <n v="57722084"/>
    <s v="Nab-Makeup"/>
    <x v="72"/>
    <d v="2025-09-01T00:00:00"/>
    <n v="150"/>
    <m/>
    <m/>
  </r>
  <r>
    <s v="Hansika Moneeram"/>
    <s v="Caroline Chemin La Pompe, Bel Air"/>
    <s v="East"/>
    <s v="Bel Air"/>
    <n v="59224843"/>
    <s v="Nab-Makeup"/>
    <x v="72"/>
    <d v="2025-09-01T00:00:00"/>
    <n v="150"/>
    <m/>
    <m/>
  </r>
  <r>
    <s v="Kulsid Andoo"/>
    <s v="13, Manganlall Desai, Beau Bassin"/>
    <s v="Centre"/>
    <s v="Beau Bassin"/>
    <n v="57442512"/>
    <s v="Nab-Makeup"/>
    <x v="72"/>
    <d v="2025-08-29T00:00:00"/>
    <n v="150"/>
    <m/>
    <m/>
  </r>
  <r>
    <s v="Mishna Lokhun"/>
    <s v="Cremation Road, Tyack"/>
    <s v="South"/>
    <s v="Tyack"/>
    <n v="57605263"/>
    <s v="Nab-Makeup"/>
    <x v="72"/>
    <d v="2025-08-29T00:00:00"/>
    <n v="150"/>
    <m/>
    <m/>
  </r>
  <r>
    <s v="Naiimah Kinoo"/>
    <s v="Perrier Road, Glen Park, Vacoas"/>
    <s v="Centre"/>
    <s v="Vacoas"/>
    <n v="58095149"/>
    <s v="Nab-Makeup"/>
    <x v="72"/>
    <d v="2025-08-29T00:00:00"/>
    <n v="150"/>
    <m/>
    <m/>
  </r>
  <r>
    <s v="Naseelah Hossen"/>
    <s v="St Antoine Camp Fouquereaux, C/O H Dursun Store, Phoenix"/>
    <s v="Centre"/>
    <s v="Phoenix"/>
    <n v="59774022"/>
    <s v="Nab-Makeup"/>
    <x v="72"/>
    <d v="2025-08-29T00:00:00"/>
    <n v="150"/>
    <m/>
    <m/>
  </r>
  <r>
    <s v="Nasseeda Soreefan"/>
    <s v="Balance Road, Plaine Magnien"/>
    <s v="South"/>
    <s v="Plaine Magnien"/>
    <n v="57765108"/>
    <s v="Nab-Makeup"/>
    <x v="72"/>
    <d v="2025-08-29T00:00:00"/>
    <n v="150"/>
    <m/>
    <m/>
  </r>
  <r>
    <s v="Nazia Sunsary"/>
    <s v="Saint Ursule Road, Centre De Flacq"/>
    <s v="East"/>
    <s v="Flacq"/>
    <n v="57901986"/>
    <s v="Nab-Makeup"/>
    <x v="72"/>
    <d v="2025-09-01T00:00:00"/>
    <n v="150"/>
    <m/>
    <m/>
  </r>
  <r>
    <s v="Purdasy Firdaus"/>
    <s v="Avenue de Palmier, Camp Diable"/>
    <s v="South"/>
    <s v="Camp Diable"/>
    <n v="58895043"/>
    <s v="Nab-Makeup"/>
    <x v="72"/>
    <d v="2025-08-29T00:00:00"/>
    <n v="150"/>
    <m/>
    <m/>
  </r>
  <r>
    <s v="Roushmine Auckburally"/>
    <s v="26, Koenig Lane, Phoenix"/>
    <s v="Centre"/>
    <s v="Phoenix"/>
    <n v="57620728"/>
    <s v="Nab-Makeup"/>
    <x v="72"/>
    <d v="2025-09-01T00:00:00"/>
    <n v="150"/>
    <m/>
    <m/>
  </r>
  <r>
    <s v="Ruksaar Durgahee"/>
    <s v="Avenue Perrche, 3 Pailles"/>
    <s v="Port Louis"/>
    <s v="3 Pailles"/>
    <n v="58963808"/>
    <s v="Nab-Makeup"/>
    <x v="72"/>
    <d v="2025-09-01T00:00:00"/>
    <n v="150"/>
    <m/>
    <m/>
  </r>
  <r>
    <s v="Seethamah Nussaibah"/>
    <s v="Vingta Lane No.1, Vacoas-Phoenix, Vacoas"/>
    <s v="Centre"/>
    <s v="Vacoas"/>
    <n v="58186909"/>
    <s v="Nab-Makeup"/>
    <x v="72"/>
    <d v="2025-08-29T00:00:00"/>
    <n v="150"/>
    <m/>
    <m/>
  </r>
  <r>
    <s v="Shivam Baboolall"/>
    <s v="Swaraj Road, Petit Raffray"/>
    <s v="North"/>
    <s v="Petit Raffray"/>
    <n v="58346491"/>
    <s v="Nab-Makeup"/>
    <x v="72"/>
    <d v="2025-09-01T00:00:00"/>
    <n v="150"/>
    <m/>
    <m/>
  </r>
  <r>
    <s v="Yashni Keesoondoyal"/>
    <s v="Royal Rd, Quatre-Cocos, Flacq"/>
    <s v="East"/>
    <s v="Quatre Cocos"/>
    <n v="59451251"/>
    <s v="Nab-Makeup"/>
    <x v="72"/>
    <d v="2025-09-01T00:00:00"/>
    <n v="150"/>
    <m/>
    <m/>
  </r>
  <r>
    <s v="Akhmez Herburrun"/>
    <s v="Clinique Darne, Floreal (9am and noon or between 14.00 and 15.00.)"/>
    <s v="Floreal"/>
    <s v="Floreal"/>
    <n v="57733090"/>
    <s v="Nab-Makeup"/>
    <x v="72"/>
    <d v="2025-08-29T00:00:00"/>
    <n v="150"/>
    <m/>
    <m/>
  </r>
  <r>
    <s v="Chaaya Sobhee"/>
    <s v="7a, Mayer Street, Port Louis"/>
    <s v="Port Louis"/>
    <s v="Port Louis"/>
    <n v="59157334"/>
    <s v="Nab-Makeup"/>
    <x v="72"/>
    <d v="2025-09-01T00:00:00"/>
    <n v="150"/>
    <m/>
    <m/>
  </r>
  <r>
    <s v="Sherna Guness"/>
    <s v="Adrien Sauzier, Floreal"/>
    <s v="Floreal"/>
    <s v="Floreal"/>
    <n v="54229032"/>
    <s v="Nab-Makeup"/>
    <x v="72"/>
    <d v="2025-08-29T00:00:00"/>
    <n v="150"/>
    <m/>
    <m/>
  </r>
  <r>
    <s v="Sooraiya Motala"/>
    <s v="Beau Bassin"/>
    <s v="Beau Bassin"/>
    <s v="Beau Bassin"/>
    <s v="57824277 / 57608743"/>
    <s v="Nab-Makeup"/>
    <x v="72"/>
    <d v="2025-08-29T00:00:00"/>
    <n v="150"/>
    <m/>
    <m/>
  </r>
  <r>
    <s v="Bhavya Riddhi Ramkhelawon"/>
    <s v="Branch Road, New Grove c/o Les Bisounours, Grand Port"/>
    <s v="New Grove"/>
    <s v="New Grove"/>
    <n v="58348342"/>
    <s v="Nab-Makeup"/>
    <x v="72"/>
    <d v="2025-08-29T00:00:00"/>
    <n v="150"/>
    <m/>
    <m/>
  </r>
  <r>
    <s v="Nitasha Ittoo Ramgoolam"/>
    <s v="Mosque Rd, Tyack"/>
    <s v="Tyack"/>
    <s v="Tyack"/>
    <n v="57803463"/>
    <s v="Nab-Makeup"/>
    <x v="72"/>
    <d v="2025-08-29T00:00:00"/>
    <n v="150"/>
    <m/>
    <m/>
  </r>
  <r>
    <s v="Ramkaun Pratima Devi"/>
    <s v="Maheswar Nagri Road, 9th Mile, Triolet"/>
    <s v="Triolet"/>
    <s v="Triolet"/>
    <n v="57532722"/>
    <s v="OKASINA"/>
    <x v="73"/>
    <d v="2025-09-01T00:00:00"/>
    <n v="150"/>
    <m/>
    <m/>
  </r>
  <r>
    <s v="Manisha Margodon"/>
    <s v="Royal Road, Petit Raffray"/>
    <s v="Petit Raffray"/>
    <s v="Petit Raffray"/>
    <n v="59260102"/>
    <s v="OKASINA"/>
    <x v="73"/>
    <d v="2025-09-01T00:00:00"/>
    <n v="150"/>
    <m/>
    <m/>
  </r>
  <r>
    <s v="Emrith Sabeena"/>
    <s v="Mosque Road, 7th Mile, Triolet"/>
    <s v="Triolet"/>
    <s v="Triolet"/>
    <n v="58165751"/>
    <s v="OKASINA"/>
    <x v="73"/>
    <d v="2025-09-01T00:00:00"/>
    <n v="150"/>
    <m/>
    <m/>
  </r>
  <r>
    <s v="Sandhya Ramkhelawon"/>
    <s v="Royal Road, Mont Ida (Next to Post office)"/>
    <s v="Mont Ida"/>
    <s v="Mont Ida"/>
    <n v="57891564"/>
    <s v="OKASINA"/>
    <x v="73"/>
    <d v="2025-09-01T00:00:00"/>
    <n v="150"/>
    <m/>
    <m/>
  </r>
  <r>
    <s v="Anusha"/>
    <s v="Hospital SSRN, PAMPLEMOUSSES"/>
    <s v="PAMPLEMOUSSES"/>
    <s v="PAMPLEMOUSSES"/>
    <n v="52599150"/>
    <s v="OKASINA"/>
    <x v="73"/>
    <d v="2025-09-01T00:00:00"/>
    <n v="150"/>
    <m/>
    <m/>
  </r>
  <r>
    <s v="Mrs ANOOP PREMA DEVI"/>
    <s v="ROTIN LANE, PALMA ROAD, QUATRE BORNES"/>
    <s v="QUATRE BORNES"/>
    <s v="QUATRE BORNES"/>
    <n v="59177510"/>
    <s v="OKASINA"/>
    <x v="73"/>
    <d v="2025-09-01T00:00:00"/>
    <n v="150"/>
    <m/>
    <m/>
  </r>
  <r>
    <s v="Faezah Nauzeer"/>
    <s v="26, Impasse Gorah Issac, Port Louis"/>
    <s v="Port Louis"/>
    <s v="Port Louis"/>
    <n v="58384830"/>
    <s v="OKASINA"/>
    <x v="73"/>
    <d v="2025-09-01T00:00:00"/>
    <n v="150"/>
    <m/>
    <n v="2000"/>
  </r>
  <r>
    <s v="Amrita Gopaul"/>
    <s v="Carreau Lalliane, Seegum Lane, Vacoas"/>
    <s v="Vacoas"/>
    <s v="Vacoas"/>
    <n v="57607231"/>
    <s v="Timeless Trends"/>
    <x v="74"/>
    <s v="Pending"/>
    <n v="150"/>
    <m/>
    <n v="1149"/>
  </r>
  <r>
    <s v="Mrs Arzam Khan Bibi Sahimah"/>
    <s v="Latapie Road, Bon Accueil"/>
    <s v="Bon Accueil"/>
    <s v="Bon Accueil"/>
    <n v="57866786"/>
    <s v="OKASINA"/>
    <x v="73"/>
    <d v="2025-09-01T00:00:00"/>
    <n v="15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00">
  <r>
    <s v="Teesha Seechurn"/>
    <s v="Airport"/>
    <s v="Airport"/>
    <x v="0"/>
    <n v="55024122"/>
    <s v="Nab-Makeup"/>
    <x v="0"/>
    <d v="2025-07-31T00:00:00"/>
    <n v="150"/>
    <d v="2025-08-01T00:00:00"/>
  </r>
  <r>
    <s v="Sonali Bacorisen"/>
    <s v="Brick Empire Avenue, Morcellement Raffray, Albion"/>
    <s v="Black River"/>
    <x v="1"/>
    <n v="57032342"/>
    <s v="Nab-Makeup"/>
    <x v="1"/>
    <d v="2025-06-09T00:00:00"/>
    <n v="150"/>
    <d v="2025-07-02T00:00:00"/>
  </r>
  <r>
    <s v="Melissa Ducray"/>
    <s v="Avenue Albatross, Morcellement Raffray, Albion"/>
    <s v="Albion"/>
    <x v="1"/>
    <n v="57246901"/>
    <s v="Nab-Makeup"/>
    <x v="2"/>
    <d v="2025-07-07T00:00:00"/>
    <n v="150"/>
    <d v="2025-08-01T00:00:00"/>
  </r>
  <r>
    <s v="Manisha Sampath Burundayl"/>
    <s v="Avenue Lemonier, Morcellement Belle Vue Phare, Albion"/>
    <s v="Albion"/>
    <x v="1"/>
    <n v="59035497"/>
    <s v="Nab-Makeup"/>
    <x v="3"/>
    <d v="2025-07-21T00:00:00"/>
    <n v="150"/>
    <d v="2025-08-01T00:00:00"/>
  </r>
  <r>
    <s v="Amina"/>
    <s v="Albion"/>
    <s v="Albion"/>
    <x v="1"/>
    <n v="57274823"/>
    <s v="Vibezone Boutik"/>
    <x v="4"/>
    <d v="2025-08-05T00:00:00"/>
    <n v="150"/>
    <m/>
  </r>
  <r>
    <s v="Marie Celine Coret Dorcy"/>
    <s v="Morcellement Petite Bretagne, Albion"/>
    <s v="Albion"/>
    <x v="1"/>
    <n v="58251924"/>
    <s v="Nab-Makeup"/>
    <x v="5"/>
    <d v="2025-08-12T00:00:00"/>
    <n v="150"/>
    <m/>
  </r>
  <r>
    <s v="Veyshnavi Jaymungul"/>
    <s v="Royal Road, L'Esperance, Quartier Militaire"/>
    <s v="Alma / L'Esperence Quartier Militaire"/>
    <x v="2"/>
    <n v="59200530"/>
    <s v="Nab-Makeup"/>
    <x v="6"/>
    <d v="2025-08-04T00:00:00"/>
    <n v="150"/>
    <m/>
  </r>
  <r>
    <s v="THAT’S GIRL/MINOO - NABIIHAH - May's Shop"/>
    <s v="ALMA, VERDUN, Mauritius"/>
    <s v="ALMA, VERDUN, Mauritius"/>
    <x v="2"/>
    <n v="59251761"/>
    <s v="NABIIHAH - May's Shop"/>
    <x v="7"/>
    <d v="2025-09-01T00:00:00"/>
    <n v="100"/>
    <m/>
  </r>
  <r>
    <s v="Vanelli Modely Vyapooree"/>
    <s v="Royal Road, Amaury"/>
    <s v="South"/>
    <x v="3"/>
    <n v="59188047"/>
    <s v="Nab-Makeup"/>
    <x v="8"/>
    <d v="2025-05-01T00:00:00"/>
    <n v="150"/>
    <d v="2025-05-04T00:00:00"/>
  </r>
  <r>
    <s v="Vanelli Modely Vyapooree"/>
    <s v="Royal Road, Amaury"/>
    <s v="South"/>
    <x v="3"/>
    <n v="59188047"/>
    <s v="Nab-Makeup"/>
    <x v="9"/>
    <s v="Cancelled"/>
    <n v="0"/>
    <s v="Cancelled"/>
  </r>
  <r>
    <s v="Issuree Vishuddha"/>
    <s v="Road Shantiniketan, Amaury"/>
    <s v="Flacq"/>
    <x v="3"/>
    <n v="58396495"/>
    <s v="Nab-Makeup"/>
    <x v="1"/>
    <d v="2025-06-09T00:00:00"/>
    <n v="150"/>
    <d v="2025-07-02T00:00:00"/>
  </r>
  <r>
    <s v="Vanelli Modely Vyapooree"/>
    <s v="Royal Road, Amaury"/>
    <s v="Flacq"/>
    <x v="3"/>
    <n v="59188047"/>
    <s v="Nab-Makeup"/>
    <x v="1"/>
    <d v="2025-06-09T00:00:00"/>
    <n v="150"/>
    <d v="2025-07-02T00:00:00"/>
  </r>
  <r>
    <s v="Vanelli Modely Vyapooree"/>
    <s v="Royal Road, Amaury"/>
    <s v="Royal Road"/>
    <x v="3"/>
    <n v="59188047"/>
    <s v="Nab-Makeup"/>
    <x v="10"/>
    <d v="2025-06-23T00:00:00"/>
    <n v="150"/>
    <d v="2025-07-02T00:00:00"/>
  </r>
  <r>
    <s v="Ketsia Sawmynaden"/>
    <s v="Royal Road, Amaury"/>
    <s v="Riviere du Rempart"/>
    <x v="3"/>
    <n v="57999753"/>
    <s v="Nab-Makeup"/>
    <x v="11"/>
    <d v="2025-06-30T00:00:00"/>
    <n v="150"/>
    <d v="2025-07-02T00:00:00"/>
  </r>
  <r>
    <s v="Ketsia Sawmynaden"/>
    <s v="Royal Road, Amaury"/>
    <s v="Amaury"/>
    <x v="3"/>
    <n v="57999753"/>
    <s v="Nab-Makeup"/>
    <x v="3"/>
    <d v="2025-07-21T00:00:00"/>
    <n v="150"/>
    <d v="2025-08-01T00:00:00"/>
  </r>
  <r>
    <s v="Pooja Ramcharitar"/>
    <s v="Evaco Group, Riviere Citron, Arsenal"/>
    <s v="Pamplemousses"/>
    <x v="4"/>
    <n v="59864950"/>
    <s v="Nab-Makeup"/>
    <x v="12"/>
    <d v="2025-05-08T00:00:00"/>
    <n v="150"/>
    <d v="2025-06-01T00:00:00"/>
  </r>
  <r>
    <s v="Pooja Ramcharitar"/>
    <s v="Evaco Group, Rivière Citron, Arsenal"/>
    <s v="Pamplemousses"/>
    <x v="4"/>
    <n v="59864950"/>
    <s v="Nab-Makeup"/>
    <x v="13"/>
    <d v="2025-06-05T00:00:00"/>
    <n v="150"/>
    <d v="2025-07-02T00:00:00"/>
  </r>
  <r>
    <s v="Alisha Rani Mittoo"/>
    <s v="Balaclava Rd, Arsenal"/>
    <s v="Pamplemousses"/>
    <x v="4"/>
    <n v="57601675"/>
    <s v="Nab-Makeup"/>
    <x v="14"/>
    <d v="2025-06-12T00:00:00"/>
    <n v="150"/>
    <d v="2025-07-02T00:00:00"/>
  </r>
  <r>
    <s v="Lalloo Celina"/>
    <s v="Hospital Road, Arsenal"/>
    <s v="Pamplemousses"/>
    <x v="4"/>
    <n v="57603737"/>
    <s v="Nab-Makeup"/>
    <x v="15"/>
    <d v="2025-06-23T00:00:00"/>
    <n v="150"/>
    <d v="2025-07-02T00:00:00"/>
  </r>
  <r>
    <s v="Pooja Ramcharitar"/>
    <s v="Evaco Group, Arsenal"/>
    <s v="Pamplemousses"/>
    <x v="4"/>
    <n v="59864950"/>
    <s v="Nab-Makeup"/>
    <x v="11"/>
    <d v="2025-06-30T00:00:00"/>
    <n v="150"/>
    <d v="2025-07-02T00:00:00"/>
  </r>
  <r>
    <s v="Shreeya"/>
    <s v="Royal Rd Flower Lane Arsenal"/>
    <s v="Arsenal"/>
    <x v="4"/>
    <n v="59125265"/>
    <s v="Glow And Aura"/>
    <x v="16"/>
    <d v="2025-07-14T00:00:00"/>
    <n v="150"/>
    <d v="2025-08-01T00:00:00"/>
  </r>
  <r>
    <s v="Lalloo Celina"/>
    <s v="Hospital Road, Arsenal (Delivery before 10th Aug, 8:00 am and 15:00)"/>
    <s v="Arsenal"/>
    <x v="4"/>
    <n v="57603737"/>
    <s v="Nab-Makeup"/>
    <x v="6"/>
    <d v="2025-08-05T00:00:00"/>
    <n v="150"/>
    <m/>
  </r>
  <r>
    <s v="Lalloo Celina"/>
    <s v="Hospital Road, Arsenal"/>
    <s v="Arsenal"/>
    <x v="4"/>
    <n v="57603737"/>
    <s v="Nab-Makeup"/>
    <x v="17"/>
    <d v="2025-08-22T00:00:00"/>
    <n v="150"/>
    <m/>
  </r>
  <r>
    <s v="Sooryana Parianen"/>
    <s v="Bagatelle"/>
    <s v="Central"/>
    <x v="5"/>
    <n v="57058466"/>
    <s v="Nab-Makeup"/>
    <x v="18"/>
    <d v="2025-04-17T00:00:00"/>
    <n v="150"/>
    <d v="2025-05-04T00:00:00"/>
  </r>
  <r>
    <s v="Lynda Ishak"/>
    <s v="BAGATELLE 10 - 11.. AFTER THAT  JEETOO PORT LOUIS    "/>
    <s v="Bagatelle"/>
    <x v="5"/>
    <n v="52583317"/>
    <s v="OKASINA"/>
    <x v="19"/>
    <d v="2025-06-05T00:00:00"/>
    <n v="150"/>
    <d v="2025-07-02T00:00:00"/>
  </r>
  <r>
    <s v="Ashifa Neeha Phoyjaully"/>
    <s v="Bamyris Motors, Bagatelle Motorcity, Motorway M1"/>
    <s v="Moka"/>
    <x v="5"/>
    <n v="52572338"/>
    <s v="Nab-Makeup"/>
    <x v="11"/>
    <d v="2025-06-30T00:00:00"/>
    <n v="150"/>
    <d v="2025-07-02T00:00:00"/>
  </r>
  <r>
    <s v="Raksha Ramma"/>
    <s v="Ramlagun Road, Baie Du Cap"/>
    <s v="Savanne"/>
    <x v="6"/>
    <n v="58210959"/>
    <s v="Nab-Makeup"/>
    <x v="20"/>
    <d v="2025-05-31T00:00:00"/>
    <n v="150"/>
    <d v="2025-06-01T00:00:00"/>
  </r>
  <r>
    <s v="Stacy Azie"/>
    <s v="Ramjutun Road, Baie du Cap"/>
    <s v="Ramjutun Road"/>
    <x v="6"/>
    <n v="55123123"/>
    <s v="Nab-Makeup"/>
    <x v="10"/>
    <d v="2025-06-23T00:00:00"/>
    <n v="150"/>
    <d v="2025-07-02T00:00:00"/>
  </r>
  <r>
    <s v="Nathalie Celine Albufera"/>
    <s v="New Village Hall Road, Baie du Cap"/>
    <s v="Savanne"/>
    <x v="6"/>
    <n v="59307910"/>
    <s v="Nab-Makeup"/>
    <x v="11"/>
    <d v="2025-07-02T00:00:00"/>
    <n v="150"/>
    <d v="2025-07-02T00:00:00"/>
  </r>
  <r>
    <s v="Melanie Modeste"/>
    <s v="Berry Rouge Lane, Baie Du Cap, Savanne"/>
    <s v="Baie Du Cap"/>
    <x v="6"/>
    <n v="57173370"/>
    <s v="Nab-Makeup"/>
    <x v="21"/>
    <d v="2025-07-14T00:00:00"/>
    <n v="150"/>
    <d v="2025-08-01T00:00:00"/>
  </r>
  <r>
    <s v="Thomas Anne Marie Elsa"/>
    <s v="Dorade Lane, Saint Martin, Baie Du Cap, Mauritius"/>
    <s v="Baie Du Cap"/>
    <x v="6"/>
    <n v="59092367"/>
    <s v="Nab-Makeup"/>
    <x v="22"/>
    <d v="2025-08-11T00:00:00"/>
    <n v="150"/>
    <m/>
  </r>
  <r>
    <s v="Virginie Frédéric"/>
    <s v="Rue Arc En Ciel, Baie du Tombeau"/>
    <s v="Pamplemousses"/>
    <x v="7"/>
    <n v="52517739"/>
    <s v="Nab-Makeup"/>
    <x v="23"/>
    <d v="2025-05-22T00:00:00"/>
    <n v="150"/>
    <d v="2025-06-01T00:00:00"/>
  </r>
  <r>
    <s v="Keeran Khednah"/>
    <s v="Baie du Tombeau, Port-Louis"/>
    <s v="Baie du Tombeau"/>
    <x v="7"/>
    <n v="57020668"/>
    <s v="Nab-Makeup"/>
    <x v="24"/>
    <d v="2025-07-10T00:00:00"/>
    <n v="150"/>
    <d v="2025-08-01T00:00:00"/>
  </r>
  <r>
    <s v="KD - NABIIHAH - May's Shop"/>
    <s v="BALACLAVA, WESTIN HOTEL BALACLAVA, Mauritius"/>
    <s v="BALACLAVA, WESTIN HOTEL BALACLAVA, Mauritius"/>
    <x v="8"/>
    <n v="57917236"/>
    <s v="NABIIHAH - May's Shop"/>
    <x v="7"/>
    <d v="2025-09-01T00:00:00"/>
    <n v="100"/>
    <m/>
  </r>
  <r>
    <s v="Lavishka Soodoo"/>
    <s v="Avenue Lavendure Bambous"/>
    <s v="West"/>
    <x v="9"/>
    <n v="55026321"/>
    <s v="Nab-Makeup"/>
    <x v="25"/>
    <d v="2025-04-21T00:00:00"/>
    <n v="150"/>
    <d v="2025-05-04T00:00:00"/>
  </r>
  <r>
    <s v="Megha Urjoon"/>
    <s v="Maman Saluja Ltee, Lot 8A &amp; 8B, Industrial Zone, Geoffrey, Bambous"/>
    <s v="West"/>
    <x v="9"/>
    <n v="58225135"/>
    <s v="Nab-Makeup"/>
    <x v="26"/>
    <d v="2025-04-24T00:00:00"/>
    <n v="150"/>
    <d v="2025-05-04T00:00:00"/>
  </r>
  <r>
    <s v="Jenita Labonne"/>
    <s v="Geoffroy Road, Bambous"/>
    <s v="West"/>
    <x v="9"/>
    <n v="58262238"/>
    <s v="Nab-Makeup"/>
    <x v="26"/>
    <d v="2025-04-24T00:00:00"/>
    <n v="150"/>
    <d v="2025-05-04T00:00:00"/>
  </r>
  <r>
    <s v="Vaishnavi Devi Khudny"/>
    <s v="Albion Road, Canot, Bamboo, Riviere Noire"/>
    <s v="Riviere Noire"/>
    <x v="9"/>
    <n v="58263578"/>
    <s v="Nab-Makeup"/>
    <x v="13"/>
    <d v="2025-06-09T00:00:00"/>
    <n v="150"/>
    <d v="2025-07-02T00:00:00"/>
  </r>
  <r>
    <s v="Neha Sunnoo"/>
    <s v="Boundary Road, Bambous"/>
    <s v="Bambous"/>
    <x v="9"/>
    <n v="59273324"/>
    <s v="Nab-Makeup"/>
    <x v="2"/>
    <d v="2025-07-07T00:00:00"/>
    <n v="150"/>
    <d v="2025-08-01T00:00:00"/>
  </r>
  <r>
    <s v="Emma Bhawah"/>
    <s v="Allee Tamarin Gandhi Lane, Bambous, Mauritius"/>
    <s v="West"/>
    <x v="9"/>
    <s v="5751 9225"/>
    <s v="Nab-Makeup"/>
    <x v="27"/>
    <d v="2025-08-19T00:00:00"/>
    <n v="150"/>
    <m/>
  </r>
  <r>
    <s v="Shameerah Hajaree"/>
    <s v="Paradise Street, Batimarais"/>
    <s v="South"/>
    <x v="10"/>
    <n v="57474288"/>
    <s v="Nab-Makeup"/>
    <x v="28"/>
    <d v="2025-05-03T00:00:00"/>
    <n v="150"/>
    <d v="2025-05-04T00:00:00"/>
  </r>
  <r>
    <s v="Karishma Jeetah"/>
    <s v="43, Sir Edward Nairac Street, Chebel, Beau Bassin"/>
    <s v="Plaines Wilhems"/>
    <x v="11"/>
    <n v="57025491"/>
    <s v="Nab-Makeup"/>
    <x v="12"/>
    <d v="2025-05-08T00:00:00"/>
    <n v="150"/>
    <d v="2025-06-01T00:00:00"/>
  </r>
  <r>
    <s v="Harshini Ramdowar"/>
    <s v="Edgar Adolphe Street, Beau Bassin"/>
    <s v="Plaines Wilhems"/>
    <x v="11"/>
    <n v="59796600"/>
    <s v="Nab-Makeup"/>
    <x v="12"/>
    <d v="2025-05-08T00:00:00"/>
    <n v="150"/>
    <d v="2025-06-01T00:00:00"/>
  </r>
  <r>
    <s v="Girvana Hazareesing"/>
    <s v="9 Beyts Street, Beau Bassin"/>
    <s v="Plaines Wilhems"/>
    <x v="11"/>
    <n v="57976413"/>
    <s v="Nab-Makeup"/>
    <x v="12"/>
    <d v="2025-05-08T00:00:00"/>
    <n v="150"/>
    <d v="2025-06-01T00:00:00"/>
  </r>
  <r>
    <s v="Kesha Gukhool"/>
    <s v="25 Chateau Neuf, Beau Bassin"/>
    <s v="Plaines Wilhems"/>
    <x v="11"/>
    <n v="59066701"/>
    <s v="Nab-Makeup"/>
    <x v="29"/>
    <d v="2025-05-12T00:00:00"/>
    <n v="150"/>
    <d v="2025-06-01T00:00:00"/>
  </r>
  <r>
    <s v="Khaveena Gurewan"/>
    <s v="12, Benny Narain Lallah Street, Mont Roches, Beau Bassin"/>
    <s v="Plaines Wilhems"/>
    <x v="11"/>
    <n v="57511441"/>
    <s v="Nab-Makeup"/>
    <x v="29"/>
    <d v="2025-05-12T00:00:00"/>
    <n v="150"/>
    <d v="2025-06-01T00:00:00"/>
  </r>
  <r>
    <s v="Zohra Peerbux"/>
    <s v="Maurice Raffray Street, Roche Brunes, Beaubassin"/>
    <s v="Plaines Wilhems"/>
    <x v="11"/>
    <n v="59347288"/>
    <s v="Nab-Makeup"/>
    <x v="29"/>
    <d v="2025-05-12T00:00:00"/>
    <n v="150"/>
    <d v="2025-06-01T00:00:00"/>
  </r>
  <r>
    <s v="Hanshinee Mokhram"/>
    <s v="11 Rue Martindale, Beau Bassin"/>
    <s v="Plaines Wilhems"/>
    <x v="11"/>
    <n v="59297458"/>
    <s v="Nab-Makeup"/>
    <x v="30"/>
    <d v="2025-05-19T00:00:00"/>
    <n v="150"/>
    <d v="2025-06-01T00:00:00"/>
  </r>
  <r>
    <s v="Saroja Samigoundan"/>
    <s v="14 Eagle Street, Morcellement  La Confiance, Beau Bassin"/>
    <s v="Plaines Wilhems"/>
    <x v="11"/>
    <n v="59450164"/>
    <s v="OKASINA"/>
    <x v="30"/>
    <d v="2025-05-19T00:00:00"/>
    <n v="150"/>
    <d v="2025-06-01T00:00:00"/>
  </r>
  <r>
    <s v="Saroja Samigoundan"/>
    <s v="14 Eagle Street, Morcellement  La Confiance, Beau Bassin"/>
    <s v="Plaines Wilhems"/>
    <x v="11"/>
    <n v="59450164"/>
    <s v="OKASINA"/>
    <x v="19"/>
    <d v="2025-06-02T00:00:00"/>
    <n v="150"/>
    <d v="2025-07-02T00:00:00"/>
  </r>
  <r>
    <s v="Sweetlana Armoogum"/>
    <s v="8, Robertson Street, Beau Bassin"/>
    <s v="Plaines Wilhems"/>
    <x v="11"/>
    <n v="57045916"/>
    <s v="Nab-Makeup"/>
    <x v="13"/>
    <d v="2025-06-05T00:00:00"/>
    <n v="150"/>
    <d v="2025-07-02T00:00:00"/>
  </r>
  <r>
    <s v="Karishma Jeetah"/>
    <s v="43, Sir Edward Nairac Street, Chebel, Beau Bassin"/>
    <s v="Chebel"/>
    <x v="11"/>
    <n v="57025491"/>
    <s v="Nab-Makeup"/>
    <x v="13"/>
    <d v="2025-06-05T00:00:00"/>
    <n v="150"/>
    <d v="2025-07-02T00:00:00"/>
  </r>
  <r>
    <s v="Saroja Samigoundan"/>
    <s v="14 Eagle Street, Morcellement La Confiance, Beau Bassin"/>
    <s v="Plaines Wilhems"/>
    <x v="11"/>
    <n v="59450164"/>
    <s v="OKASINA"/>
    <x v="1"/>
    <d v="2025-06-09T00:00:00"/>
    <n v="150"/>
    <d v="2025-07-02T00:00:00"/>
  </r>
  <r>
    <s v="Neelam Ebrahim"/>
    <s v="7b, Abbe Mazuy St, Beau Bassin"/>
    <s v="Plaines Wilhems"/>
    <x v="11"/>
    <n v="57836495"/>
    <s v="Nab-Makeup"/>
    <x v="15"/>
    <d v="2025-06-20T00:00:00"/>
    <n v="150"/>
    <d v="2025-07-02T00:00:00"/>
  </r>
  <r>
    <s v="Tania Arnachellum"/>
    <s v="Roblet Lane, Morcellement Algomar, Roches Brunes, Beau Bassin"/>
    <s v="Roches Brunes"/>
    <x v="11"/>
    <n v="57960205"/>
    <s v="Nab-Makeup"/>
    <x v="10"/>
    <d v="2025-06-23T00:00:00"/>
    <n v="150"/>
    <d v="2025-07-02T00:00:00"/>
  </r>
  <r>
    <s v="Karishma Jeetah"/>
    <s v="43, Sir Edward Nairac Street, Chebel, Beau Bassin"/>
    <s v="Plaines Wilhems"/>
    <x v="11"/>
    <n v="57025491"/>
    <s v="Nab-Makeup"/>
    <x v="11"/>
    <d v="2025-06-30T00:00:00"/>
    <n v="150"/>
    <d v="2025-07-02T00:00:00"/>
  </r>
  <r>
    <s v="Shekinah Rungadok"/>
    <s v="6 Corby Street, Beau-Bassin"/>
    <s v="Beau-Bassin"/>
    <x v="11"/>
    <n v="59842345"/>
    <s v="Nab-Makeup"/>
    <x v="31"/>
    <d v="2025-07-03T00:00:00"/>
    <n v="150"/>
    <d v="2025-08-01T00:00:00"/>
  </r>
  <r>
    <s v="Shagoofta Shaik Raman"/>
    <s v="13, Royal Road, Beau-Bassin"/>
    <s v="Beau-Bassin"/>
    <x v="11"/>
    <n v="58204080"/>
    <s v="Nab-Makeup"/>
    <x v="31"/>
    <d v="2025-07-03T00:00:00"/>
    <n v="150"/>
    <d v="2025-08-01T00:00:00"/>
  </r>
  <r>
    <s v="Cristalyn Meunier"/>
    <s v="7 Impasse Mgr Leen, Beau Bassin"/>
    <s v="Beau Bassin"/>
    <x v="11"/>
    <n v="58123770"/>
    <s v="Nab-Makeup"/>
    <x v="2"/>
    <d v="2025-07-07T00:00:00"/>
    <n v="150"/>
    <d v="2025-08-01T00:00:00"/>
  </r>
  <r>
    <s v="Cynthia Lam Yee Man"/>
    <s v="31B Napier Broome, Beau Bassin"/>
    <s v="Beau Bassin"/>
    <x v="11"/>
    <n v="57876812"/>
    <s v="Nab-Makeup"/>
    <x v="24"/>
    <d v="2025-07-10T00:00:00"/>
    <n v="150"/>
    <d v="2025-08-01T00:00:00"/>
  </r>
  <r>
    <s v="Bibi Sana Maisah Edah-Tally"/>
    <s v="8, Cheri Lienard Street, Beau Bassin"/>
    <s v="Beau Bassin"/>
    <x v="11"/>
    <n v="59880860"/>
    <s v="Nab-Makeup"/>
    <x v="24"/>
    <d v="2025-07-10T00:00:00"/>
    <n v="150"/>
    <d v="2025-08-01T00:00:00"/>
  </r>
  <r>
    <s v="Shabina Timol"/>
    <s v="Apt 48, Residence Le Baron, Volcy Goupille Street, Beau Bassin"/>
    <s v="Beau Bassin"/>
    <x v="11"/>
    <n v="54232502"/>
    <s v="Nab-Makeup"/>
    <x v="24"/>
    <d v="2025-07-10T00:00:00"/>
    <n v="150"/>
    <d v="2025-08-01T00:00:00"/>
  </r>
  <r>
    <s v="Widiasri Chooroomoney"/>
    <s v="Vandermeersch, Beau Bassin"/>
    <s v="Beau Bassin"/>
    <x v="11"/>
    <n v="55029300"/>
    <s v="Little Star Boutique"/>
    <x v="16"/>
    <d v="2025-07-21T00:00:00"/>
    <n v="150"/>
    <d v="2025-08-01T00:00:00"/>
  </r>
  <r>
    <s v="Aliyah Mowlah"/>
    <s v="8 Colonel Draper Street, Beau Bassin"/>
    <s v="Beau Bassin"/>
    <x v="11"/>
    <n v="55013091"/>
    <s v="Nab-Makeup"/>
    <x v="32"/>
    <d v="2025-07-24T00:00:00"/>
    <n v="150"/>
    <d v="2025-08-01T00:00:00"/>
  </r>
  <r>
    <s v="Saroja Samigoundan"/>
    <s v="14 Eagle Street, Morcellement La Confiance, Beau Bassin"/>
    <s v="Plaines Wilhems"/>
    <x v="11"/>
    <n v="59450164"/>
    <s v="OKASINA"/>
    <x v="33"/>
    <d v="2025-07-28T00:00:00"/>
    <n v="150"/>
    <d v="2025-08-01T00:00:00"/>
  </r>
  <r>
    <s v="Jerika Koowaree"/>
    <s v="3 Louis Larche Street"/>
    <s v="Beau Bassin"/>
    <x v="11"/>
    <n v="52596892"/>
    <s v="Nab-Makeup"/>
    <x v="0"/>
    <d v="2025-07-31T00:00:00"/>
    <n v="150"/>
    <d v="2025-08-01T00:00:00"/>
  </r>
  <r>
    <s v="MANISHTA"/>
    <s v="Pope Hennessy St, Beau Bassin - Wastewater Management Authority"/>
    <s v="Beau Bassin"/>
    <x v="11"/>
    <n v="58827049"/>
    <s v="OKASINA"/>
    <x v="6"/>
    <d v="2025-08-04T00:00:00"/>
    <n v="150"/>
    <m/>
  </r>
  <r>
    <s v="Fatemah Peerbux"/>
    <s v="Maurice Raffray Street, Roche Brunes, Beaubassin"/>
    <s v="Roche Brunes"/>
    <x v="11"/>
    <n v="59347288"/>
    <s v="Nab-Makeup"/>
    <x v="22"/>
    <d v="2025-08-07T00:00:00"/>
    <n v="150"/>
    <m/>
  </r>
  <r>
    <s v="Deeya Mungur"/>
    <s v="18 Martindale Street, Beau Bassin"/>
    <s v="Plaines Wilhems"/>
    <x v="11"/>
    <n v="58551967"/>
    <s v="Nab-Makeup"/>
    <x v="34"/>
    <d v="2025-08-15T00:00:00"/>
    <n v="150"/>
    <m/>
  </r>
  <r>
    <s v="Danalutchmee Ballasoupramanien"/>
    <s v="51, Dr Reid, Beau-Bassin"/>
    <s v="Plaines Wilhems"/>
    <x v="11"/>
    <n v="57081657"/>
    <s v="Nab-Makeup"/>
    <x v="34"/>
    <d v="2025-08-15T00:00:00"/>
    <n v="150"/>
    <m/>
  </r>
  <r>
    <s v="Karishma Jeetah"/>
    <s v="43, Sir Edward Nairac Street, Chebel, Beau Bassin"/>
    <s v="Central"/>
    <x v="11"/>
    <s v="5702 5491"/>
    <s v="Nab-Makeup"/>
    <x v="27"/>
    <d v="2025-08-19T00:00:00"/>
    <n v="150"/>
    <m/>
  </r>
  <r>
    <s v="Yakshini Digumber"/>
    <s v="18 Nahaboo Solim Street, Beau Bassin"/>
    <s v="Beau Bassin"/>
    <x v="11"/>
    <n v="57053426"/>
    <s v="Nab-Makeup"/>
    <x v="17"/>
    <d v="2025-08-22T00:00:00"/>
    <n v="150"/>
    <m/>
  </r>
  <r>
    <s v="Kulsid Andoo"/>
    <s v="13, Manganlall Desai, Beau Bassin"/>
    <s v="Centre"/>
    <x v="11"/>
    <n v="57442512"/>
    <s v="Nab-Makeup"/>
    <x v="35"/>
    <d v="2025-08-29T00:00:00"/>
    <n v="150"/>
    <m/>
  </r>
  <r>
    <s v="Sooraiya Motala"/>
    <s v="Beau Bassin"/>
    <s v="Beau Bassin"/>
    <x v="11"/>
    <s v="57824277 / 57608743"/>
    <s v="Nab-Makeup"/>
    <x v="35"/>
    <d v="2025-08-29T00:00:00"/>
    <n v="150"/>
    <m/>
  </r>
  <r>
    <s v="THANS - NABIIHAH - May's Shop"/>
    <s v="BEAU BASSIN, 5,REMY OLLIER ST, BEAU BASSIN, Mauritius"/>
    <s v="BEAU BASSIN, 5,REMY OLLIER ST, BEAU BASSIN, Mauritius"/>
    <x v="11"/>
    <n v="59235798"/>
    <s v="NABIIHAH - May's Shop"/>
    <x v="7"/>
    <d v="2025-09-01T00:00:00"/>
    <n v="100"/>
    <m/>
  </r>
  <r>
    <s v="JOSH - NABIIHAH - May's Shop"/>
    <s v="BEAU BASSIN, Mauritius"/>
    <s v="BEAU BASSIN, Mauritius"/>
    <x v="11"/>
    <n v="54281762"/>
    <s v="NABIIHAH - May's Shop"/>
    <x v="7"/>
    <d v="2025-09-01T00:00:00"/>
    <n v="100"/>
    <m/>
  </r>
  <r>
    <s v="Tandra Somnac"/>
    <s v="3 Rue Madame Mont Roches, Beau Bassin"/>
    <s v="Beau Bassin"/>
    <x v="11"/>
    <n v="57660214"/>
    <s v="Nab-Makeup"/>
    <x v="36"/>
    <d v="2025-08-26T00:00:00"/>
    <n v="150"/>
    <m/>
  </r>
  <r>
    <s v="Fariyad Joomun"/>
    <s v="IndusInd International Holdings Ltd, Beau Plan Business Park, 1A GF North Building"/>
    <s v="Pamplemousses"/>
    <x v="12"/>
    <n v="59427281"/>
    <s v="Nab-Makeup"/>
    <x v="14"/>
    <d v="2025-06-12T00:00:00"/>
    <n v="150"/>
    <d v="2025-07-02T00:00:00"/>
  </r>
  <r>
    <s v="Pooja Ramcharitar"/>
    <s v="Evaco Group Riviere Citron"/>
    <s v="Beau Plan, Mauritius"/>
    <x v="12"/>
    <n v="59864950"/>
    <s v="Nab-Makeup"/>
    <x v="33"/>
    <d v="2025-07-28T00:00:00"/>
    <n v="150"/>
    <d v="2025-08-01T00:00:00"/>
  </r>
  <r>
    <s v="PREMILLA - NABIIHAH - May's Shop"/>
    <s v="BEAU SONGES, Mauritius"/>
    <s v="BEAU SONGES, Mauritius"/>
    <x v="13"/>
    <n v="52576414"/>
    <s v="NABIIHAH - May's Shop"/>
    <x v="7"/>
    <d v="2025-09-01T00:00:00"/>
    <n v="100"/>
    <m/>
  </r>
  <r>
    <s v="Appadoo Mansha"/>
    <s v="Pointe D’Esny Road, Beauvallon"/>
    <s v="East"/>
    <x v="14"/>
    <n v="57993764"/>
    <s v="Nab-Makeup"/>
    <x v="9"/>
    <d v="2025-05-05T00:00:00"/>
    <n v="150"/>
    <d v="2025-06-01T00:00:00"/>
  </r>
  <r>
    <s v="Deeya Maighun"/>
    <s v="Lot 27 Morcellement La Lucie, Pont Lardier, Belair Riviere Seche"/>
    <s v="East"/>
    <x v="15"/>
    <n v="57832275"/>
    <s v="Nab-Makeup"/>
    <x v="18"/>
    <d v="2025-04-18T00:00:00"/>
    <n v="150"/>
    <d v="2025-05-04T00:00:00"/>
  </r>
  <r>
    <s v="Zainab Joomun"/>
    <s v="Arlundo Lane, Post Office Road"/>
    <s v="East"/>
    <x v="15"/>
    <n v="59263754"/>
    <s v="Nab-Makeup"/>
    <x v="18"/>
    <d v="2025-04-18T00:00:00"/>
    <n v="150"/>
    <d v="2025-05-04T00:00:00"/>
  </r>
  <r>
    <s v="Farhanah Joomun"/>
    <s v="River side street petit bel air Mahebourg,"/>
    <s v="South-East"/>
    <x v="15"/>
    <n v="59664443"/>
    <s v="Nab-Makeup"/>
    <x v="37"/>
    <d v="2025-04-18T00:00:00"/>
    <n v="150"/>
    <d v="2025-05-04T00:00:00"/>
  </r>
  <r>
    <s v="Prishni Seenundun"/>
    <s v="Shivala Road, Kewal Nagar, Bel Air"/>
    <s v="East"/>
    <x v="15"/>
    <n v="58223710"/>
    <s v="Nab-Makeup"/>
    <x v="28"/>
    <d v="2025-05-03T00:00:00"/>
    <n v="150"/>
    <d v="2025-05-04T00:00:00"/>
  </r>
  <r>
    <s v="Roukaya Joomun"/>
    <s v="River Side Street, Bel Air, Mauritius"/>
    <s v="East"/>
    <x v="15"/>
    <n v="57086557"/>
    <s v="OKASINA"/>
    <x v="28"/>
    <d v="2025-05-03T00:00:00"/>
    <n v="150"/>
    <d v="2025-05-04T00:00:00"/>
  </r>
  <r>
    <s v="Yoseeta Beejadhur (Amisha)"/>
    <s v="Branch Road, Belle Rose, Clemencia, Bel Air 40101"/>
    <s v="Flacq"/>
    <x v="15"/>
    <n v="57836772"/>
    <s v="Nab-Makeup"/>
    <x v="30"/>
    <d v="2025-05-19T00:00:00"/>
    <n v="150"/>
    <d v="2025-06-01T00:00:00"/>
  </r>
  <r>
    <s v="Darshinee Sunassee"/>
    <s v="Tagore Avenue, Ernest-Florent, Bel-Air"/>
    <s v="Flacq"/>
    <x v="15"/>
    <n v="58205520"/>
    <s v="Nab-Makeup"/>
    <x v="23"/>
    <d v="2025-05-22T00:00:00"/>
    <n v="150"/>
    <d v="2025-06-01T00:00:00"/>
  </r>
  <r>
    <s v="Nootaybah Ausrafally"/>
    <s v="Royal Road, Bel Air Rivière Sèche"/>
    <s v="Flacq"/>
    <x v="15"/>
    <n v="57867050"/>
    <s v="Nab-Makeup"/>
    <x v="38"/>
    <d v="2025-05-26T00:00:00"/>
    <n v="150"/>
    <d v="2025-06-01T00:00:00"/>
  </r>
  <r>
    <s v="Anjali Soneechora"/>
    <s v="Balance Road, Caroline, Bel Air"/>
    <s v="Flacq"/>
    <x v="15"/>
    <n v="57139834"/>
    <s v="Nab-Makeup"/>
    <x v="38"/>
    <d v="2025-05-26T00:00:00"/>
    <n v="150"/>
    <d v="2025-06-01T00:00:00"/>
  </r>
  <r>
    <s v="Aisha Nootaybah Ausrafally"/>
    <s v="Royal Road, Bel Air Rivière Sèche"/>
    <s v="Flacq"/>
    <x v="15"/>
    <n v="57867050"/>
    <s v="Nab-Makeup"/>
    <x v="13"/>
    <d v="2025-06-05T00:00:00"/>
    <n v="150"/>
    <d v="2025-07-02T00:00:00"/>
  </r>
  <r>
    <s v="Domun Umme Haanee"/>
    <s v="Petit Chemin, Bel Air Rivière Sèche"/>
    <s v="Flacq"/>
    <x v="15"/>
    <n v="58094787"/>
    <s v="Nab-Makeup"/>
    <x v="13"/>
    <d v="2025-06-05T00:00:00"/>
    <n v="150"/>
    <d v="2025-07-02T00:00:00"/>
  </r>
  <r>
    <s v="Rukhaya Peerbux"/>
    <s v="Camp La Serpe, Bel Air R/S"/>
    <s v="Flacq"/>
    <x v="15"/>
    <n v="57699801"/>
    <s v="Nab-Makeup"/>
    <x v="1"/>
    <d v="2025-06-09T00:00:00"/>
    <n v="150"/>
    <d v="2025-07-02T00:00:00"/>
  </r>
  <r>
    <s v="Samirah Dhuny Bheenick"/>
    <s v="Royal Road, Caroline, Bel Air Rivière Sèche"/>
    <s v="Flacq"/>
    <x v="15"/>
    <n v="59444636"/>
    <s v="Nab-Makeup"/>
    <x v="1"/>
    <d v="2025-06-09T00:00:00"/>
    <n v="150"/>
    <d v="2025-07-02T00:00:00"/>
  </r>
  <r>
    <s v="Dhaoroop Deesha"/>
    <s v="Camp La Serpe, Bel-Air Rivière Sèche"/>
    <s v="Flacq"/>
    <x v="15"/>
    <n v="57659764"/>
    <s v="Nab-Makeup"/>
    <x v="14"/>
    <d v="2025-06-12T00:00:00"/>
    <n v="150"/>
    <d v="2025-07-02T00:00:00"/>
  </r>
  <r>
    <s v="Rukhaya Peerbux"/>
    <s v="Camp La Serpe, Bel Air Rivière Sèche"/>
    <s v="Flacq"/>
    <x v="15"/>
    <n v="57699801"/>
    <s v="Nab-Makeup"/>
    <x v="14"/>
    <d v="2025-06-12T00:00:00"/>
    <n v="150"/>
    <d v="2025-07-02T00:00:00"/>
  </r>
  <r>
    <s v="Goolvaden Bibi Ehman Shaba"/>
    <s v="Royal Road, Bel Air Riviere Seche"/>
    <s v="Flacq"/>
    <x v="15"/>
    <n v="57513422"/>
    <s v="Nab-Makeup"/>
    <x v="11"/>
    <d v="2025-06-30T00:00:00"/>
    <n v="150"/>
    <d v="2025-07-02T00:00:00"/>
  </r>
  <r>
    <s v="Dhaoroop Deesha"/>
    <s v="Camp La Serpe, Bel-Air Riviere Seche, Flacq"/>
    <s v="Flacq"/>
    <x v="15"/>
    <n v="57659764"/>
    <s v="Nab-Makeup"/>
    <x v="11"/>
    <d v="2025-06-30T00:00:00"/>
    <n v="150"/>
    <d v="2025-07-02T00:00:00"/>
  </r>
  <r>
    <s v="Sanghavee Subramanian"/>
    <s v="B119, Morcellement La Lucie, Bel Air Riviere Seche"/>
    <s v="Riviere Seche"/>
    <x v="15"/>
    <n v="57403689"/>
    <s v="Nab-Makeup"/>
    <x v="31"/>
    <d v="2025-07-03T00:00:00"/>
    <n v="150"/>
    <d v="2025-08-01T00:00:00"/>
  </r>
  <r>
    <s v="Aisha Nootaybah Ausrafally"/>
    <s v="Royal Road Bel Air Riviere Seche, Bel Air"/>
    <s v="Bel Air"/>
    <x v="15"/>
    <n v="57867050"/>
    <s v="Nab-Makeup"/>
    <x v="2"/>
    <d v="2025-07-07T00:00:00"/>
    <n v="150"/>
    <d v="2025-08-01T00:00:00"/>
  </r>
  <r>
    <s v="Mohammodally Sharfaa"/>
    <s v="Royal Road, Caroline, Bel Air"/>
    <s v="Bel Air"/>
    <x v="15"/>
    <n v="59812961"/>
    <s v="Nab-Makeup"/>
    <x v="2"/>
    <d v="2025-07-07T00:00:00"/>
    <n v="150"/>
    <d v="2025-08-01T00:00:00"/>
  </r>
  <r>
    <s v="Darshinee Sunassee"/>
    <s v="Tagore Avenue, Ernest-Florent, Bel-Air"/>
    <s v="Bel-Air"/>
    <x v="15"/>
    <n v="58205520"/>
    <s v="Nab-Makeup"/>
    <x v="24"/>
    <d v="2025-07-10T00:00:00"/>
    <n v="150"/>
    <d v="2025-08-01T00:00:00"/>
  </r>
  <r>
    <s v="Maansi Aundoo"/>
    <s v="Ernest Florent, Gandhi Avenue, Bel Air"/>
    <s v="Bel Air"/>
    <x v="15"/>
    <n v="58350419"/>
    <s v="Nab-Makeup"/>
    <x v="39"/>
    <d v="2025-07-17T00:00:00"/>
    <n v="150"/>
    <d v="2025-08-01T00:00:00"/>
  </r>
  <r>
    <s v="Shahana Madarbaccus"/>
    <s v="Bel Air Kashmir Rd"/>
    <s v="Bel Air, Mauritius"/>
    <x v="15"/>
    <n v="57069192"/>
    <s v="Nab-Makeup"/>
    <x v="33"/>
    <d v="2025-07-28T00:00:00"/>
    <n v="150"/>
    <d v="2025-08-01T00:00:00"/>
  </r>
  <r>
    <s v="Hansika Moneeram"/>
    <s v="Caroline Chemin La Pompe, Bel Air"/>
    <s v="East"/>
    <x v="15"/>
    <n v="59224843"/>
    <s v="Nab-Makeup"/>
    <x v="35"/>
    <d v="2025-09-01T00:00:00"/>
    <n v="150"/>
    <m/>
  </r>
  <r>
    <s v="SHILPA - NABIIHAH - May's Shop"/>
    <s v="BEL AIR, Mauritius"/>
    <s v="BEL AIR, Mauritius"/>
    <x v="15"/>
    <n v="59114101"/>
    <s v="NABIIHAH - May's Shop"/>
    <x v="7"/>
    <d v="2025-09-01T00:00:00"/>
    <n v="100"/>
    <m/>
  </r>
  <r>
    <s v="SHAKILA - NABIIHAH - May's Shop"/>
    <s v="BEL AIR, Mauritius"/>
    <s v="BEL AIR, Mauritius"/>
    <x v="15"/>
    <n v="57217237"/>
    <s v="NABIIHAH - May's Shop"/>
    <x v="7"/>
    <d v="2025-09-01T00:00:00"/>
    <n v="100"/>
    <m/>
  </r>
  <r>
    <s v="Anisha Puran"/>
    <s v="Royal Road, Caroline, Bel Air Rivière Seche"/>
    <s v="East"/>
    <x v="16"/>
    <n v="54965550"/>
    <s v="Nab-Makeup"/>
    <x v="35"/>
    <d v="2025-09-01T00:00:00"/>
    <n v="150"/>
    <m/>
  </r>
  <r>
    <s v="JURRY - NABIIHAH - May's Shop"/>
    <s v="BEL AIR RIVIER SECHE, Mauritius"/>
    <s v="BEL AIR RIVIER SECHE, Mauritius"/>
    <x v="17"/>
    <n v="57835363"/>
    <s v="NABIIHAH - May's Shop"/>
    <x v="7"/>
    <d v="2025-09-01T00:00:00"/>
    <n v="100"/>
    <m/>
  </r>
  <r>
    <s v="Booteeahnako Veedhya"/>
    <s v="Chemin Camp La Serpe, Bel Air, Riviere Seche (Derriere Winners)"/>
    <s v="Bel Air, Riviere Seche"/>
    <x v="18"/>
    <n v="59601911"/>
    <s v="Nab-Makeup"/>
    <x v="6"/>
    <d v="2025-08-05T00:00:00"/>
    <n v="150"/>
    <m/>
  </r>
  <r>
    <s v="Narmeen Jahaleea"/>
    <s v="Royal Road, Bel Air Riviere Seche, Mauritius"/>
    <s v="Bel Air Riviere Seche"/>
    <x v="18"/>
    <n v="54753613"/>
    <s v="Nab-Makeup"/>
    <x v="22"/>
    <d v="2025-08-07T00:00:00"/>
    <n v="150"/>
    <m/>
  </r>
  <r>
    <s v="HAYRON - NABIIHAH - May's Shop"/>
    <s v="BEL VILLAGE /(ST CROIX after 4.30), Mauritius"/>
    <s v="BEL VILLAGE /(ST CROIX after 4.30), Mauritius"/>
    <x v="19"/>
    <n v="57628544"/>
    <s v="NABIIHAH - May's Shop"/>
    <x v="7"/>
    <d v="2025-09-01T00:00:00"/>
    <n v="100"/>
    <m/>
  </r>
  <r>
    <s v="Stephanie How"/>
    <s v="C/O Rey &amp; Lenferna Ltd, Royal Road, Bell Village"/>
    <s v="Port Louis"/>
    <x v="20"/>
    <n v="57888899"/>
    <s v="Nab-Makeup"/>
    <x v="34"/>
    <d v="2025-08-15T00:00:00"/>
    <n v="150"/>
    <m/>
  </r>
  <r>
    <s v="Stella Monrose Jahasha"/>
    <s v="Cremation Road, Belle Mare"/>
    <s v="East"/>
    <x v="21"/>
    <n v="54754790"/>
    <s v="Nab-Makeup"/>
    <x v="26"/>
    <d v="2025-04-24T00:00:00"/>
    <n v="150"/>
    <d v="2025-05-04T00:00:00"/>
  </r>
  <r>
    <s v="Ganeshwaree Bacoree"/>
    <s v="Jasmine Avenue, Belle Mare"/>
    <s v="Belle Mare"/>
    <x v="21"/>
    <n v="59827121"/>
    <s v="Nab-Makeup"/>
    <x v="2"/>
    <d v="2025-07-07T00:00:00"/>
    <n v="150"/>
    <d v="2025-08-01T00:00:00"/>
  </r>
  <r>
    <s v="Sadi Delior"/>
    <s v="Cnr Ave De Coriolis Royal Road, Belle Rose"/>
    <s v="Central-West"/>
    <x v="22"/>
    <n v="59718556"/>
    <s v="Nab-Makeup"/>
    <x v="40"/>
    <d v="2025-04-28T00:00:00"/>
    <n v="150"/>
    <d v="2025-05-04T00:00:00"/>
  </r>
  <r>
    <s v="Sadi Delior"/>
    <s v="Cnr Ave De Coriolis, Royal Road, Belle Rose"/>
    <s v="Plaines Wilhems"/>
    <x v="22"/>
    <n v="59718556"/>
    <s v="Nab-Makeup"/>
    <x v="12"/>
    <d v="2025-05-08T00:00:00"/>
    <n v="150"/>
    <d v="2025-06-01T00:00:00"/>
  </r>
  <r>
    <s v="Sadi Delior"/>
    <s v="Cnr Ave De Coriolis, Royal Road, Belle Rose"/>
    <s v="Plaines Wilhems"/>
    <x v="22"/>
    <n v="59718556"/>
    <s v="Nab-Makeup"/>
    <x v="41"/>
    <d v="2025-06-16T00:00:00"/>
    <n v="150"/>
    <d v="2025-07-02T00:00:00"/>
  </r>
  <r>
    <s v="Parveen Meerun"/>
    <s v="12 Avenue Broad, Belle Rose"/>
    <s v="Plaines Wilhems"/>
    <x v="22"/>
    <n v="58802726"/>
    <s v="Nab-Makeup"/>
    <x v="15"/>
    <d v="2025-06-20T00:00:00"/>
    <n v="150"/>
    <d v="2025-07-02T00:00:00"/>
  </r>
  <r>
    <s v="Kavina St Felix"/>
    <s v="51, Avenue de la Faye, Belle Rose, Quatre Bornes"/>
    <s v="Quatre Bornes"/>
    <x v="22"/>
    <n v="54949025"/>
    <s v="Nab-Makeup"/>
    <x v="31"/>
    <d v="2025-07-03T00:00:00"/>
    <n v="150"/>
    <d v="2025-08-01T00:00:00"/>
  </r>
  <r>
    <s v="Kavina St Felix"/>
    <s v="51 Avenue de la Faye, Belle Rose, Quatre-Bornes"/>
    <s v="Belle Rose"/>
    <x v="22"/>
    <n v="54949025"/>
    <s v="Nab-Makeup"/>
    <x v="39"/>
    <d v="2025-07-17T00:00:00"/>
    <n v="150"/>
    <d v="2025-08-01T00:00:00"/>
  </r>
  <r>
    <s v="Bibi Taslima Taroo"/>
    <s v="15 Avenue St Louis, Belle Rose, Quatre Bornes"/>
    <s v="Belle Rose"/>
    <x v="22"/>
    <n v="59816740"/>
    <s v="Nab-Makeup"/>
    <x v="32"/>
    <d v="2025-07-24T00:00:00"/>
    <n v="150"/>
    <d v="2025-08-01T00:00:00"/>
  </r>
  <r>
    <s v="Kavina St Felix"/>
    <s v="51, Avenue de la Faye, Belle Rose"/>
    <s v="Belle Rose"/>
    <x v="22"/>
    <n v="54949025"/>
    <s v="Nab-Makeup"/>
    <x v="0"/>
    <d v="2025-07-31T00:00:00"/>
    <n v="150"/>
    <d v="2025-08-01T00:00:00"/>
  </r>
  <r>
    <s v="Somauroo Zainab"/>
    <s v="Royal Road, Amaury, Belle Vue Maurel"/>
    <s v="North-East"/>
    <x v="23"/>
    <n v="57529398"/>
    <s v="Nab-Makeup"/>
    <x v="18"/>
    <d v="2025-04-17T00:00:00"/>
    <n v="150"/>
    <d v="2025-05-04T00:00:00"/>
  </r>
  <r>
    <s v="Harshinee Devi Luchmun"/>
    <s v="Royal Road, Belle Vue Maurel"/>
    <s v="Rivière du Rempart"/>
    <x v="23"/>
    <n v="59025676"/>
    <s v="Nab-Makeup"/>
    <x v="41"/>
    <d v="2025-06-16T00:00:00"/>
    <n v="150"/>
    <d v="2025-07-02T00:00:00"/>
  </r>
  <r>
    <s v="Bhoonderowa Kijesh Kumar"/>
    <s v="Osprey Lane, Belle Vue Maurel"/>
    <s v="Riviere du Rempart"/>
    <x v="23"/>
    <n v="59226507"/>
    <s v="Nab-Makeup"/>
    <x v="11"/>
    <d v="2025-06-30T00:00:00"/>
    <n v="150"/>
    <d v="2025-07-02T00:00:00"/>
  </r>
  <r>
    <s v="Zainab Somauroo"/>
    <s v="Royal Road, Amaury, Belle Vue Maurel"/>
    <s v="Belle Vue Maurel"/>
    <x v="23"/>
    <n v="57529392"/>
    <s v="Nab-Makeup"/>
    <x v="21"/>
    <d v="2025-07-14T00:00:00"/>
    <n v="150"/>
    <d v="2025-08-01T00:00:00"/>
  </r>
  <r>
    <s v="Purmah Divya Singh"/>
    <s v="Greedhary Road, Barlow, Belle Vue Maurelle"/>
    <s v="Belle Vue Maurelle"/>
    <x v="23"/>
    <n v="58122636"/>
    <s v="OKASINA"/>
    <x v="0"/>
    <d v="2025-07-31T00:00:00"/>
    <n v="150"/>
    <d v="2025-08-01T00:00:00"/>
  </r>
  <r>
    <s v="Zaafirah Keramuth"/>
    <s v="Kader Road, Belvedere or Notre Dame"/>
    <s v="Central"/>
    <x v="24"/>
    <n v="58009660"/>
    <s v="Nab-Makeup"/>
    <x v="26"/>
    <d v="2025-04-24T00:00:00"/>
    <n v="150"/>
    <d v="2025-05-04T00:00:00"/>
  </r>
  <r>
    <s v="Lovena Sadasing"/>
    <s v="Royal Road, Bois Cheri"/>
    <s v="Royal Road"/>
    <x v="25"/>
    <n v="59255489"/>
    <s v="Nab-Makeup"/>
    <x v="10"/>
    <d v="2025-06-23T00:00:00"/>
    <n v="150"/>
    <d v="2025-07-02T00:00:00"/>
  </r>
  <r>
    <s v="Muhammad Shahim Runghen"/>
    <s v="Dunputh Lane, Bois Cheri"/>
    <s v="Savanne"/>
    <x v="25"/>
    <n v="57596490"/>
    <s v="Nab-Makeup"/>
    <x v="11"/>
    <d v="2025-06-30T00:00:00"/>
    <n v="150"/>
    <d v="2025-07-02T00:00:00"/>
  </r>
  <r>
    <s v="Meenakshi Rama"/>
    <s v="Bois Cheri"/>
    <s v="Bois Cheri"/>
    <x v="25"/>
    <n v="58021345"/>
    <s v="Glow And Aura"/>
    <x v="42"/>
    <d v="2025-07-03T00:00:00"/>
    <n v="150"/>
    <d v="2025-08-01T00:00:00"/>
  </r>
  <r>
    <s v="JENNIFEER - NABIIHAH - May's Shop"/>
    <s v="BOIS CHERI MOKIA, Mauritius"/>
    <s v="BOIS CHERI MOKIA, Mauritius"/>
    <x v="26"/>
    <n v="59249825"/>
    <s v="NABIIHAH - May's Shop"/>
    <x v="7"/>
    <d v="2025-09-01T00:00:00"/>
    <n v="100"/>
    <m/>
  </r>
  <r>
    <s v="Shyamaal China-Appadu"/>
    <s v="47, Morcellement Beau-Plan, Bois Rouge, Mauritius"/>
    <s v="Bois Rouge"/>
    <x v="27"/>
    <n v="57177737"/>
    <s v="Nab-Makeup"/>
    <x v="31"/>
    <d v="2025-07-07T00:00:00"/>
    <n v="150"/>
    <d v="2025-08-01T00:00:00"/>
  </r>
  <r>
    <s v="ASHWINA - NABIIHAH - May's Shop"/>
    <s v="BON ACCEUIL, Mauritius"/>
    <s v="BON ACCEUIL, Mauritius"/>
    <x v="28"/>
    <n v="57048813"/>
    <s v="NABIIHAH - May's Shop"/>
    <x v="7"/>
    <d v="2025-09-01T00:00:00"/>
    <n v="100"/>
    <m/>
  </r>
  <r>
    <s v="Mehrine Soobraty / Fadil Soobraty"/>
    <s v="Royal Road, Bon Accueil, Near Patisserie Soobraty"/>
    <s v="Flacq"/>
    <x v="29"/>
    <s v="57743072 / 58405567"/>
    <s v="Nab-Makeup"/>
    <x v="30"/>
    <d v="2025-05-19T00:00:00"/>
    <n v="150"/>
    <d v="2025-06-01T00:00:00"/>
  </r>
  <r>
    <s v="Antoaroo Nusraah Bibi Nadillah"/>
    <s v="Latapie Road, Bon Accueil"/>
    <s v="Flacq"/>
    <x v="29"/>
    <s v="57011403 / 4189068"/>
    <s v="Nab-Makeup"/>
    <x v="11"/>
    <d v="2025-06-30T00:00:00"/>
    <n v="150"/>
    <d v="2025-07-02T00:00:00"/>
  </r>
  <r>
    <s v="Luchmun Yavnah"/>
    <s v="Royal Road, Bon Accueil, Flacq"/>
    <s v="Flacq"/>
    <x v="29"/>
    <n v="58580571"/>
    <s v="Nab-Makeup"/>
    <x v="31"/>
    <d v="2025-07-03T00:00:00"/>
    <n v="150"/>
    <d v="2025-08-01T00:00:00"/>
  </r>
  <r>
    <s v="Damree Aaliyah Bibi Zafirah"/>
    <s v="Latapie Road dodo lane Bon Accueil"/>
    <s v="Bon Accueil"/>
    <x v="29"/>
    <n v="58021671"/>
    <s v="Nab-Makeup"/>
    <x v="2"/>
    <d v="2025-07-07T00:00:00"/>
    <n v="150"/>
    <d v="2025-08-01T00:00:00"/>
  </r>
  <r>
    <s v="Khaidoo Tanweerah"/>
    <s v="Soobratty Road, Bon Accueil"/>
    <s v="Bon Accueil"/>
    <x v="29"/>
    <n v="57621560"/>
    <s v="Nab-Makeup"/>
    <x v="24"/>
    <d v="2025-07-10T00:00:00"/>
    <n v="150"/>
    <d v="2025-08-01T00:00:00"/>
  </r>
  <r>
    <s v="Fawziyya Sahebally Goomany"/>
    <s v="Royal Road, Bon Accueil, Flacq"/>
    <s v="Bon Accueil"/>
    <x v="29"/>
    <n v="57415110"/>
    <s v="Nab-Makeup"/>
    <x v="3"/>
    <d v="2025-07-21T00:00:00"/>
    <n v="150"/>
    <d v="2025-08-01T00:00:00"/>
  </r>
  <r>
    <s v="Anousha"/>
    <s v="Bon Accueil State College, Royal Road, Bon Accueil "/>
    <s v="Bon Accueil"/>
    <x v="29"/>
    <n v="57235491"/>
    <s v="Timeless Trends"/>
    <x v="43"/>
    <d v="2025-07-24T00:00:00"/>
    <n v="150"/>
    <d v="2025-08-01T00:00:00"/>
  </r>
  <r>
    <s v="Damree Aaliyah Bibi Zafirah"/>
    <s v="Latapie Road, Dodo Lane, Bon Accueil"/>
    <s v="Bon Accueil"/>
    <x v="29"/>
    <n v="58021671"/>
    <s v="Nab-Makeup"/>
    <x v="44"/>
    <d v="2025-08-05T00:00:00"/>
    <n v="150"/>
    <m/>
  </r>
  <r>
    <s v="Uzmanaz Zakiya Mahamed Hussain"/>
    <s v="Royal Road, Grand Retraite"/>
    <s v="Bon Accueil"/>
    <x v="29"/>
    <n v="58177131"/>
    <s v="Nab-Makeup"/>
    <x v="5"/>
    <d v="2025-08-12T00:00:00"/>
    <n v="150"/>
    <m/>
  </r>
  <r>
    <s v="Mrs Arzam Khan Bibi Sahimah"/>
    <s v="Latapie Road, Bon Accueil"/>
    <s v="Bon Accueil"/>
    <x v="29"/>
    <n v="57866786"/>
    <s v="OKASINA"/>
    <x v="45"/>
    <d v="2025-09-01T00:00:00"/>
    <n v="150"/>
    <m/>
  </r>
  <r>
    <s v="Hritika Kissoon"/>
    <s v="Camp Beton Road, Bramsthan, Flacq"/>
    <s v="Flacq"/>
    <x v="30"/>
    <n v="57689442"/>
    <s v="Nab-Makeup"/>
    <x v="23"/>
    <d v="2025-05-22T00:00:00"/>
    <n v="150"/>
    <d v="2025-06-01T00:00:00"/>
  </r>
  <r>
    <s v="Krishni Jaymungul"/>
    <s v="Shivala Road, Bramsthan"/>
    <s v="Flacq"/>
    <x v="30"/>
    <s v="57680998 / 55186306"/>
    <s v="Nab-Makeup"/>
    <x v="13"/>
    <d v="2025-06-05T00:00:00"/>
    <n v="150"/>
    <d v="2025-07-02T00:00:00"/>
  </r>
  <r>
    <s v="Hritika Kissoon"/>
    <s v="Camp Beton Road, Bramsthan, Flacq"/>
    <s v="Flacq"/>
    <x v="30"/>
    <n v="57689442"/>
    <s v="Nab-Makeup"/>
    <x v="3"/>
    <s v="Cancelled"/>
    <n v="0"/>
    <s v="Cancelled"/>
  </r>
  <r>
    <s v="Hritika Kissoon"/>
    <s v="Camp Beton Road"/>
    <s v="Bramsthan"/>
    <x v="30"/>
    <n v="58213691"/>
    <s v="Nab-Makeup"/>
    <x v="33"/>
    <d v="2025-07-28T00:00:00"/>
    <n v="150"/>
    <d v="2025-08-01T00:00:00"/>
  </r>
  <r>
    <s v="Nirma Ubhee"/>
    <s v="Royal Road, Bramsthan, Morcellment Mon Reve"/>
    <s v="Bramsthan"/>
    <x v="30"/>
    <n v="58178472"/>
    <s v="Timeless Trends"/>
    <x v="44"/>
    <d v="2025-08-05T00:00:00"/>
    <n v="150"/>
    <m/>
  </r>
  <r>
    <s v="PARDESI - NABIIHAH - May's Shop"/>
    <s v="BRISEE VERDIER, Mauritius"/>
    <s v="BRISEE VERDIER, Mauritius"/>
    <x v="31"/>
    <n v="57096981"/>
    <s v="NABIIHAH - May's Shop"/>
    <x v="7"/>
    <d v="2025-09-01T00:00:00"/>
    <n v="100"/>
    <m/>
  </r>
  <r>
    <s v="Ruksaar Damree"/>
    <s v="Royal Road, Brisée Verdiere"/>
    <s v="East"/>
    <x v="32"/>
    <n v="58398955"/>
    <s v="Nab-Makeup"/>
    <x v="46"/>
    <d v="2025-04-14T00:00:00"/>
    <n v="150"/>
    <d v="2025-05-04T00:00:00"/>
  </r>
  <r>
    <s v="Roumina Soobhun"/>
    <s v="Salazie road, Brisse Verdiere"/>
    <s v="East"/>
    <x v="32"/>
    <n v="59042970"/>
    <s v="Nab-Makeup"/>
    <x v="46"/>
    <d v="2025-04-14T00:00:00"/>
    <n v="150"/>
    <d v="2025-05-04T00:00:00"/>
  </r>
  <r>
    <s v="Afrinbanu Rujub"/>
    <s v="Royal Road, Brisee Verdiere"/>
    <s v="East"/>
    <x v="32"/>
    <n v="57761275"/>
    <s v="Nab-Makeup"/>
    <x v="26"/>
    <d v="2025-04-24T00:00:00"/>
    <n v="150"/>
    <d v="2025-05-04T00:00:00"/>
  </r>
  <r>
    <s v="Bibi Farisha Roukshar Tagaully"/>
    <s v="Bel Vedere Road, Brisée Verdière"/>
    <s v="Flacq"/>
    <x v="32"/>
    <n v="59052095"/>
    <s v="Nab-Makeup"/>
    <x v="30"/>
    <d v="2025-05-19T00:00:00"/>
    <n v="150"/>
    <d v="2025-06-01T00:00:00"/>
  </r>
  <r>
    <s v="Sharine Aumjeedally"/>
    <s v="Royal Road, Brisée Verdière"/>
    <s v="Flacq"/>
    <x v="32"/>
    <n v="52583212"/>
    <s v="Nab-Makeup"/>
    <x v="38"/>
    <d v="2025-05-26T00:00:00"/>
    <n v="150"/>
    <d v="2025-06-01T00:00:00"/>
  </r>
  <r>
    <s v="Mohammad Shabil Lagan"/>
    <s v="Avenue Hibiscus Lane, Brisée Verdière"/>
    <s v="Flacq"/>
    <x v="32"/>
    <n v="58257885"/>
    <s v="Nab-Makeup"/>
    <x v="20"/>
    <d v="2025-05-29T00:00:00"/>
    <n v="150"/>
    <d v="2025-06-01T00:00:00"/>
  </r>
  <r>
    <s v="Veshika Devi Bhoodhoo"/>
    <s v="Bel Vedere Road, Brisée Verdière"/>
    <s v="Flacq"/>
    <x v="32"/>
    <n v="59456396"/>
    <s v="Nab-Makeup"/>
    <x v="20"/>
    <d v="2025-05-29T00:00:00"/>
    <n v="150"/>
    <d v="2025-06-01T00:00:00"/>
  </r>
  <r>
    <s v="Umme Sadiyah Nauthoo"/>
    <s v="Belvedere Road, Brisée Verdière"/>
    <s v="Flacq"/>
    <x v="32"/>
    <n v="58823129"/>
    <s v="Nab-Makeup"/>
    <x v="13"/>
    <d v="2025-06-05T00:00:00"/>
    <n v="150"/>
    <d v="2025-07-02T00:00:00"/>
  </r>
  <r>
    <s v="Joomun Sheikh Ibraahiim"/>
    <s v="Royal Road, Brisée Verdière"/>
    <s v="Flacq"/>
    <x v="32"/>
    <n v="58048801"/>
    <s v="Nab-Makeup"/>
    <x v="15"/>
    <d v="2025-06-20T00:00:00"/>
    <n v="150"/>
    <d v="2025-07-02T00:00:00"/>
  </r>
  <r>
    <s v="Ruksaar Damree"/>
    <s v="Brise Verdiere"/>
    <s v="Flacq"/>
    <x v="32"/>
    <n v="58398955"/>
    <s v="Nab-Makeup"/>
    <x v="11"/>
    <d v="2025-06-30T00:00:00"/>
    <n v="150"/>
    <d v="2025-07-02T00:00:00"/>
  </r>
  <r>
    <s v="Nazia Meharally"/>
    <s v="Meerally Lane, Brise Verdire"/>
    <s v="Brise Verdire"/>
    <x v="32"/>
    <n v="57945971"/>
    <s v="Nab-Makeup"/>
    <x v="21"/>
    <d v="2025-07-14T00:00:00"/>
    <n v="150"/>
    <d v="2025-08-01T00:00:00"/>
  </r>
  <r>
    <s v="Farheen Hossenbocus"/>
    <s v="Camp Berthaud, Britannia"/>
    <s v="South"/>
    <x v="33"/>
    <n v="57045624"/>
    <s v="Nab-Makeup"/>
    <x v="40"/>
    <d v="2025-04-28T00:00:00"/>
    <n v="150"/>
    <d v="2025-05-04T00:00:00"/>
  </r>
  <r>
    <s v="Felicia Sansfleur Saminathen"/>
    <s v="Block B7, Cité Saint Aubin"/>
    <s v="South"/>
    <x v="33"/>
    <n v="57550990"/>
    <s v="Nab-Makeup"/>
    <x v="40"/>
    <d v="2025-04-28T00:00:00"/>
    <n v="150"/>
    <d v="2025-05-04T00:00:00"/>
  </r>
  <r>
    <s v="Farheen Hossenbocus"/>
    <s v="Camp Berthaud, Britannia"/>
    <s v="Savanne"/>
    <x v="33"/>
    <n v="57045624"/>
    <s v="Nab-Makeup"/>
    <x v="29"/>
    <d v="2025-05-12T00:00:00"/>
    <n v="150"/>
    <d v="2025-06-01T00:00:00"/>
  </r>
  <r>
    <s v="Suman Pooroosutton "/>
    <s v="New Morcellement, Britannia"/>
    <s v="South"/>
    <x v="33"/>
    <n v="57669533"/>
    <s v="Nab-Makeup"/>
    <x v="1"/>
    <d v="2025-06-09T00:00:00"/>
    <n v="150"/>
    <d v="2025-07-02T00:00:00"/>
  </r>
  <r>
    <s v="Tania Narsou"/>
    <s v="B12, NHCD, Britannia"/>
    <s v="Savanne"/>
    <x v="33"/>
    <n v="57672610"/>
    <s v="Nab-Makeup"/>
    <x v="15"/>
    <d v="2025-06-20T00:00:00"/>
    <n v="150"/>
    <d v="2025-07-02T00:00:00"/>
  </r>
  <r>
    <s v="Farheen Hossenbocus"/>
    <s v="Camp Berthaud"/>
    <s v="Britannia"/>
    <x v="33"/>
    <n v="57045624"/>
    <s v="Nab-Makeup"/>
    <x v="47"/>
    <d v="2025-06-26T00:00:00"/>
    <n v="150"/>
    <d v="2025-07-02T00:00:00"/>
  </r>
  <r>
    <s v="AMISTA - NABIIHAH - May's Shop"/>
    <s v="BRITANNIA, Mauritius"/>
    <s v="BRITANNIA, Mauritius"/>
    <x v="33"/>
    <n v="57119590"/>
    <s v="NABIIHAH - May's Shop"/>
    <x v="7"/>
    <d v="2025-08-29T00:00:00"/>
    <n v="100"/>
    <m/>
  </r>
  <r>
    <s v="Khushmita Rai Jalim"/>
    <s v="Shivala Road, Calebasses"/>
    <s v="North-West"/>
    <x v="34"/>
    <n v="57468188"/>
    <s v="Nab-Makeup"/>
    <x v="9"/>
    <d v="2025-05-05T00:00:00"/>
    <n v="150"/>
    <d v="2025-06-01T00:00:00"/>
  </r>
  <r>
    <s v="Drishti Devi Seenarain"/>
    <s v="Kalimaye road, Calebasses"/>
    <s v="Pamplemousses"/>
    <x v="34"/>
    <n v="54944095"/>
    <s v="Nab-Makeup"/>
    <x v="29"/>
    <d v="2025-05-12T00:00:00"/>
    <n v="150"/>
    <d v="2025-06-01T00:00:00"/>
  </r>
  <r>
    <s v="Zareen Caunhye"/>
    <s v="SSR Lane, Calebasses, Pamplemousses"/>
    <s v="Pamplemousses"/>
    <x v="34"/>
    <n v="57979301"/>
    <s v="Nab-Makeup"/>
    <x v="11"/>
    <d v="2025-06-30T00:00:00"/>
    <n v="150"/>
    <d v="2025-07-02T00:00:00"/>
  </r>
  <r>
    <s v="Anisha"/>
    <s v="Calebasses"/>
    <s v="Calebasses"/>
    <x v="34"/>
    <n v="58281789"/>
    <s v="Vibezone Boutik"/>
    <x v="4"/>
    <d v="2025-07-31T00:00:00"/>
    <n v="150"/>
    <d v="2025-08-01T00:00:00"/>
  </r>
  <r>
    <s v="Sandrine Mahier"/>
    <s v="Villa Tuscane, Balisage Lane, Calodyne"/>
    <s v="Calodyne"/>
    <x v="35"/>
    <n v="54966565"/>
    <s v="Nab-Makeup"/>
    <x v="48"/>
    <d v="2025-08-19T00:00:00"/>
    <n v="150"/>
    <m/>
  </r>
  <r>
    <s v="Aparna Ramgoolam"/>
    <s v="Avenue Des Colombes, Medine, Camp De Masque"/>
    <s v="Flacq"/>
    <x v="36"/>
    <n v="57726954"/>
    <s v="Nab-Makeup"/>
    <x v="19"/>
    <d v="2025-06-02T00:00:00"/>
    <n v="150"/>
    <d v="2025-07-02T00:00:00"/>
  </r>
  <r>
    <s v="Aparna Ramgoolam"/>
    <s v="Avenue Des Colombes, Medine, Camp de Masque"/>
    <s v="Flacq"/>
    <x v="36"/>
    <n v="57726954"/>
    <s v="Nab-Makeup"/>
    <x v="11"/>
    <d v="2025-06-30T00:00:00"/>
    <n v="150"/>
    <d v="2025-07-02T00:00:00"/>
  </r>
  <r>
    <s v="Avnish Gungaram"/>
    <s v="Ave Des Colombes, Medine, Camp De Masque"/>
    <s v="Medine"/>
    <x v="36"/>
    <n v="57728772"/>
    <s v="Nab-Makeup"/>
    <x v="31"/>
    <d v="2025-07-03T00:00:00"/>
    <n v="150"/>
    <d v="2025-08-01T00:00:00"/>
  </r>
  <r>
    <s v="Aparna Ramgoolam"/>
    <s v="Avenue Des Colombes, Medine Camp de Masque"/>
    <s v="Camp de Masque"/>
    <x v="36"/>
    <n v="57726954"/>
    <s v="Nab-Makeup"/>
    <x v="2"/>
    <d v="2025-07-07T00:00:00"/>
    <n v="150"/>
    <d v="2025-08-01T00:00:00"/>
  </r>
  <r>
    <s v="Isna Gunness"/>
    <s v="Royal Road, Medine, Camp de Masque"/>
    <s v="Camp de Masque"/>
    <x v="36"/>
    <n v="58018990"/>
    <s v="Nab-Makeup"/>
    <x v="39"/>
    <d v="2025-07-17T00:00:00"/>
    <n v="150"/>
    <d v="2025-08-01T00:00:00"/>
  </r>
  <r>
    <s v="Aparna Ramgoolam"/>
    <s v="Avenue Des Colombes, Medine Camp de Masque"/>
    <s v="Camp de Masque"/>
    <x v="36"/>
    <n v="57726954"/>
    <s v="Nab-Makeup"/>
    <x v="5"/>
    <d v="2025-08-12T00:00:00"/>
    <n v="150"/>
    <m/>
  </r>
  <r>
    <s v="Jahaly Zainab"/>
    <s v="Morcellement Savannah, Camp Diable"/>
    <s v="Savanne"/>
    <x v="37"/>
    <n v="59056904"/>
    <s v="Nab-Makeup"/>
    <x v="49"/>
    <d v="2025-05-05T00:00:00"/>
    <n v="150"/>
    <d v="2025-06-01T00:00:00"/>
  </r>
  <r>
    <s v="Kajal Sunkur"/>
    <s v="SSR road, Camp Diable"/>
    <s v="Savanne"/>
    <x v="37"/>
    <s v="58333086; 58250625"/>
    <s v="Nab-Makeup"/>
    <x v="29"/>
    <d v="2025-05-12T00:00:00"/>
    <n v="150"/>
    <d v="2025-06-01T00:00:00"/>
  </r>
  <r>
    <s v="Sajeenaz Jugon"/>
    <s v="Royal Road, Camp Diable"/>
    <s v="Savanne"/>
    <x v="37"/>
    <n v="57657019"/>
    <s v="Nab-Makeup"/>
    <x v="38"/>
    <d v="2025-05-26T00:00:00"/>
    <n v="150"/>
    <d v="2025-06-01T00:00:00"/>
  </r>
  <r>
    <s v="Aaishah Mungroo"/>
    <s v="Old School Road, Camp Diable"/>
    <s v="Savanne"/>
    <x v="37"/>
    <n v="57837612"/>
    <s v="Nab-Makeup"/>
    <x v="41"/>
    <d v="2025-06-16T00:00:00"/>
    <n v="150"/>
    <d v="2025-07-02T00:00:00"/>
  </r>
  <r>
    <s v="Haafiza Rawoo"/>
    <s v="Chemin Village Hall"/>
    <s v="Camp Diable"/>
    <x v="37"/>
    <n v="59210075"/>
    <s v="Nab-Makeup"/>
    <x v="47"/>
    <d v="2025-06-26T00:00:00"/>
    <n v="150"/>
    <d v="2025-07-02T00:00:00"/>
  </r>
  <r>
    <s v="Purdasy Firdaus"/>
    <s v="Avenue de Palmier, Camp Diable"/>
    <s v="South"/>
    <x v="37"/>
    <n v="58895043"/>
    <s v="Nab-Makeup"/>
    <x v="35"/>
    <d v="2025-08-29T00:00:00"/>
    <n v="150"/>
    <m/>
  </r>
  <r>
    <s v="Peeally Nazranah"/>
    <s v="Camp Fouqueraux, Serin Lane"/>
    <s v="Moka"/>
    <x v="38"/>
    <n v="58062193"/>
    <s v="Nab-Makeup"/>
    <x v="50"/>
    <d v="2025-05-15T00:00:00"/>
    <n v="150"/>
    <d v="2025-06-01T00:00:00"/>
  </r>
  <r>
    <s v="Karishma D Ramnauth"/>
    <s v="SSR Lane, Camp Ithier, Flacq"/>
    <s v="Flacq"/>
    <x v="39"/>
    <n v="55366403"/>
    <s v="Nab-Makeup"/>
    <x v="50"/>
    <d v="2025-05-15T00:00:00"/>
    <n v="150"/>
    <d v="2025-06-01T00:00:00"/>
  </r>
  <r>
    <s v="Ashika Jhumun"/>
    <s v="Morcellement VRS, Camp Ithier"/>
    <s v="Flacq"/>
    <x v="39"/>
    <n v="59297148"/>
    <s v="Nab-Makeup"/>
    <x v="38"/>
    <d v="2025-05-26T00:00:00"/>
    <n v="150"/>
    <d v="2025-06-01T00:00:00"/>
  </r>
  <r>
    <s v="Yashee Dookhooah"/>
    <s v="Tulsidas Lane, Camp Ithier, Flacq"/>
    <s v="Camp Ithier"/>
    <x v="39"/>
    <n v="58089245"/>
    <s v="Nab-Makeup"/>
    <x v="39"/>
    <d v="2025-07-17T00:00:00"/>
    <n v="150"/>
    <d v="2025-08-01T00:00:00"/>
  </r>
  <r>
    <s v="Ragnee Mahadea"/>
    <s v="Lalbahadour Street"/>
    <s v="Candos"/>
    <x v="40"/>
    <n v="57604400"/>
    <s v="Glow And Aura"/>
    <x v="51"/>
    <d v="2025-06-26T00:00:00"/>
    <n v="150"/>
    <d v="2025-07-02T00:00:00"/>
  </r>
  <r>
    <s v="Shashthee Gooroochurun"/>
    <s v="La Ligne Road, Pavillon, Cap Malheureux"/>
    <s v="North"/>
    <x v="41"/>
    <n v="57326905"/>
    <s v="Nab-Makeup"/>
    <x v="26"/>
    <d v="2025-04-24T00:00:00"/>
    <n v="150"/>
    <d v="2025-05-04T00:00:00"/>
  </r>
  <r>
    <s v="Bibi Samira Ameenah"/>
    <s v="Pavillon Road, Cap-Malheureux, Mauritius"/>
    <s v="North"/>
    <x v="41"/>
    <n v="54873998"/>
    <s v="Nab-Makeup"/>
    <x v="8"/>
    <d v="2025-05-01T00:00:00"/>
    <n v="150"/>
    <d v="2025-05-04T00:00:00"/>
  </r>
  <r>
    <s v="Shashthee Gooroochurun"/>
    <s v="La Ligne Road, Pavillon, Cap Malheureux"/>
    <s v="North"/>
    <x v="41"/>
    <n v="57326905"/>
    <s v="Nab-Makeup"/>
    <x v="8"/>
    <d v="2025-05-01T00:00:00"/>
    <n v="150"/>
    <d v="2025-05-04T00:00:00"/>
  </r>
  <r>
    <s v="Bitasha Mohun"/>
    <s v="Royal Road, St François, Cap Malheureux"/>
    <s v="Rivière du Rempart"/>
    <x v="41"/>
    <n v="58107110"/>
    <s v="Nab-Makeup"/>
    <x v="29"/>
    <d v="2025-05-12T00:00:00"/>
    <n v="150"/>
    <d v="2025-06-01T00:00:00"/>
  </r>
  <r>
    <s v="Sangeeta Moneea"/>
    <s v="Pavillon, Cap Malheureux"/>
    <s v="Rivière du Rempart"/>
    <x v="41"/>
    <n v="58352822"/>
    <s v="Nab-Makeup"/>
    <x v="50"/>
    <d v="2025-05-15T00:00:00"/>
    <n v="150"/>
    <d v="2025-06-01T00:00:00"/>
  </r>
  <r>
    <s v="Bibi Samira Ameenah"/>
    <s v="Pavillon Road, Cap-Malheureux"/>
    <s v="Pavillon Road"/>
    <x v="41"/>
    <n v="54873998"/>
    <s v="Nab-Makeup"/>
    <x v="10"/>
    <d v="2025-06-23T00:00:00"/>
    <n v="150"/>
    <d v="2025-07-02T00:00:00"/>
  </r>
  <r>
    <s v="Emilia Collet"/>
    <s v="Mosque Road"/>
    <s v="Cap-Malheureux"/>
    <x v="41"/>
    <n v="57312963"/>
    <s v="Nab-Makeup"/>
    <x v="47"/>
    <d v="2025-06-26T00:00:00"/>
    <n v="150"/>
    <d v="2025-07-02T00:00:00"/>
  </r>
  <r>
    <s v="Faeza Moraby"/>
    <s v="Pave road, Cap Malheureux"/>
    <s v="Cap Malheureux"/>
    <x v="41"/>
    <n v="57968649"/>
    <s v="Nab-Makeup"/>
    <x v="31"/>
    <d v="2025-07-03T00:00:00"/>
    <n v="150"/>
    <d v="2025-08-01T00:00:00"/>
  </r>
  <r>
    <s v="Cristel Desperles"/>
    <s v="Pazani Malai Road, Cap Malheureux"/>
    <s v="Cap Malheureux"/>
    <x v="41"/>
    <n v="59765444"/>
    <s v="Nab-Makeup"/>
    <x v="31"/>
    <d v="2025-07-03T00:00:00"/>
    <n v="150"/>
    <d v="2025-08-01T00:00:00"/>
  </r>
  <r>
    <s v="Maeva Jean Baptiste"/>
    <s v="Pavillon Cite CHA, Cap-Malheureux"/>
    <s v="Cap-Malheureux"/>
    <x v="41"/>
    <n v="57366395"/>
    <s v="Nab-Makeup"/>
    <x v="39"/>
    <d v="2025-07-17T00:00:00"/>
    <n v="150"/>
    <d v="2025-08-01T00:00:00"/>
  </r>
  <r>
    <s v="Shashthee Gooroochurun"/>
    <s v="La Ligne Road, Pavillon, Cap Malheureux"/>
    <s v="Cap Malheureux"/>
    <x v="41"/>
    <n v="57326905"/>
    <s v="Nab-Makeup"/>
    <x v="32"/>
    <d v="2025-07-24T00:00:00"/>
    <n v="150"/>
    <d v="2025-08-01T00:00:00"/>
  </r>
  <r>
    <s v="Sangeeta Moneea"/>
    <s v="Pavillon, Cap Malheureux"/>
    <s v="Cap Malheureux"/>
    <x v="41"/>
    <n v="58352822"/>
    <s v="Nab-Makeup"/>
    <x v="6"/>
    <d v="2025-08-05T00:00:00"/>
    <n v="150"/>
    <m/>
  </r>
  <r>
    <s v="Martha Asio"/>
    <s v="Lot 47 Morcellement VRS, Cascavelle 90203"/>
    <s v="Black River"/>
    <x v="42"/>
    <n v="57476358"/>
    <s v="Nab-Makeup"/>
    <x v="30"/>
    <d v="2025-05-19T00:00:00"/>
    <n v="150"/>
    <d v="2025-06-01T00:00:00"/>
  </r>
  <r>
    <s v="Yashvini Issur"/>
    <s v="Royal Road, Case Noyale"/>
    <s v="Black River"/>
    <x v="43"/>
    <n v="59143903"/>
    <s v="Nab-Makeup"/>
    <x v="23"/>
    <d v="2025-05-22T00:00:00"/>
    <n v="150"/>
    <d v="2025-06-01T00:00:00"/>
  </r>
  <r>
    <s v="ANNE - NABIIHAH - May's Shop"/>
    <s v="CASSIS, Mauritius"/>
    <s v="CASSIS, Mauritius"/>
    <x v="44"/>
    <n v="52547066"/>
    <s v="NABIIHAH - May's Shop"/>
    <x v="7"/>
    <d v="2025-09-01T00:00:00"/>
    <n v="100"/>
    <m/>
  </r>
  <r>
    <s v="KETTY - NABIIHAH - May's Shop"/>
    <s v="CASSIS, Mauritius"/>
    <s v="CASSIS, Mauritius"/>
    <x v="44"/>
    <n v="57023168"/>
    <s v="NABIIHAH - May's Shop"/>
    <x v="7"/>
    <d v="2025-09-01T00:00:00"/>
    <n v="100"/>
    <m/>
  </r>
  <r>
    <s v="Azdine Surfraz"/>
    <s v="Teeluck Lane, Castel"/>
    <s v="Plaines Wilhems"/>
    <x v="45"/>
    <n v="52577790"/>
    <s v="Nab-Makeup"/>
    <x v="29"/>
    <d v="2025-05-12T00:00:00"/>
    <n v="150"/>
    <d v="2025-06-01T00:00:00"/>
  </r>
  <r>
    <s v="Shabnam Emamdeen"/>
    <s v="Ganachaud Road, Castel, Eau Coulee"/>
    <s v="Plaines Wilhems"/>
    <x v="45"/>
    <n v="57851354"/>
    <s v="Nab-Makeup"/>
    <x v="38"/>
    <d v="2025-05-26T00:00:00"/>
    <n v="150"/>
    <d v="2025-06-01T00:00:00"/>
  </r>
  <r>
    <s v="Leshika Chukun"/>
    <s v="Lot 125, Rue des Croiseurs, Morcellement Boulet Rouge, Central Flacq"/>
    <s v="East"/>
    <x v="46"/>
    <n v="57893924"/>
    <s v="Nab-Makeup"/>
    <x v="46"/>
    <d v="2025-04-14T00:00:00"/>
    <n v="150"/>
    <d v="2025-05-04T00:00:00"/>
  </r>
  <r>
    <s v="Bhuvanesha Hulloowan"/>
    <s v="Morcellement Beeharry Boulet Rouge, Central Flacq"/>
    <s v="East"/>
    <x v="46"/>
    <n v="59169323"/>
    <s v="Nab-Makeup"/>
    <x v="46"/>
    <d v="2025-04-17T00:00:00"/>
    <n v="150"/>
    <d v="2025-05-04T00:00:00"/>
  </r>
  <r>
    <s v="Nundinee Chenigadu"/>
    <s v="Saint Remy, Centre de Flacq"/>
    <s v="East"/>
    <x v="46"/>
    <n v="57323874"/>
    <s v="Nab-Makeup"/>
    <x v="18"/>
    <d v="2025-04-18T00:00:00"/>
    <n v="150"/>
    <d v="2025-05-04T00:00:00"/>
  </r>
  <r>
    <s v="Bhuvanesha Hulloowan"/>
    <s v="Morcellement Beeharry Boulet Rouge, Central Flacq"/>
    <s v="East"/>
    <x v="46"/>
    <n v="59169323"/>
    <s v="Nab-Makeup"/>
    <x v="18"/>
    <d v="2025-04-17T00:00:00"/>
    <n v="150"/>
    <d v="2025-05-04T00:00:00"/>
  </r>
  <r>
    <s v="Shiksha Sanmukhiya"/>
    <s v="Royal Road, Central Flacq"/>
    <s v="East"/>
    <x v="46"/>
    <n v="57687500"/>
    <s v="Nab-Makeup"/>
    <x v="26"/>
    <d v="2025-04-24T00:00:00"/>
    <n v="150"/>
    <d v="2025-05-04T00:00:00"/>
  </r>
  <r>
    <s v="Shiksha Sanmukhiya"/>
    <s v="Royal Road, Centre De Flacq, Mauritius"/>
    <s v="East"/>
    <x v="46"/>
    <n v="57687500"/>
    <s v="Nab-Makeup"/>
    <x v="9"/>
    <d v="2025-05-05T00:00:00"/>
    <n v="150"/>
    <d v="2025-06-01T00:00:00"/>
  </r>
  <r>
    <s v="Simran Swamber"/>
    <s v="La Source, Centre de Flacq"/>
    <s v="Flacq"/>
    <x v="46"/>
    <n v="58304085"/>
    <s v="Nab-Makeup"/>
    <x v="12"/>
    <d v="2025-05-08T00:00:00"/>
    <n v="150"/>
    <d v="2025-06-01T00:00:00"/>
  </r>
  <r>
    <s v="Lovena Veerapin"/>
    <s v="Boulet Rouge, Centre de Flacq, Shivala Road, Riche Mare"/>
    <s v="Flacq"/>
    <x v="46"/>
    <n v="58196379"/>
    <s v="Nab-Makeup"/>
    <x v="19"/>
    <d v="2025-06-02T00:00:00"/>
    <n v="150"/>
    <d v="2025-07-02T00:00:00"/>
  </r>
  <r>
    <s v="Nazia Sunsary"/>
    <s v="Sainte Ursule, Central Flacq"/>
    <s v="Flacq"/>
    <x v="46"/>
    <n v="57901986"/>
    <s v="Nab-Makeup"/>
    <x v="13"/>
    <d v="2025-06-05T00:00:00"/>
    <n v="150"/>
    <d v="2025-07-02T00:00:00"/>
  </r>
  <r>
    <s v="Simran Swamber"/>
    <s v="La Source, Centre de Flacq"/>
    <s v="Flacq"/>
    <x v="46"/>
    <n v="58304085"/>
    <s v="Nab-Makeup"/>
    <x v="1"/>
    <d v="2025-06-09T00:00:00"/>
    <n v="150"/>
    <d v="2025-07-02T00:00:00"/>
  </r>
  <r>
    <s v="Marie Arielle Estazar"/>
    <s v="Argy, Centre de Flacq"/>
    <s v="Argy"/>
    <x v="46"/>
    <n v="58273290"/>
    <s v="Timeless Trends"/>
    <x v="52"/>
    <d v="2025-06-30T00:00:00"/>
    <n v="150"/>
    <d v="2025-07-02T00:00:00"/>
  </r>
  <r>
    <s v="Marie Arielle Estazar"/>
    <s v="Argy, Centre de Flacq"/>
    <s v="Agry"/>
    <x v="46"/>
    <n v="58273290"/>
    <s v="Timeless Trends"/>
    <x v="42"/>
    <d v="2025-07-03T00:00:00"/>
    <n v="150"/>
    <d v="2025-08-01T00:00:00"/>
  </r>
  <r>
    <s v="Namrata Munroop Betchoo"/>
    <s v="Shivala Road, Ecroignard, Centre de Flacq"/>
    <s v="Centre de Flacq"/>
    <x v="46"/>
    <n v="57769647"/>
    <s v="Nab-Makeup"/>
    <x v="2"/>
    <d v="2025-07-07T00:00:00"/>
    <n v="150"/>
    <d v="2025-08-01T00:00:00"/>
  </r>
  <r>
    <s v="Simran Swamber"/>
    <s v="La Source, Centre de Flacq"/>
    <s v="Centre de Flacq"/>
    <x v="46"/>
    <n v="58304085"/>
    <s v="Nab-Makeup"/>
    <x v="24"/>
    <d v="2025-07-10T00:00:00"/>
    <n v="150"/>
    <d v="2025-08-01T00:00:00"/>
  </r>
  <r>
    <s v="Nitish Hasowa"/>
    <s v="Royal Road, Boulet Blanc, Central Flacq"/>
    <s v="Central Flacq"/>
    <x v="46"/>
    <n v="58261737"/>
    <s v="Nab-Makeup"/>
    <x v="24"/>
    <d v="2025-07-10T00:00:00"/>
    <n v="150"/>
    <d v="2025-08-01T00:00:00"/>
  </r>
  <r>
    <s v="Gunputh Preeyankha"/>
    <s v="Hanuman Road, Riche Mare, Centre de Flacq"/>
    <s v="Centre de Flacq"/>
    <x v="46"/>
    <n v="57556989"/>
    <s v="Nab-Makeup"/>
    <x v="21"/>
    <d v="2025-07-14T00:00:00"/>
    <n v="150"/>
    <d v="2025-08-01T00:00:00"/>
  </r>
  <r>
    <s v="Toraub Abiir Haana"/>
    <s v="Morc des Gersigny, Central Flacq"/>
    <s v="Central Flacq"/>
    <x v="46"/>
    <n v="57591688"/>
    <s v="Nab-Makeup"/>
    <x v="39"/>
    <d v="2025-07-17T00:00:00"/>
    <n v="150"/>
    <d v="2025-08-01T00:00:00"/>
  </r>
  <r>
    <s v="Toraub Abiir Haana"/>
    <s v="Morc des Gersigny, Central Flacq"/>
    <s v="Central Flacq"/>
    <x v="46"/>
    <n v="57591688"/>
    <s v="Nab-Makeup"/>
    <x v="3"/>
    <d v="2025-07-21T00:00:00"/>
    <n v="150"/>
    <d v="2025-08-01T00:00:00"/>
  </r>
  <r>
    <s v="SAROJINI BEDACEE"/>
    <s v="Avenue Gerbera, Riche Mare, Central Flacq"/>
    <s v="Central Flacq"/>
    <x v="46"/>
    <n v="57733603"/>
    <s v="OKASINA"/>
    <x v="0"/>
    <d v="2025-07-31T00:00:00"/>
    <n v="150"/>
    <d v="2025-08-01T00:00:00"/>
  </r>
  <r>
    <s v="Yashna Sahadew"/>
    <s v="Royal Road, Isidore-Rose"/>
    <s v="Quatre Cocos"/>
    <x v="46"/>
    <n v="57824254"/>
    <s v="Nab-Makeup"/>
    <x v="0"/>
    <d v="2025-07-31T00:00:00"/>
    <n v="150"/>
    <d v="2025-08-01T00:00:00"/>
  </r>
  <r>
    <s v="Yashna Sahadew"/>
    <s v="Royal Road, Isidore-Rose"/>
    <s v="Centre de Flacq"/>
    <x v="46"/>
    <n v="57824254"/>
    <s v="Nab-Makeup"/>
    <x v="6"/>
    <d v="2025-08-05T00:00:00"/>
    <n v="150"/>
    <m/>
  </r>
  <r>
    <s v="Humairaa Khadaroo"/>
    <s v="Market road, Central Flacq"/>
    <s v="Central Flacq"/>
    <x v="46"/>
    <n v="59052883"/>
    <s v="Nab-Makeup"/>
    <x v="6"/>
    <d v="2025-08-05T00:00:00"/>
    <n v="150"/>
    <m/>
  </r>
  <r>
    <s v="BEB - NABIIHAH - May's Shop"/>
    <s v="CENTRAL FLACQ, Mauritius"/>
    <s v="CENTRAL FLACQ, Mauritius"/>
    <x v="46"/>
    <n v="59026136"/>
    <s v="NABIIHAH - May's Shop"/>
    <x v="7"/>
    <d v="2025-09-01T00:00:00"/>
    <n v="100"/>
    <m/>
  </r>
  <r>
    <s v="Sanjouna Beeharry"/>
    <s v="Royal Road, Chamarel"/>
    <s v="Chamarel"/>
    <x v="47"/>
    <n v="58147177"/>
    <s v="Glow And Aura"/>
    <x v="43"/>
    <d v="2025-07-24T00:00:00"/>
    <n v="150"/>
    <d v="2025-08-01T00:00:00"/>
  </r>
  <r>
    <s v="Yousrah Jeewuth"/>
    <s v="Royal Road, Chamouny"/>
    <s v="Savanne"/>
    <x v="48"/>
    <n v="58115768"/>
    <s v="Nab-Makeup"/>
    <x v="50"/>
    <d v="2025-05-15T00:00:00"/>
    <n v="150"/>
    <d v="2025-06-01T00:00:00"/>
  </r>
  <r>
    <s v="Premila Badaye"/>
    <s v="Rama Road, Chamouny"/>
    <s v="Chamouny"/>
    <x v="48"/>
    <n v="57533488"/>
    <s v="OKASINA"/>
    <x v="6"/>
    <d v="2025-08-06T00:00:00"/>
    <n v="150"/>
    <m/>
  </r>
  <r>
    <s v="Anesy"/>
    <s v="Chemin Grenier"/>
    <s v="Chemin Grenier"/>
    <x v="49"/>
    <n v="58454425"/>
    <s v="Vibezone Boutik"/>
    <x v="53"/>
    <s v="Cancelled"/>
    <n v="0"/>
    <s v="Cancelled"/>
  </r>
  <r>
    <s v="PREMILA BADAYE"/>
    <s v="CHEMIN GRENIER"/>
    <s v="CHEMIN GRENIER"/>
    <x v="49"/>
    <n v="57533488"/>
    <s v="OKASINA"/>
    <x v="34"/>
    <d v="2025-08-14T00:00:00"/>
    <n v="150"/>
    <m/>
  </r>
  <r>
    <s v="SHIVANEE - NABIIHAH - May's Shop"/>
    <s v="CHEMIN GRENIER, Mauritius"/>
    <s v="CHEMIN GRENIER, Mauritius"/>
    <x v="49"/>
    <n v="57316777"/>
    <s v="NABIIHAH - May's Shop"/>
    <x v="7"/>
    <d v="2025-08-28T00:00:00"/>
    <n v="100"/>
    <m/>
  </r>
  <r>
    <s v="PRATEEMAH - NABIIHAH - May's Shop"/>
    <s v="CHEMIN GRENIER, Mauritius"/>
    <s v="CHEMIN GRENIER, Mauritius"/>
    <x v="49"/>
    <n v="57536636"/>
    <s v="NABIIHAH - May's Shop"/>
    <x v="7"/>
    <d v="2025-08-28T00:00:00"/>
    <n v="100"/>
    <m/>
  </r>
  <r>
    <s v="MUFIDA - NABIIHAH - May's Shop"/>
    <s v="CHEMIN GRENIER, Mauritius"/>
    <s v="CHEMIN GRENIER, Mauritius"/>
    <x v="49"/>
    <n v="57791633"/>
    <s v="NABIIHAH - May's Shop"/>
    <x v="7"/>
    <d v="2025-08-28T00:00:00"/>
    <n v="100"/>
    <m/>
  </r>
  <r>
    <s v="Lutchmee Kanhiya"/>
    <s v="Royal Road Bananes, Cluny, Grand Port"/>
    <s v="South-East"/>
    <x v="50"/>
    <n v="58251896"/>
    <s v="Nab-Makeup"/>
    <x v="40"/>
    <d v="2025-04-28T00:00:00"/>
    <n v="150"/>
    <d v="2025-05-04T00:00:00"/>
  </r>
  <r>
    <s v="Mrs Tinasha Naikoo"/>
    <s v="Royal Road, Cluny"/>
    <s v="Flacq"/>
    <x v="50"/>
    <n v="58269525"/>
    <s v="Nab-Makeup"/>
    <x v="8"/>
    <d v="2025-04-30T00:00:00"/>
    <n v="150"/>
    <d v="2025-05-04T00:00:00"/>
  </r>
  <r>
    <s v="Marie Therese Doriane Jowaheer"/>
    <s v="Khedoo Lane, Cluny"/>
    <s v="Grand Port"/>
    <x v="50"/>
    <n v="57538713"/>
    <s v="Nab-Makeup"/>
    <x v="11"/>
    <d v="2025-06-30T00:00:00"/>
    <n v="150"/>
    <d v="2025-07-02T00:00:00"/>
  </r>
  <r>
    <s v="Deoranee Bucktowar"/>
    <s v="Belvedere Road, Congomah"/>
    <s v="Congomah"/>
    <x v="51"/>
    <n v="57043653"/>
    <s v="Nab-Makeup"/>
    <x v="32"/>
    <d v="2025-07-24T00:00:00"/>
    <n v="150"/>
    <d v="2025-08-01T00:00:00"/>
  </r>
  <r>
    <s v="Bibi Naseerah Ibrahim"/>
    <s v="Lolo Hyper, Consigne"/>
    <s v="Grand Port"/>
    <x v="52"/>
    <s v="57072226 / 57583196"/>
    <s v="Nab-Makeup"/>
    <x v="19"/>
    <d v="2025-06-02T00:00:00"/>
    <n v="150"/>
    <d v="2025-07-02T00:00:00"/>
  </r>
  <r>
    <s v="Archana Bissessur"/>
    <s v="10, Rashid Khan St, Coromandel"/>
    <s v="Central-West"/>
    <x v="53"/>
    <n v="54920520"/>
    <s v="Nab-Makeup"/>
    <x v="18"/>
    <d v="2025-04-17T00:00:00"/>
    <n v="150"/>
    <d v="2025-05-04T00:00:00"/>
  </r>
  <r>
    <s v="Shania Sanassy"/>
    <s v="29 pavé d’amour Lane"/>
    <s v="Central-West"/>
    <x v="53"/>
    <n v="58279196"/>
    <s v="Nab-Makeup"/>
    <x v="18"/>
    <d v="2025-04-17T00:00:00"/>
    <n v="150"/>
    <d v="2025-05-04T00:00:00"/>
  </r>
  <r>
    <s v="Muhammad Qaadir"/>
    <s v="52, Hermitage Road, Coromandel"/>
    <s v="Plaines Wilhems"/>
    <x v="53"/>
    <n v="58089291"/>
    <s v="Nab-Makeup"/>
    <x v="30"/>
    <d v="2025-05-19T00:00:00"/>
    <n v="150"/>
    <d v="2025-06-01T00:00:00"/>
  </r>
  <r>
    <s v="Sailajah Nugapen"/>
    <s v="47 Pave Dâ€™amour, Coromandel"/>
    <s v="Port Louis"/>
    <x v="53"/>
    <n v="59384619"/>
    <s v="Nab-Makeup"/>
    <x v="11"/>
    <d v="2025-06-30T00:00:00"/>
    <n v="150"/>
    <d v="2025-07-02T00:00:00"/>
  </r>
  <r>
    <s v="Abhishek Cheekhooree"/>
    <s v="Mopirove Limited, Industrial Zone, Coromandel"/>
    <s v="Coromandel"/>
    <x v="53"/>
    <n v="59420122"/>
    <s v="Nab-Makeup"/>
    <x v="31"/>
    <d v="2025-07-07T00:00:00"/>
    <n v="150"/>
    <d v="2025-08-01T00:00:00"/>
  </r>
  <r>
    <s v="Zarah Khodabaccus"/>
    <s v="Avenue Multipliant Coromandel / Tangs Street, Beau Bassin"/>
    <s v="Coromandel / Beau Bassin"/>
    <x v="53"/>
    <s v="+230 5784 5181"/>
    <s v="OKASINA"/>
    <x v="24"/>
    <d v="2025-07-10T00:00:00"/>
    <n v="150"/>
    <d v="2025-08-01T00:00:00"/>
  </r>
  <r>
    <s v="Khung Voon LSC LI KIM MUI (Jean Pierre)"/>
    <s v="33, Saran Villa Street, Belle Etoile, Coromandel"/>
    <s v="Coromandel"/>
    <x v="53"/>
    <n v="57615101"/>
    <s v="Nab-Makeup"/>
    <x v="3"/>
    <d v="2025-07-21T00:00:00"/>
    <n v="150"/>
    <d v="2025-08-01T00:00:00"/>
  </r>
  <r>
    <s v="Archana Bissessur"/>
    <s v="10, Rashid Khan Street, Coromandel"/>
    <s v="Coromandel"/>
    <x v="53"/>
    <n v="54920520"/>
    <s v="Nab-Makeup"/>
    <x v="0"/>
    <d v="2025-07-31T00:00:00"/>
    <n v="150"/>
    <d v="2025-08-01T00:00:00"/>
  </r>
  <r>
    <s v="MAMTA - NABIIHAH - May's Shop"/>
    <s v="COROMANDEL, Mauritius"/>
    <s v="COROMANDEL, Mauritius"/>
    <x v="53"/>
    <n v="59897541"/>
    <s v="NABIIHAH - May's Shop"/>
    <x v="7"/>
    <d v="2025-09-01T00:00:00"/>
    <n v="100"/>
    <m/>
  </r>
  <r>
    <s v="CHICADEE/AYMAN - NABIIHAH - May's Shop"/>
    <s v="COROMANDEL, Mauritius"/>
    <s v="COROMANDEL, Mauritius"/>
    <x v="53"/>
    <n v="58064951"/>
    <s v="NABIIHAH - May's Shop"/>
    <x v="7"/>
    <d v="2025-09-01T00:00:00"/>
    <n v="100"/>
    <m/>
  </r>
  <r>
    <s v="Karishma Sham Ramroop"/>
    <s v="Kestrel Street, Cottage"/>
    <s v="Central"/>
    <x v="54"/>
    <n v="58042830"/>
    <s v="Nab-Makeup"/>
    <x v="8"/>
    <d v="2025-05-05T00:00:00"/>
    <n v="150"/>
    <d v="2025-06-01T00:00:00"/>
  </r>
  <r>
    <s v="Pryeshma Divya Chady-Samjawon"/>
    <s v="Veerasawmy Street, Cottage"/>
    <s v="Central"/>
    <x v="54"/>
    <n v="59099852"/>
    <s v="Nab-Makeup"/>
    <x v="8"/>
    <d v="2025-05-01T00:00:00"/>
    <n v="150"/>
    <d v="2025-05-04T00:00:00"/>
  </r>
  <r>
    <s v="Pryeshma Divya Chady-Samjawon"/>
    <s v="Veerasawmy Street, Cottage"/>
    <s v="Central"/>
    <x v="54"/>
    <n v="59099852"/>
    <s v="Nab-Makeup"/>
    <x v="9"/>
    <d v="2025-05-05T00:00:00"/>
    <n v="150"/>
    <d v="2025-06-01T00:00:00"/>
  </r>
  <r>
    <s v="Girish Bekaroo"/>
    <s v="Ramnarain Road, Cottage"/>
    <s v="Cottage"/>
    <x v="54"/>
    <n v="57717744"/>
    <s v="May's Shop"/>
    <x v="54"/>
    <d v="2025-06-05T00:00:00"/>
    <n v="150"/>
    <d v="2025-07-02T00:00:00"/>
  </r>
  <r>
    <s v="Sweta Groodoyal"/>
    <s v="Morcellement Beau Plateau, Cottage"/>
    <s v="Cottage"/>
    <x v="54"/>
    <n v="57937253"/>
    <s v="OKASINA"/>
    <x v="1"/>
    <d v="2025-06-09T00:00:00"/>
    <n v="150"/>
    <d v="2025-07-02T00:00:00"/>
  </r>
  <r>
    <s v="Pratima Devi Dookhit"/>
    <s v="Royal Rd Creve Coeur"/>
    <s v="Creve Coeur"/>
    <x v="55"/>
    <n v="57971865"/>
    <s v="OKASINA"/>
    <x v="20"/>
    <d v="2025-05-29T00:00:00"/>
    <n v="150"/>
    <d v="2025-06-01T00:00:00"/>
  </r>
  <r>
    <s v="Shreeya Bhurtun"/>
    <s v="Creve Coeur, Tulsidas St"/>
    <s v="Moka"/>
    <x v="55"/>
    <n v="57535420"/>
    <s v="Nab-Makeup"/>
    <x v="15"/>
    <d v="2025-06-20T00:00:00"/>
    <n v="150"/>
    <d v="2025-07-02T00:00:00"/>
  </r>
  <r>
    <s v="Rachna Padaruth"/>
    <s v="Temple Road"/>
    <s v="Creve-Coeur"/>
    <x v="55"/>
    <n v="58003448"/>
    <s v="Nab-Makeup"/>
    <x v="47"/>
    <d v="2025-06-26T00:00:00"/>
    <n v="150"/>
    <d v="2025-07-02T00:00:00"/>
  </r>
  <r>
    <s v="Nakul Hoolash"/>
    <s v="Royal Road, Creve Coeur"/>
    <s v="Creve Coeur"/>
    <x v="55"/>
    <n v="58123185"/>
    <s v="Nab-Makeup"/>
    <x v="21"/>
    <d v="2025-07-14T00:00:00"/>
    <n v="150"/>
    <d v="2025-08-01T00:00:00"/>
  </r>
  <r>
    <s v="Tanusha Devi Ramdhany"/>
    <s v="Rivalland Road, Creve Coeur"/>
    <s v="Rivalland Road"/>
    <x v="55"/>
    <n v="57984413"/>
    <s v="Nab-Makeup"/>
    <x v="22"/>
    <d v="2025-08-07T00:00:00"/>
    <n v="150"/>
    <m/>
  </r>
  <r>
    <s v="Bankur Oozeerally Shanyah"/>
    <s v="Mosque Road, Camp Caval, Curepipe"/>
    <s v="South"/>
    <x v="56"/>
    <n v="59108223"/>
    <s v="Nab-Makeup"/>
    <x v="46"/>
    <d v="2025-04-14T00:00:00"/>
    <n v="150"/>
    <d v="2025-05-04T00:00:00"/>
  </r>
  <r>
    <s v="Eunice Ansha Sookooloo"/>
    <s v="69 Lapeyrouse Eau Coulee Curepipe Road, Curepipe"/>
    <s v="South"/>
    <x v="56"/>
    <n v="58242419"/>
    <s v="Nab-Makeup"/>
    <x v="46"/>
    <d v="2025-04-14T00:00:00"/>
    <n v="150"/>
    <d v="2025-05-04T00:00:00"/>
  </r>
  <r>
    <s v="Sneha Bye Malloo"/>
    <s v="7, Emile Pitot Curepipe Road, Curepipe"/>
    <s v="South"/>
    <x v="56"/>
    <n v="57062055"/>
    <s v="Nab-Makeup"/>
    <x v="46"/>
    <d v="2025-04-14T00:00:00"/>
    <n v="150"/>
    <d v="2025-05-04T00:00:00"/>
  </r>
  <r>
    <s v="Ameerah Moolkeea"/>
    <s v="Royal road eau coulee Curepipe"/>
    <s v="Central"/>
    <x v="56"/>
    <s v="59174747 / 6969989"/>
    <s v="Nab-Makeup"/>
    <x v="25"/>
    <d v="2025-04-24T00:00:00"/>
    <n v="150"/>
    <d v="2025-05-04T00:00:00"/>
  </r>
  <r>
    <s v="Mohini Jugoo"/>
    <s v="32 A, Les Casernes, Curepipe"/>
    <s v="Central"/>
    <x v="56"/>
    <n v="58115988"/>
    <s v="Nab-Makeup"/>
    <x v="40"/>
    <d v="2025-05-01T00:00:00"/>
    <n v="150"/>
    <d v="2025-05-04T00:00:00"/>
  </r>
  <r>
    <s v="Zarreen Hyder Aullybux"/>
    <s v="Clinique Darne - Georges Guibert St, Curepipe 74111"/>
    <s v="South"/>
    <x v="56"/>
    <n v="57974532"/>
    <s v="OKASINA"/>
    <x v="46"/>
    <d v="2025-04-17T00:00:00"/>
    <n v="0"/>
    <d v="2025-05-04T00:00:00"/>
  </r>
  <r>
    <s v="Manisha Sanoo"/>
    <s v="La Mairee, Eau Coulee, Curepipe, Mauritius"/>
    <s v="Central"/>
    <x v="56"/>
    <n v="59067797"/>
    <s v="Nab-Makeup"/>
    <x v="8"/>
    <d v="2025-05-01T00:00:00"/>
    <n v="150"/>
    <d v="2025-05-04T00:00:00"/>
  </r>
  <r>
    <s v="Madhvi Mungra"/>
    <s v="La Rue Lees, Curepipe, Near Housing"/>
    <s v="Central"/>
    <x v="56"/>
    <n v="55039098"/>
    <s v="OKASINA"/>
    <x v="8"/>
    <d v="2025-05-01T00:00:00"/>
    <n v="150"/>
    <d v="2025-05-04T00:00:00"/>
  </r>
  <r>
    <s v="Antish Sham"/>
    <s v="UoM, Réduit (Weekdays) / Curepipe (Weekend)"/>
    <s v="Moka / Plaines Wilhems"/>
    <x v="56"/>
    <n v="57571821"/>
    <s v="Nab-Makeup"/>
    <x v="49"/>
    <d v="2025-05-03T00:00:00"/>
    <n v="150"/>
    <d v="2025-06-01T00:00:00"/>
  </r>
  <r>
    <s v="Zahirah Maderbocus"/>
    <s v="18 Thomy d’Arifat, Curepipe"/>
    <s v="Plaines Wilhems"/>
    <x v="56"/>
    <n v="58466352"/>
    <s v="Nab-Makeup"/>
    <x v="49"/>
    <d v="2025-05-03T00:00:00"/>
    <n v="150"/>
    <d v="2025-06-01T00:00:00"/>
  </r>
  <r>
    <s v="Madhvi Mungra"/>
    <s v="La Rue Lees, Curepipe, Near Housing"/>
    <s v="Central"/>
    <x v="56"/>
    <n v="55039098"/>
    <s v="OKASINA"/>
    <x v="9"/>
    <d v="2025-05-05T00:00:00"/>
    <n v="150"/>
    <d v="2025-06-01T00:00:00"/>
  </r>
  <r>
    <s v="Jhuboo Laila"/>
    <s v="Gustave Colin, Forest-Side, Curepipe"/>
    <s v="Plaines Wilhems"/>
    <x v="56"/>
    <n v="57346510"/>
    <s v="Nab-Makeup"/>
    <x v="12"/>
    <d v="2025-05-08T00:00:00"/>
    <n v="150"/>
    <d v="2025-06-01T00:00:00"/>
  </r>
  <r>
    <s v="Vandana Veerasoo"/>
    <s v="Camp le Juge, Curepipe"/>
    <s v="Plaines Wilhems"/>
    <x v="56"/>
    <n v="59064475"/>
    <s v="Nab-Makeup"/>
    <x v="29"/>
    <d v="2025-05-12T00:00:00"/>
    <n v="150"/>
    <d v="2025-06-01T00:00:00"/>
  </r>
  <r>
    <s v="Joyeuse Caroline"/>
    <s v="Beethoven Street, Block B34, Cite Malherbes 74319, Curepipe"/>
    <s v="Plaines Wilhems"/>
    <x v="56"/>
    <n v="59775259"/>
    <s v="Nab-Makeup"/>
    <x v="29"/>
    <d v="2025-05-12T00:00:00"/>
    <n v="150"/>
    <d v="2025-06-01T00:00:00"/>
  </r>
  <r>
    <s v="Aumeer Farheen Bibi Amina"/>
    <s v="Morc Coombes, Camp Caval, Curepipe"/>
    <s v="Plaines Wilhems"/>
    <x v="56"/>
    <n v="52522607"/>
    <s v="Nab-Makeup"/>
    <x v="50"/>
    <d v="2025-05-15T00:00:00"/>
    <n v="150"/>
    <d v="2025-06-01T00:00:00"/>
  </r>
  <r>
    <s v="Ayushee Subron"/>
    <s v="Camp Bombaye, Forest-Side, Curepipe"/>
    <s v="Plaines Wilhems"/>
    <x v="56"/>
    <n v="58391422"/>
    <s v="Nab-Makeup"/>
    <x v="50"/>
    <d v="2025-05-15T00:00:00"/>
    <n v="150"/>
    <d v="2025-06-01T00:00:00"/>
  </r>
  <r>
    <s v="Raaidah Elaheebocus"/>
    <s v="Edgar Hughes Street, Curepipe"/>
    <s v="Plaines Wilhems"/>
    <x v="56"/>
    <n v="57615763"/>
    <s v="Nab-Makeup"/>
    <x v="30"/>
    <d v="2025-05-19T00:00:00"/>
    <n v="150"/>
    <d v="2025-06-01T00:00:00"/>
  </r>
  <r>
    <s v="Micha Ahnna Therese"/>
    <s v="Artemis Curepipe Hospital, Royal Road, Curepipe"/>
    <s v="Plaines Wilhems"/>
    <x v="56"/>
    <n v="58082124"/>
    <s v="Nab-Makeup"/>
    <x v="30"/>
    <d v="2025-05-19T00:00:00"/>
    <n v="150"/>
    <d v="2025-06-01T00:00:00"/>
  </r>
  <r>
    <s v="Madhvi Mungra"/>
    <s v="La Rue Lees, Curepipe"/>
    <s v="Plaines Wilhems"/>
    <x v="56"/>
    <n v="55039098"/>
    <s v="OKASINA"/>
    <x v="30"/>
    <d v="2025-05-19T00:00:00"/>
    <n v="150"/>
    <d v="2025-06-01T00:00:00"/>
  </r>
  <r>
    <s v="Madhvi Mungra"/>
    <s v="La Rue Lees, Curepipe"/>
    <s v="Plaines Wilhems"/>
    <x v="56"/>
    <n v="55039098"/>
    <s v="OKASINA"/>
    <x v="23"/>
    <d v="2025-05-22T00:00:00"/>
    <n v="150"/>
    <d v="2025-06-01T00:00:00"/>
  </r>
  <r>
    <s v="Ms. Shenaz Jaunmohamed"/>
    <s v="Rue Pope Henessy, Curepipe"/>
    <s v="Curepipe"/>
    <x v="56"/>
    <n v="58300874"/>
    <s v="OKASINA"/>
    <x v="20"/>
    <d v="2025-05-29T00:00:00"/>
    <n v="150"/>
    <d v="2025-06-01T00:00:00"/>
  </r>
  <r>
    <s v="Madhvi Mungra"/>
    <s v="La Rue Lees, Curepipe"/>
    <s v="Plaines Wilhems"/>
    <x v="56"/>
    <n v="55039098"/>
    <s v="OKASINA"/>
    <x v="19"/>
    <d v="2025-06-02T00:00:00"/>
    <n v="150"/>
    <d v="2025-07-02T00:00:00"/>
  </r>
  <r>
    <s v="Vandana Veerasoo"/>
    <s v="Camp le Juge, Curepipe"/>
    <s v="Plaines Wilhems"/>
    <x v="56"/>
    <n v="59064475"/>
    <s v="Nab-Makeup"/>
    <x v="13"/>
    <d v="2025-06-05T00:00:00"/>
    <n v="150"/>
    <d v="2025-07-02T00:00:00"/>
  </r>
  <r>
    <s v="Yasmin Mamode"/>
    <s v="Couven De Lorette"/>
    <s v="Couven De Lorette"/>
    <x v="56"/>
    <n v="58169174"/>
    <s v="Glow And Aura"/>
    <x v="54"/>
    <d v="2025-06-05T00:00:00"/>
    <n v="75"/>
    <d v="2025-07-02T00:00:00"/>
  </r>
  <r>
    <s v="Roshan Seebundhun"/>
    <s v="Care 4 U Pharmacy"/>
    <s v="Plaines Wilhems"/>
    <x v="56"/>
    <n v="58292958"/>
    <s v="Nab-Makeup"/>
    <x v="13"/>
    <d v="2025-06-05T00:00:00"/>
    <n v="150"/>
    <d v="2025-07-02T00:00:00"/>
  </r>
  <r>
    <s v="Raaidah Elaheebocus"/>
    <s v="Edgar Hughes Street, Curepipe"/>
    <s v="Plaines Wilhems"/>
    <x v="56"/>
    <n v="57615763"/>
    <s v="Nab-Makeup"/>
    <x v="1"/>
    <d v="2025-06-09T00:00:00"/>
    <n v="150"/>
    <d v="2025-07-02T00:00:00"/>
  </r>
  <r>
    <s v="Shalini Moloo"/>
    <s v="Villa Chambly, Curepipe Road"/>
    <s v="Plaines Wilhems"/>
    <x v="56"/>
    <n v="57501485"/>
    <s v="Nab-Makeup"/>
    <x v="1"/>
    <d v="2025-06-09T00:00:00"/>
    <n v="150"/>
    <d v="2025-07-02T00:00:00"/>
  </r>
  <r>
    <s v="Nabila Fauzee"/>
    <s v="27 Willoughby Street, Curepipe"/>
    <s v="Plaines Wilhems"/>
    <x v="56"/>
    <n v="59898669"/>
    <s v="Nab-Makeup"/>
    <x v="41"/>
    <d v="2025-06-16T00:00:00"/>
    <n v="150"/>
    <d v="2025-07-02T00:00:00"/>
  </r>
  <r>
    <s v="Roshan Seebundhun"/>
    <s v="Care 4 U Pharmacy"/>
    <s v="Curepipe"/>
    <x v="56"/>
    <n v="58292958"/>
    <s v="Nab-Makeup"/>
    <x v="47"/>
    <d v="2025-06-26T00:00:00"/>
    <n v="150"/>
    <d v="2025-07-02T00:00:00"/>
  </r>
  <r>
    <s v="Vandana Veerasoo"/>
    <s v="Camp le Juge"/>
    <s v="Curepipe"/>
    <x v="56"/>
    <n v="59064475"/>
    <s v="Nab-Makeup"/>
    <x v="47"/>
    <d v="2025-06-26T00:00:00"/>
    <n v="150"/>
    <d v="2025-07-02T00:00:00"/>
  </r>
  <r>
    <s v="Manisha Sanoo"/>
    <s v="La Mairee"/>
    <s v="Eau CoulÃ©e"/>
    <x v="56"/>
    <n v="59067797"/>
    <s v="Nab-Makeup"/>
    <x v="47"/>
    <d v="2025-06-26T00:00:00"/>
    <n v="150"/>
    <d v="2025-07-02T00:00:00"/>
  </r>
  <r>
    <s v="Shameerah Sitaya"/>
    <s v="18 Thomy Darifat"/>
    <s v="Curepipe"/>
    <x v="56"/>
    <n v="57470150"/>
    <s v="Nab-Makeup"/>
    <x v="47"/>
    <d v="2025-06-30T00:00:00"/>
    <n v="150"/>
    <d v="2025-07-02T00:00:00"/>
  </r>
  <r>
    <s v="Deepa Beeharry"/>
    <s v="Les Casernes near driving school"/>
    <s v="Curepipe"/>
    <x v="56"/>
    <n v="59104495"/>
    <s v="Timeless Trends"/>
    <x v="51"/>
    <d v="2025-06-30T00:00:00"/>
    <n v="150"/>
    <d v="2025-07-02T00:00:00"/>
  </r>
  <r>
    <s v="Tianna Renguin"/>
    <s v="5, Impasse Malherbes, Curepipe"/>
    <s v="Plaines Wilhems"/>
    <x v="56"/>
    <n v="59015720"/>
    <s v="Nab-Makeup"/>
    <x v="11"/>
    <d v="2025-06-30T00:00:00"/>
    <n v="150"/>
    <d v="2025-07-02T00:00:00"/>
  </r>
  <r>
    <s v="Vaisnavi Rai Baichoo Jeetun"/>
    <s v="Engrais Martial Street, Curepipe"/>
    <s v="Curepipe"/>
    <x v="56"/>
    <s v="+230 58003626"/>
    <s v="Nab-Makeup"/>
    <x v="2"/>
    <d v="2025-07-07T00:00:00"/>
    <n v="150"/>
    <d v="2025-08-01T00:00:00"/>
  </r>
  <r>
    <s v="Anseline Florise"/>
    <s v="47 Derby Street, Forest Side, Curepipe"/>
    <s v="Curepipe"/>
    <x v="56"/>
    <n v="57494415"/>
    <s v="Nab-Makeup"/>
    <x v="24"/>
    <d v="2025-07-10T00:00:00"/>
    <n v="150"/>
    <d v="2025-08-01T00:00:00"/>
  </r>
  <r>
    <s v="Nasseeda Soreefan"/>
    <s v="Jerningham Street, Curepipe"/>
    <s v="Curepipe"/>
    <x v="56"/>
    <n v="57765108"/>
    <s v="Nab-Makeup"/>
    <x v="21"/>
    <d v="2025-07-14T00:00:00"/>
    <n v="150"/>
    <d v="2025-08-01T00:00:00"/>
  </r>
  <r>
    <s v="Mouhsinah Khoodoruth"/>
    <s v="18a AbbÃ© Laval Street, Eau-CoulÃ©e, Curepipe"/>
    <s v="Curepipe"/>
    <x v="56"/>
    <n v="57723010"/>
    <s v="Nab-Makeup"/>
    <x v="39"/>
    <d v="2025-07-17T00:00:00"/>
    <n v="150"/>
    <d v="2025-08-01T00:00:00"/>
  </r>
  <r>
    <s v="Yecha Rhungapen-Veeramootoo"/>
    <s v="Morcellement de Rosnay, Les Casernes, Curepipe"/>
    <s v="Curepipe"/>
    <x v="56"/>
    <n v="57947436"/>
    <s v="Nab-Makeup"/>
    <x v="39"/>
    <d v="2025-07-17T00:00:00"/>
    <n v="150"/>
    <d v="2025-08-01T00:00:00"/>
  </r>
  <r>
    <s v="Summayya Saumtally"/>
    <s v="Residence Paris Belle Epoque, Bernardin de St Pierre Street, Curepipe"/>
    <s v="Curepipe"/>
    <x v="56"/>
    <n v="57379585"/>
    <s v="Nab-Makeup"/>
    <x v="3"/>
    <d v="2025-07-21T00:00:00"/>
    <n v="150"/>
    <d v="2025-08-01T00:00:00"/>
  </r>
  <r>
    <s v="Selvana Rose Vythalingum"/>
    <s v="26 St Clement Street"/>
    <s v="Curepipe, Mauritius"/>
    <x v="56"/>
    <n v="58659252"/>
    <s v="Nab-Makeup"/>
    <x v="33"/>
    <d v="2025-07-30T00:00:00"/>
    <n v="150"/>
    <d v="2025-08-01T00:00:00"/>
  </r>
  <r>
    <s v="Reema Duval"/>
    <s v="Cite Malherbes, Curepipe"/>
    <s v="Curepipe"/>
    <x v="56"/>
    <n v="57916550"/>
    <s v="Nab-Makeup"/>
    <x v="6"/>
    <d v="2025-08-04T00:00:00"/>
    <n v="150"/>
    <m/>
  </r>
  <r>
    <s v="Assha"/>
    <s v="Curepipe"/>
    <s v="Curepipe"/>
    <x v="56"/>
    <n v="59479702"/>
    <s v="Timeless Trends"/>
    <x v="44"/>
    <d v="2025-08-05T00:00:00"/>
    <n v="150"/>
    <m/>
  </r>
  <r>
    <s v="Varusha Veeramootoo (Andrew Canarapen)"/>
    <s v="Henry Koenig Street, Curepipe"/>
    <s v="Curepipe"/>
    <x v="56"/>
    <n v="59460159"/>
    <s v="Nab-Makeup"/>
    <x v="22"/>
    <d v="2025-08-07T00:00:00"/>
    <n v="150"/>
    <m/>
  </r>
  <r>
    <s v="Shahine Peermamode"/>
    <s v="27, Morcellement Bellouguet, Brown Sequard Street, Curepipe, Mauritius"/>
    <s v="Curepipe"/>
    <x v="56"/>
    <n v="59453635"/>
    <s v="Nab-Makeup"/>
    <x v="22"/>
    <d v="2025-08-07T00:00:00"/>
    <n v="150"/>
    <m/>
  </r>
  <r>
    <s v="Neeshti Reetoo"/>
    <s v="178, Bhageerutty Street, Curepipe"/>
    <s v="Curepipe"/>
    <x v="56"/>
    <n v="59447030"/>
    <s v="Nab-Makeup"/>
    <x v="5"/>
    <d v="2025-08-12T00:00:00"/>
    <n v="150"/>
    <m/>
  </r>
  <r>
    <s v="Neeshti Reetoo"/>
    <s v="178, Bhageerutty Street, Curepipe"/>
    <s v="Plaines Wilhems"/>
    <x v="56"/>
    <n v="59447030"/>
    <s v="Nab-Makeup"/>
    <x v="34"/>
    <d v="2025-08-15T00:00:00"/>
    <n v="150"/>
    <m/>
  </r>
  <r>
    <s v="Sivanee Muruvan"/>
    <s v="Rue Couvent de Lorette, Curepipe"/>
    <s v="Plaines Wilhems"/>
    <x v="56"/>
    <n v="57080476"/>
    <s v="Nab-Makeup"/>
    <x v="34"/>
    <d v="2025-08-15T00:00:00"/>
    <n v="150"/>
    <m/>
  </r>
  <r>
    <s v="Cheronah Aumeer"/>
    <s v="Sskidz Clothing, Curepipe Centre, Curepipe"/>
    <s v="Centre"/>
    <x v="56"/>
    <n v="59163451"/>
    <s v="Nab-Makeup"/>
    <x v="35"/>
    <d v="2025-08-29T00:00:00"/>
    <n v="150"/>
    <m/>
  </r>
  <r>
    <s v="DAY JOY  - NABIIHAH - May's Shop"/>
    <s v="CUREPIPE, Mauritius"/>
    <s v="CUREPIPE, Mauritius"/>
    <x v="56"/>
    <n v="57263973"/>
    <s v="NABIIHAH - May's Shop"/>
    <x v="7"/>
    <d v="2025-08-29T00:00:00"/>
    <n v="100"/>
    <m/>
  </r>
  <r>
    <s v="ADRIANA - NABIIHAH - May's Shop"/>
    <s v="CUREPIPE, Mauritius"/>
    <s v="CUREPIPE, Mauritius"/>
    <x v="56"/>
    <n v="57839194"/>
    <s v="NABIIHAH - May's Shop"/>
    <x v="7"/>
    <d v="2025-08-29T00:00:00"/>
    <n v="100"/>
    <m/>
  </r>
  <r>
    <s v="ZARINA RAZBULLY - NABIIHAH - May's Shop"/>
    <s v="CUREPIPE, Mauritius"/>
    <s v="CUREPIPE, Mauritius"/>
    <x v="56"/>
    <n v="59247371"/>
    <s v="NABIIHAH - May's Shop"/>
    <x v="7"/>
    <d v="2025-09-01T00:00:00"/>
    <n v="100"/>
    <m/>
  </r>
  <r>
    <s v="Zohra Jeeroburkan"/>
    <s v="Route du Jardin, Suzor Street, Curepipe"/>
    <s v="Curepipe"/>
    <x v="56"/>
    <n v="55194720"/>
    <s v="Nab-Makeup"/>
    <x v="36"/>
    <d v="2025-08-26T00:00:00"/>
    <n v="150"/>
    <m/>
  </r>
  <r>
    <s v="Zaynah Atchia"/>
    <s v="Jemmingham Street, WMA Building, Curepipe"/>
    <s v="Curepipe"/>
    <x v="56"/>
    <n v="59757531"/>
    <s v="Luxe Miniatures"/>
    <x v="7"/>
    <d v="2025-09-01T00:00:00"/>
    <n v="150"/>
    <m/>
  </r>
  <r>
    <s v="Tejashvee B"/>
    <s v="Appanah Lane, Upper Dagotiere"/>
    <s v="Central"/>
    <x v="57"/>
    <n v="57061106"/>
    <s v="Nab-Makeup"/>
    <x v="25"/>
    <d v="2025-04-21T00:00:00"/>
    <n v="150"/>
    <d v="2025-05-04T00:00:00"/>
  </r>
  <r>
    <s v="Anooja Jugoo"/>
    <s v="L'Assurance Road, Dagotiere"/>
    <s v="Central"/>
    <x v="57"/>
    <n v="57244070"/>
    <s v="OKASINA"/>
    <x v="40"/>
    <d v="2025-05-01T00:00:00"/>
    <n v="150"/>
    <d v="2025-05-04T00:00:00"/>
  </r>
  <r>
    <s v="Vedisha Khoody"/>
    <s v="56 Morcellement MDA Dagotiere"/>
    <s v="Central"/>
    <x v="57"/>
    <n v="59203631"/>
    <s v="Nab-Makeup"/>
    <x v="8"/>
    <d v="2025-05-01T00:00:00"/>
    <n v="150"/>
    <d v="2025-05-04T00:00:00"/>
  </r>
  <r>
    <s v="Deepika Atchanna"/>
    <s v="Valetta Bypass, Dagotiere"/>
    <s v="Dagotiere"/>
    <x v="57"/>
    <n v="58104468"/>
    <s v="Nab-Makeup"/>
    <x v="21"/>
    <d v="2025-07-14T00:00:00"/>
    <n v="150"/>
    <d v="2025-08-01T00:00:00"/>
  </r>
  <r>
    <s v="Fawziyah Kurreemun"/>
    <s v="School Road"/>
    <s v="Dagotiere"/>
    <x v="57"/>
    <n v="57629710"/>
    <s v="Nab-Makeup"/>
    <x v="33"/>
    <d v="2025-07-28T00:00:00"/>
    <n v="150"/>
    <d v="2025-08-01T00:00:00"/>
  </r>
  <r>
    <s v="Kivisti Naddali"/>
    <s v="Lot 44, Morc Louis Regnaud, Deep River, Olivia"/>
    <s v="Savanne"/>
    <x v="58"/>
    <n v="59779756"/>
    <s v="Nab-Makeup"/>
    <x v="8"/>
    <d v="2025-05-03T00:00:00"/>
    <n v="150"/>
    <d v="2025-05-04T00:00:00"/>
  </r>
  <r>
    <s v="Pratibha Lutchmah"/>
    <s v="Morcellement VRS, D’Epinay, Mauritius"/>
    <s v="South"/>
    <x v="59"/>
    <n v="58164806"/>
    <s v="Nab-Makeup"/>
    <x v="8"/>
    <d v="2025-05-01T00:00:00"/>
    <n v="150"/>
    <d v="2025-05-04T00:00:00"/>
  </r>
  <r>
    <s v="Pratibha Lutchmah"/>
    <s v="Morcellement VRS"/>
    <s v="D'Epinay"/>
    <x v="59"/>
    <n v="58164806"/>
    <s v="Nab-Makeup"/>
    <x v="47"/>
    <d v="2025-06-26T00:00:00"/>
    <n v="150"/>
    <d v="2025-07-02T00:00:00"/>
  </r>
  <r>
    <s v="Gorayah Swatty"/>
    <s v="Jkalachand, Shivala Road, 45, Dubreuil"/>
    <s v="Moka"/>
    <x v="60"/>
    <n v="57051435"/>
    <s v="Nab-Makeup"/>
    <x v="12"/>
    <d v="2025-05-08T00:00:00"/>
    <n v="150"/>
    <d v="2025-06-01T00:00:00"/>
  </r>
  <r>
    <s v="Pooja Takah"/>
    <s v="Robinson River Lane, Eau Coulée"/>
    <s v="Plaines Wilhems"/>
    <x v="61"/>
    <n v="55157679"/>
    <s v="Nab-Makeup"/>
    <x v="1"/>
    <d v="2025-06-09T00:00:00"/>
    <n v="150"/>
    <d v="2025-07-02T00:00:00"/>
  </r>
  <r>
    <s v="Bibi Aisha Khodabocus"/>
    <s v="Ferani Autoparts, Eau Coulée"/>
    <s v="Plaines Wilhems"/>
    <x v="61"/>
    <s v="57454529 / 58960779"/>
    <s v="Nab-Makeup"/>
    <x v="15"/>
    <d v="2025-06-20T00:00:00"/>
    <n v="150"/>
    <d v="2025-07-02T00:00:00"/>
  </r>
  <r>
    <s v="Vanisha Ramdin"/>
    <s v="LA Mairee, Eau Coulée"/>
    <s v="Eau Coulée"/>
    <x v="61"/>
    <n v="58034098"/>
    <s v="Nab-Makeup"/>
    <x v="31"/>
    <d v="2025-07-03T00:00:00"/>
    <n v="150"/>
    <d v="2025-08-01T00:00:00"/>
  </r>
  <r>
    <s v="Shabnam Emamdeen"/>
    <s v="Ganachaud Road, Castel Eau Coulee"/>
    <s v="Eau Coulee"/>
    <x v="61"/>
    <n v="57851354"/>
    <s v="Nab-Makeup"/>
    <x v="39"/>
    <d v="2025-07-17T00:00:00"/>
    <n v="150"/>
    <d v="2025-08-01T00:00:00"/>
  </r>
  <r>
    <s v="Virginie"/>
    <s v="Eau Coulee"/>
    <s v="Eau Coulee"/>
    <x v="61"/>
    <n v="59369923"/>
    <s v="Glow And Aura"/>
    <x v="55"/>
    <d v="2025-08-12T00:00:00"/>
    <n v="150"/>
    <m/>
  </r>
  <r>
    <s v="YASMIN - NABIIHAH - May's Shop"/>
    <s v="EAU COULEE, Mauritius"/>
    <s v="EAU COULEE, Mauritius"/>
    <x v="61"/>
    <n v="57560468"/>
    <s v="NABIIHAH - May's Shop"/>
    <x v="7"/>
    <d v="2025-08-29T00:00:00"/>
    <n v="100"/>
    <m/>
  </r>
  <r>
    <s v="JENITA - NABIIHAH - May's Shop"/>
    <s v="EAU COULEE, Mauritius"/>
    <s v="EAU COULEE, Mauritius"/>
    <x v="61"/>
    <n v="57922145"/>
    <s v="NABIIHAH - May's Shop"/>
    <x v="7"/>
    <d v="2025-08-29T00:00:00"/>
    <n v="100"/>
    <m/>
  </r>
  <r>
    <s v="Shabnam Emamdeen"/>
    <s v="Ganachaud Road, Castel, Eau Coulee"/>
    <s v="Eau Coulee"/>
    <x v="61"/>
    <n v="57851354"/>
    <s v="Nab-Makeup"/>
    <x v="36"/>
    <d v="2025-08-26T00:00:00"/>
    <n v="150"/>
    <m/>
  </r>
  <r>
    <s v="Deeya Rambaruth"/>
    <s v="Ebene near DHL,"/>
    <s v="Central"/>
    <x v="62"/>
    <n v="59160770"/>
    <s v="Nab-Makeup"/>
    <x v="37"/>
    <d v="2025-04-18T00:00:00"/>
    <n v="150"/>
    <d v="2025-05-04T00:00:00"/>
  </r>
  <r>
    <s v="Deelasha Mandil"/>
    <s v="NeXSky Building, Ebene"/>
    <s v="Central"/>
    <x v="62"/>
    <n v="59055516"/>
    <s v="Nab-Makeup"/>
    <x v="37"/>
    <d v="2025-04-18T00:00:00"/>
    <n v="150"/>
    <d v="2025-05-04T00:00:00"/>
  </r>
  <r>
    <s v="Aliah Rengony"/>
    <s v="Absa House, Ebene,"/>
    <s v="Central"/>
    <x v="62"/>
    <n v="57601772"/>
    <s v="Nab-Makeup"/>
    <x v="37"/>
    <d v="2025-04-18T00:00:00"/>
    <n v="150"/>
    <d v="2025-05-04T00:00:00"/>
  </r>
  <r>
    <s v="Timira Radhakeesoon"/>
    <s v="Standard Chartered Tower, Ébène"/>
    <s v="Central"/>
    <x v="62"/>
    <n v="58940407"/>
    <s v="Nab-Makeup"/>
    <x v="25"/>
    <d v="2025-04-21T00:00:00"/>
    <n v="150"/>
    <d v="2025-05-04T00:00:00"/>
  </r>
  <r>
    <s v="Reshma Dhondoo"/>
    <s v="CEB"/>
    <s v="Central"/>
    <x v="62"/>
    <n v="59072677"/>
    <s v="OKASINA"/>
    <x v="26"/>
    <d v="2025-04-24T00:00:00"/>
    <n v="150"/>
    <d v="2025-05-04T00:00:00"/>
  </r>
  <r>
    <s v="Kheshinibye Toocaram"/>
    <s v="MTML Square, 63, Cyber City, Ébène"/>
    <s v="Plaines Wilhems"/>
    <x v="62"/>
    <n v="59332676"/>
    <s v="Nab-Makeup"/>
    <x v="49"/>
    <d v="2025-05-05T00:00:00"/>
    <n v="150"/>
    <d v="2025-06-01T00:00:00"/>
  </r>
  <r>
    <s v="Deelasha Mandil"/>
    <s v="NeXSky Building, Ebene"/>
    <s v="Plaines Wilhems"/>
    <x v="62"/>
    <n v="59055516"/>
    <s v="Nab-Makeup"/>
    <x v="12"/>
    <d v="2025-05-12T00:00:00"/>
    <n v="150"/>
    <d v="2025-06-01T00:00:00"/>
  </r>
  <r>
    <s v="Vedishka Pandoo"/>
    <s v="Wall Street, 7 Exchange Square Building, Ebene"/>
    <s v="Plaines Wilhems"/>
    <x v="62"/>
    <n v="57718586"/>
    <s v="Nab-Makeup"/>
    <x v="12"/>
    <d v="2025-05-08T00:00:00"/>
    <n v="150"/>
    <d v="2025-06-01T00:00:00"/>
  </r>
  <r>
    <s v="Vedishka Pandoo"/>
    <s v="Wall Street, 7 Exchange Square Building, Ebene"/>
    <s v="Plaines Wilhems"/>
    <x v="62"/>
    <n v="57718586"/>
    <s v="Nab-Makeup"/>
    <x v="29"/>
    <d v="2025-05-12T00:00:00"/>
    <n v="150"/>
    <d v="2025-06-01T00:00:00"/>
  </r>
  <r>
    <s v="Aliah Rengony"/>
    <s v="Absa House, Ebene"/>
    <s v="Plaines Wilhems"/>
    <x v="62"/>
    <n v="57601772"/>
    <s v="Nab-Makeup"/>
    <x v="50"/>
    <d v="2025-05-15T00:00:00"/>
    <n v="150"/>
    <d v="2025-06-01T00:00:00"/>
  </r>
  <r>
    <s v="Navelee Nemdharry"/>
    <s v="JurisTax Ltd, Ebene House, Ebene"/>
    <s v="Plaines Wilhems"/>
    <x v="62"/>
    <n v="58045188"/>
    <s v="Nab-Makeup"/>
    <x v="50"/>
    <d v="2025-05-15T00:00:00"/>
    <n v="150"/>
    <d v="2025-06-01T00:00:00"/>
  </r>
  <r>
    <s v="Maryam Mungroo"/>
    <s v="Tower A, Ebene"/>
    <s v="Plaines Wilhems"/>
    <x v="62"/>
    <n v="59283079"/>
    <s v="Nab-Makeup"/>
    <x v="23"/>
    <d v="2025-05-22T00:00:00"/>
    <n v="150"/>
    <d v="2025-06-01T00:00:00"/>
  </r>
  <r>
    <s v="Diya Jugessur"/>
    <s v="ICONE EBENE (Next to Shell Filing Station)"/>
    <s v="Plaines Wilhems"/>
    <x v="62"/>
    <n v="52505724"/>
    <s v="Nab-Makeup"/>
    <x v="23"/>
    <d v="2025-05-22T00:00:00"/>
    <n v="150"/>
    <d v="2025-06-01T00:00:00"/>
  </r>
  <r>
    <s v="Mushiirah Emambocus"/>
    <s v="Nexsky Building, Ebene"/>
    <s v="Plaines Wilhems"/>
    <x v="62"/>
    <n v="58444248"/>
    <s v="Nab-Makeup"/>
    <x v="13"/>
    <d v="2025-06-05T00:00:00"/>
    <n v="150"/>
    <d v="2025-07-02T00:00:00"/>
  </r>
  <r>
    <s v="Ojaswini"/>
    <s v="Ebene"/>
    <s v="Ebene"/>
    <x v="62"/>
    <n v="58535586"/>
    <s v="Glow And Aura"/>
    <x v="54"/>
    <d v="2025-06-05T00:00:00"/>
    <n v="75"/>
    <d v="2025-07-02T00:00:00"/>
  </r>
  <r>
    <s v="Mulveena"/>
    <s v="FCC"/>
    <s v="Ebene"/>
    <x v="62"/>
    <n v="57703327"/>
    <s v="OKASINA"/>
    <x v="13"/>
    <d v="2025-06-05T00:00:00"/>
    <n v="150"/>
    <d v="2025-07-02T00:00:00"/>
  </r>
  <r>
    <s v="Darshinee Gungah"/>
    <s v="Absa House, Ebene"/>
    <s v="Ebene"/>
    <x v="62"/>
    <n v="58160275"/>
    <s v="Nab-Makeup"/>
    <x v="13"/>
    <d v="2025-06-05T00:00:00"/>
    <n v="150"/>
    <d v="2025-07-02T00:00:00"/>
  </r>
  <r>
    <s v="Mandhita Aubeeluck"/>
    <s v="52 Cybercity, Ebene"/>
    <s v="Plaines Wilhems"/>
    <x v="62"/>
    <n v="57582607"/>
    <s v="Nab-Makeup"/>
    <x v="1"/>
    <d v="2025-06-09T00:00:00"/>
    <n v="150"/>
    <d v="2025-07-02T00:00:00"/>
  </r>
  <r>
    <s v="Myrka Kotadoo"/>
    <s v="SBM Branch, Hyvec Business Park, Wall Street, Ebene"/>
    <s v="Plaines Wilhems"/>
    <x v="62"/>
    <n v="57863298"/>
    <s v="Nab-Makeup"/>
    <x v="1"/>
    <d v="2025-06-09T00:00:00"/>
    <n v="150"/>
    <d v="2025-07-02T00:00:00"/>
  </r>
  <r>
    <s v="Nabila Varsally"/>
    <s v="7 Exchange Square, Ebene"/>
    <s v="Plaines Wilhems"/>
    <x v="62"/>
    <n v="57257131"/>
    <s v="Nab-Makeup"/>
    <x v="1"/>
    <d v="2025-06-09T00:00:00"/>
    <n v="150"/>
    <d v="2025-07-02T00:00:00"/>
  </r>
  <r>
    <s v="Vedishka Pandoo"/>
    <s v="7 Exchange Square, Wall Street, Ebene"/>
    <s v="Plaines Wilhems"/>
    <x v="62"/>
    <n v="57718586"/>
    <s v="Nab-Makeup"/>
    <x v="41"/>
    <d v="2025-06-16T00:00:00"/>
    <n v="150"/>
    <d v="2025-07-02T00:00:00"/>
  </r>
  <r>
    <s v="Sheina Maudarbaccus"/>
    <s v="Ebene Tower, Ministry of Housing"/>
    <s v="Plaines Wilhems"/>
    <x v="62"/>
    <n v="57969252"/>
    <s v="Nab-Makeup"/>
    <x v="41"/>
    <d v="2025-06-16T00:00:00"/>
    <n v="150"/>
    <d v="2025-07-02T00:00:00"/>
  </r>
  <r>
    <s v="Adilah Peerbocus"/>
    <s v="Nexteracom Building, Ebene"/>
    <s v="Plaines Wilhems"/>
    <x v="62"/>
    <n v="59863415"/>
    <s v="Luxe Miniatures"/>
    <x v="56"/>
    <s v="Cancelled"/>
    <n v="150"/>
    <d v="2025-07-02T00:00:00"/>
  </r>
  <r>
    <s v="Mohun Keshika"/>
    <s v="Nexteracom 1, Ebene"/>
    <s v="Plaines Wilhems"/>
    <x v="62"/>
    <n v="58293056"/>
    <s v="Nab-Makeup"/>
    <x v="15"/>
    <d v="2025-06-20T00:00:00"/>
    <n v="150"/>
    <d v="2025-07-02T00:00:00"/>
  </r>
  <r>
    <s v="Mrgnaini Toolsy"/>
    <s v="Ebene Nexteracom Tower 1, Near DHL, Ebene"/>
    <s v="Near DHL"/>
    <x v="62"/>
    <n v="57577097"/>
    <s v="Nab-Makeup"/>
    <x v="10"/>
    <d v="2025-06-26T00:00:00"/>
    <n v="150"/>
    <d v="2025-07-02T00:00:00"/>
  </r>
  <r>
    <s v="Akshita Seewoodoyal"/>
    <s v="To be delivered at MauBank Head Office, Bank Street, Ebene"/>
    <s v="Bank Street"/>
    <x v="62"/>
    <n v="57512717"/>
    <s v="Nab-Makeup"/>
    <x v="10"/>
    <d v="2025-06-23T00:00:00"/>
    <n v="150"/>
    <d v="2025-07-02T00:00:00"/>
  </r>
  <r>
    <s v="Lazinah Bibi Swadeka Bundhoo"/>
    <s v="Alexander House (To Exchange product)"/>
    <s v="Ebene"/>
    <x v="62"/>
    <n v="59062663"/>
    <s v="Nab-Makeup"/>
    <x v="47"/>
    <d v="2025-06-26T00:00:00"/>
    <n v="150"/>
    <d v="2025-07-02T00:00:00"/>
  </r>
  <r>
    <s v="Tejusweeny Devi Rambaruth"/>
    <s v="Delivery at Ebene"/>
    <s v="Near DHL"/>
    <x v="62"/>
    <n v="59160770"/>
    <s v="Nab-Makeup"/>
    <x v="47"/>
    <d v="2025-06-26T00:00:00"/>
    <n v="150"/>
    <d v="2025-07-02T00:00:00"/>
  </r>
  <r>
    <s v="Mita Maureemootoo"/>
    <s v="SICOM Tower"/>
    <s v="Ebene"/>
    <x v="62"/>
    <s v="57844522 / 52575533"/>
    <s v="Nab-Makeup"/>
    <x v="47"/>
    <d v="2025-06-26T00:00:00"/>
    <n v="150"/>
    <d v="2025-07-02T00:00:00"/>
  </r>
  <r>
    <s v="Laetitia Baho"/>
    <s v="Nexteracom, Tower 2, Cybercity"/>
    <s v="Ebene"/>
    <x v="62"/>
    <n v="59800504"/>
    <s v="Nab-Makeup"/>
    <x v="47"/>
    <d v="2025-06-26T00:00:00"/>
    <n v="150"/>
    <d v="2025-07-02T00:00:00"/>
  </r>
  <r>
    <s v="Tashmi Gunnoo"/>
    <s v="Level 1, Cyber Tower 2, Cybercity"/>
    <s v="Ebene"/>
    <x v="62"/>
    <n v="57033279"/>
    <s v="Nab-Makeup"/>
    <x v="47"/>
    <d v="2025-06-26T00:00:00"/>
    <n v="150"/>
    <d v="2025-07-02T00:00:00"/>
  </r>
  <r>
    <s v="Srishty Moonsamy"/>
    <s v="Ébène / Morcellement Petit Village, St Antoine, Goodlands"/>
    <s v="Ébène "/>
    <x v="62"/>
    <n v="57699904"/>
    <s v="Nab-Makeup"/>
    <x v="11"/>
    <d v="2025-06-30T00:00:00"/>
    <n v="150"/>
    <d v="2025-07-02T00:00:00"/>
  </r>
  <r>
    <s v="Shabnam Sookharee"/>
    <s v="Baccus Road, L'Avenir, Saint Pierre after 2pm / GF IN EBENE Before 2pm"/>
    <s v="Ebene / L'Avenir"/>
    <x v="62"/>
    <n v="59461712"/>
    <s v="OKASINA"/>
    <x v="31"/>
    <d v="2025-07-03T00:00:00"/>
    <n v="150"/>
    <d v="2025-08-01T00:00:00"/>
  </r>
  <r>
    <s v="Hansa Hurnam"/>
    <s v="Ebene"/>
    <s v="Ebene"/>
    <x v="62"/>
    <n v="57730577"/>
    <s v="Little Star Boutique"/>
    <x v="42"/>
    <d v="2025-07-07T00:00:00"/>
    <n v="150"/>
    <d v="2025-08-01T00:00:00"/>
  </r>
  <r>
    <s v="Toshna Rawoteea"/>
    <s v="Avenue Black Rock, Tamarin, Mauritius"/>
    <s v="Change to Ebene"/>
    <x v="62"/>
    <n v="59078613"/>
    <s v="Nab-Makeup"/>
    <x v="31"/>
    <d v="2025-07-07T00:00:00"/>
    <n v="150"/>
    <d v="2025-08-01T00:00:00"/>
  </r>
  <r>
    <s v="Tanvi Bhowaneedin"/>
    <s v="Nexteracom Tower 1, Ebene"/>
    <s v="Ebene"/>
    <x v="62"/>
    <n v="58016109"/>
    <s v="Nab-Makeup"/>
    <x v="2"/>
    <d v="2025-07-07T00:00:00"/>
    <n v="150"/>
    <d v="2025-08-01T00:00:00"/>
  </r>
  <r>
    <s v="Nivritti Devi Ramgulam"/>
    <s v="ICON EBENE, Ebene"/>
    <s v="Ebene"/>
    <x v="62"/>
    <n v="59035203"/>
    <s v="Nab-Makeup"/>
    <x v="2"/>
    <d v="2025-07-07T00:00:00"/>
    <n v="150"/>
    <d v="2025-08-01T00:00:00"/>
  </r>
  <r>
    <s v="Lindsay Sandian"/>
    <s v="Ebene City, Ebene, Reduit"/>
    <s v="Ebene"/>
    <x v="62"/>
    <n v="57544700"/>
    <s v="Nab-Makeup"/>
    <x v="24"/>
    <d v="2025-07-10T00:00:00"/>
    <n v="150"/>
    <d v="2025-08-01T00:00:00"/>
  </r>
  <r>
    <s v="Zaheerah Fokeer"/>
    <s v="Weekdays: Ebene | Weekends: Valle des Pretres"/>
    <s v="Ebene / Valle des Pretres"/>
    <x v="62"/>
    <n v="59222456"/>
    <s v="Nab-Makeup"/>
    <x v="24"/>
    <d v="2025-07-10T00:00:00"/>
    <n v="150"/>
    <d v="2025-08-01T00:00:00"/>
  </r>
  <r>
    <s v="Yachna Gunputh"/>
    <s v="Hyvec Park, Carleton, Ebene"/>
    <s v="Ebene"/>
    <x v="62"/>
    <n v="57887281"/>
    <s v="Nab-Makeup"/>
    <x v="24"/>
    <d v="2025-07-10T00:00:00"/>
    <n v="150"/>
    <d v="2025-08-01T00:00:00"/>
  </r>
  <r>
    <s v="Sheina Maudarbaccus"/>
    <s v="Ministry of Housing, Ebene Tower, Ebene"/>
    <s v="Ebene"/>
    <x v="62"/>
    <n v="57969252"/>
    <s v="Nab-Makeup"/>
    <x v="39"/>
    <d v="2025-07-17T00:00:00"/>
    <n v="150"/>
    <d v="2025-08-01T00:00:00"/>
  </r>
  <r>
    <s v="Vedishka Pandoo"/>
    <s v="Wall Street, 7 Exchange Square Building, Ebene"/>
    <s v="Ebene"/>
    <x v="62"/>
    <n v="57718586"/>
    <s v="Nab-Makeup"/>
    <x v="3"/>
    <d v="2025-07-21T00:00:00"/>
    <n v="150"/>
    <d v="2025-08-01T00:00:00"/>
  </r>
  <r>
    <s v="Prishitha Sue Venkanah"/>
    <s v="Cyber Tower 1, Orange Business, Ebene"/>
    <s v="Ebene"/>
    <x v="62"/>
    <n v="57905921"/>
    <s v="Nab-Makeup"/>
    <x v="32"/>
    <d v="2025-07-24T00:00:00"/>
    <n v="150"/>
    <d v="2025-08-01T00:00:00"/>
  </r>
  <r>
    <s v="Reshma Sultunti"/>
    <s v="E 65 Rue de la Canelle"/>
    <s v="Ebene"/>
    <x v="62"/>
    <n v="58052187"/>
    <s v="Nab-Makeup"/>
    <x v="33"/>
    <d v="2025-07-28T00:00:00"/>
    <n v="150"/>
    <d v="2025-08-01T00:00:00"/>
  </r>
  <r>
    <s v="Khushi Dahoo"/>
    <s v="Ebene"/>
    <s v="Ebene, Mauritius"/>
    <x v="62"/>
    <n v="59116723"/>
    <s v="Nab-Makeup"/>
    <x v="33"/>
    <d v="2025-07-28T00:00:00"/>
    <n v="150"/>
    <d v="2025-08-01T00:00:00"/>
  </r>
  <r>
    <s v="Yarchana Lokee"/>
    <s v="Rue Des Professeurs, Ebene"/>
    <s v="Ebene"/>
    <x v="62"/>
    <n v="57027022"/>
    <s v="Nab-Makeup"/>
    <x v="6"/>
    <d v="2025-08-04T00:00:00"/>
    <n v="150"/>
    <m/>
  </r>
  <r>
    <s v="Vhidoushi Tengurchittoo"/>
    <s v="Nexsky building"/>
    <s v="Ebene"/>
    <x v="62"/>
    <n v="57564286"/>
    <s v="Little Star Boutique"/>
    <x v="44"/>
    <d v="2025-08-04T00:00:00"/>
    <n v="150"/>
    <m/>
  </r>
  <r>
    <s v="Raysha Damree / Rayhaan Ollite"/>
    <s v="Nexsky Ebene, 7eme Etage, Regus"/>
    <s v="Ebene"/>
    <x v="62"/>
    <s v="59287570 / 57539804"/>
    <s v="Nab-Makeup"/>
    <x v="44"/>
    <d v="2025-08-05T00:00:00"/>
    <n v="150"/>
    <m/>
  </r>
  <r>
    <s v="Mulveena"/>
    <s v="FCC"/>
    <s v="Ebene"/>
    <x v="62"/>
    <n v="57703327"/>
    <s v="OKASINA"/>
    <x v="22"/>
    <d v="2025-08-07T00:00:00"/>
    <n v="150"/>
    <m/>
  </r>
  <r>
    <s v="Bhawna Narain"/>
    <s v="Ebene - Sicom Tower"/>
    <s v="Ebene"/>
    <x v="62"/>
    <n v="57098193"/>
    <s v="OKASINA"/>
    <x v="5"/>
    <d v="2025-08-12T00:00:00"/>
    <n v="150"/>
    <m/>
  </r>
  <r>
    <s v="Vima"/>
    <s v="Batiment Catalyst, Ebene"/>
    <s v="Ebene"/>
    <x v="62"/>
    <n v="58110926"/>
    <s v="Nab-Makeup"/>
    <x v="5"/>
    <d v="2025-08-12T00:00:00"/>
    <n v="150"/>
    <m/>
  </r>
  <r>
    <s v="Deeya Rambaruth"/>
    <s v="Ebene (near DHL)"/>
    <s v="Ebene"/>
    <x v="62"/>
    <n v="59160770"/>
    <s v="Nab-Makeup"/>
    <x v="17"/>
    <d v="2025-08-22T00:00:00"/>
    <n v="150"/>
    <m/>
  </r>
  <r>
    <s v="NAJAAH - NABIIHAH - May's Shop"/>
    <s v="EBENE, Mauritius"/>
    <s v="EBENE, Mauritius"/>
    <x v="62"/>
    <n v="57191441"/>
    <s v="NABIIHAH - May's Shop"/>
    <x v="7"/>
    <d v="2025-09-01T00:00:00"/>
    <n v="100"/>
    <m/>
  </r>
  <r>
    <s v="JEENA - NABIIHAH - May's Shop"/>
    <s v="EBENE, Mauritius"/>
    <s v="EBENE, Mauritius"/>
    <x v="62"/>
    <n v="58110347"/>
    <s v="NABIIHAH - May's Shop"/>
    <x v="7"/>
    <d v="2025-09-01T00:00:00"/>
    <n v="100"/>
    <m/>
  </r>
  <r>
    <s v="PRISHA - NABIIHAH - May's Shop"/>
    <s v="EBENE, Mauritius"/>
    <s v="EBENE, Mauritius"/>
    <x v="62"/>
    <n v="54953948"/>
    <s v="NABIIHAH - May's Shop"/>
    <x v="7"/>
    <d v="2025-09-01T00:00:00"/>
    <n v="100"/>
    <m/>
  </r>
  <r>
    <s v="Vedishka Pandoo"/>
    <s v="Wall Street, 7 Exchange Square, Ebene"/>
    <s v="Ebene"/>
    <x v="62"/>
    <n v="57718586"/>
    <s v="Nab-Makeup"/>
    <x v="36"/>
    <d v="2025-08-29T00:00:00"/>
    <n v="150"/>
    <m/>
  </r>
  <r>
    <s v="Sideshwari Rambaran"/>
    <s v="Royal Road, Ecroignard"/>
    <s v="Flacq"/>
    <x v="63"/>
    <n v="58023701"/>
    <s v="Nab-Makeup"/>
    <x v="29"/>
    <d v="2025-05-12T00:00:00"/>
    <n v="150"/>
    <d v="2025-06-01T00:00:00"/>
  </r>
  <r>
    <s v="Jyoteesha Domun Auckel"/>
    <s v="Etowar Lane, Ecroignard"/>
    <s v="Ecroignard"/>
    <x v="63"/>
    <n v="58270596"/>
    <s v="Nab-Makeup"/>
    <x v="0"/>
    <d v="2025-07-31T00:00:00"/>
    <n v="150"/>
    <d v="2025-08-01T00:00:00"/>
  </r>
  <r>
    <s v="Leesha Seehaye"/>
    <s v="Gandhi Avenue, Ernest Florent"/>
    <s v="Ernest Florent"/>
    <x v="64"/>
    <n v="58231090"/>
    <s v="Nab-Makeup"/>
    <x v="6"/>
    <d v="2025-08-05T00:00:00"/>
    <n v="150"/>
    <m/>
  </r>
  <r>
    <s v="MEENAXI - NABIIHAH - May's Shop"/>
    <s v="ESPERENCE PITON, Mauritius"/>
    <s v="ESPERENCE PITON, Mauritius"/>
    <x v="65"/>
    <n v="57628150"/>
    <s v="NABIIHAH - May's Shop"/>
    <x v="7"/>
    <d v="2025-09-01T00:00:00"/>
    <n v="100"/>
    <m/>
  </r>
  <r>
    <s v="Nauzeer B. Muneerah"/>
    <s v="Mosque Road, Riche Mare, Flacq"/>
    <s v="East"/>
    <x v="66"/>
    <n v="4139934"/>
    <s v="Nab-Makeup"/>
    <x v="18"/>
    <d v="2025-04-21T00:00:00"/>
    <n v="150"/>
    <d v="2025-05-04T00:00:00"/>
  </r>
  <r>
    <s v="Esha Kowlessur"/>
    <s v="Royal Road, Camp de Masque Pave"/>
    <s v="East"/>
    <x v="66"/>
    <n v="59074170"/>
    <s v="Nab-Makeup"/>
    <x v="18"/>
    <d v="2025-04-18T00:00:00"/>
    <n v="150"/>
    <d v="2025-05-04T00:00:00"/>
  </r>
  <r>
    <s v="Hayfaah Sumtally"/>
    <s v="Co Operative Road Bel Air Riviere Seche"/>
    <s v="East"/>
    <x v="66"/>
    <n v="59482268"/>
    <s v="Nab-Makeup"/>
    <x v="18"/>
    <d v="2025-04-18T00:00:00"/>
    <n v="150"/>
    <d v="2025-05-04T00:00:00"/>
  </r>
  <r>
    <s v="Yashna Gunga"/>
    <s v="La Lucie Building, Bel Air Rivière Seche"/>
    <s v="East"/>
    <x v="66"/>
    <n v="58192241"/>
    <s v="Nab-Makeup"/>
    <x v="26"/>
    <d v="2025-04-24T00:00:00"/>
    <n v="150"/>
    <d v="2025-05-04T00:00:00"/>
  </r>
  <r>
    <s v="Karishma Bedassee"/>
    <s v="Lot 89, Morcellement Boulet Rouge, Boulet Rouge, Flacq"/>
    <s v="East"/>
    <x v="66"/>
    <n v="57942963"/>
    <s v="Nab-Makeup"/>
    <x v="40"/>
    <d v="2025-04-28T00:00:00"/>
    <n v="150"/>
    <d v="2025-05-04T00:00:00"/>
  </r>
  <r>
    <s v="Vandana Soodin"/>
    <s v="Mahatma Gandhi Road, Bonne Mere, Flacq"/>
    <s v="East"/>
    <x v="66"/>
    <n v="57343139"/>
    <s v="Nab-Makeup"/>
    <x v="28"/>
    <d v="2025-05-01T00:00:00"/>
    <n v="150"/>
    <d v="2025-05-04T00:00:00"/>
  </r>
  <r>
    <s v="Oomeela Bissessur"/>
    <s v="Royal Road, Pont Parslin"/>
    <s v="Flacq"/>
    <x v="66"/>
    <n v="58032276"/>
    <s v="Nab-Makeup"/>
    <x v="29"/>
    <d v="2025-05-12T00:00:00"/>
    <n v="150"/>
    <d v="2025-06-01T00:00:00"/>
  </r>
  <r>
    <s v="Mitrani Ramnial Ramoutar"/>
    <s v="Kalimaye Road, Isidore Rose, Flacq"/>
    <s v="Flacq"/>
    <x v="66"/>
    <n v="59278137"/>
    <s v="OKASINA"/>
    <x v="13"/>
    <d v="2025-06-05T00:00:00"/>
    <n v="150"/>
    <d v="2025-07-02T00:00:00"/>
  </r>
  <r>
    <s v="Mrs Chandrika Nepaul"/>
    <s v="Telecom Shop, Flacq Super U"/>
    <s v="Flacq"/>
    <x v="66"/>
    <n v="52556300"/>
    <s v="Nab-Makeup"/>
    <x v="41"/>
    <d v="2025-06-16T00:00:00"/>
    <n v="150"/>
    <d v="2025-07-02T00:00:00"/>
  </r>
  <r>
    <s v="Dhruv Bharosay"/>
    <s v="Royal Road, Riche Mare, Flacq"/>
    <s v="Riche Mare"/>
    <x v="66"/>
    <n v="58181718"/>
    <s v="Nab-Makeup"/>
    <x v="10"/>
    <d v="2025-06-23T00:00:00"/>
    <n v="150"/>
    <d v="2025-07-02T00:00:00"/>
  </r>
  <r>
    <s v="Bhavishty Madhoo"/>
    <s v="Playground Road"/>
    <s v="GRSE"/>
    <x v="66"/>
    <n v="59352626"/>
    <s v="Nab-Makeup"/>
    <x v="47"/>
    <d v="2025-06-30T00:00:00"/>
    <n v="150"/>
    <d v="2025-07-02T00:00:00"/>
  </r>
  <r>
    <s v="Leeshena Seemreekeea"/>
    <s v="Choonee street, Clemencia"/>
    <s v="Clemencia"/>
    <x v="66"/>
    <n v="57651413"/>
    <s v="Nab-Makeup"/>
    <x v="11"/>
    <d v="2025-06-30T00:00:00"/>
    <n v="150"/>
    <d v="2025-07-02T00:00:00"/>
  </r>
  <r>
    <s v="Parishnee Chokhan"/>
    <s v="Ancharaz Road, Pont Blanc, Flacq"/>
    <s v="Flacq"/>
    <x v="66"/>
    <n v="59123524"/>
    <s v="Nab-Makeup"/>
    <x v="31"/>
    <d v="2025-07-03T00:00:00"/>
    <n v="150"/>
    <d v="2025-08-01T00:00:00"/>
  </r>
  <r>
    <s v="Asilah Najmiyah"/>
    <s v="Latapie Road, Bon Accueil, Hassen Hussein Lane, Flacq"/>
    <s v="Flacq"/>
    <x v="66"/>
    <n v="58345058"/>
    <s v="Nab-Makeup"/>
    <x v="24"/>
    <d v="2025-07-10T00:00:00"/>
    <n v="150"/>
    <d v="2025-08-01T00:00:00"/>
  </r>
  <r>
    <s v="Nabeehah Jumon"/>
    <s v="Macky lane, Bel-Air Riviere Seche, Flacq"/>
    <s v="Flacq"/>
    <x v="66"/>
    <n v="55376204"/>
    <s v="Nab-Makeup"/>
    <x v="3"/>
    <d v="2025-07-21T00:00:00"/>
    <n v="150"/>
    <d v="2025-08-01T00:00:00"/>
  </r>
  <r>
    <s v="Rosalba Ketsia"/>
    <s v="48 Residence Hibiscus"/>
    <s v="Flacq, Mauritius"/>
    <x v="66"/>
    <n v="59702528"/>
    <s v="Nab-Makeup"/>
    <x v="33"/>
    <d v="2025-07-28T00:00:00"/>
    <n v="150"/>
    <d v="2025-08-01T00:00:00"/>
  </r>
  <r>
    <s v="Caroline"/>
    <s v="Flacq"/>
    <s v="Flacq"/>
    <x v="66"/>
    <n v="57771177"/>
    <s v="Vibezone Boutik"/>
    <x v="53"/>
    <d v="2025-07-28T00:00:00"/>
    <n v="150"/>
    <d v="2025-08-01T00:00:00"/>
  </r>
  <r>
    <s v="Sandeshna Kowlessur"/>
    <s v="Royal Road, Camp De Masque Pave, 40401, Flacq, Mauritius"/>
    <s v="Flacq"/>
    <x v="66"/>
    <n v="58256248"/>
    <s v="Nab-Makeup"/>
    <x v="22"/>
    <d v="2025-08-07T00:00:00"/>
    <n v="150"/>
    <m/>
  </r>
  <r>
    <s v="Nushreen"/>
    <s v="L'Avenir, Flacq"/>
    <s v="Flacq"/>
    <x v="66"/>
    <n v="59089311"/>
    <s v="Timeless Trends"/>
    <x v="57"/>
    <d v="2025-08-15T00:00:00"/>
    <n v="150"/>
    <m/>
  </r>
  <r>
    <s v="Nazia Sunsary"/>
    <s v="Saint Ursule Road, Centre De Flacq"/>
    <s v="East"/>
    <x v="66"/>
    <n v="57901986"/>
    <s v="Nab-Makeup"/>
    <x v="35"/>
    <d v="2025-09-01T00:00:00"/>
    <n v="150"/>
    <m/>
  </r>
  <r>
    <s v="NATASHA - NABIIHAH - May's Shop"/>
    <s v="FLACQ, Mauritius"/>
    <s v="FLACQ, Mauritius"/>
    <x v="66"/>
    <n v="57611902"/>
    <s v="NABIIHAH - May's Shop"/>
    <x v="7"/>
    <d v="2025-09-01T00:00:00"/>
    <n v="100"/>
    <m/>
  </r>
  <r>
    <s v="Zaynah Ramjan"/>
    <s v="Lot 165B, Morc Anna, Flic-en-flac"/>
    <s v="West"/>
    <x v="67"/>
    <n v="58161684"/>
    <s v="Nab-Makeup"/>
    <x v="40"/>
    <d v="2025-04-28T00:00:00"/>
    <n v="150"/>
    <d v="2025-05-04T00:00:00"/>
  </r>
  <r>
    <s v="Miriam Yakowa"/>
    <s v="Oasis Boulevard/Shotz"/>
    <s v="Black River"/>
    <x v="67"/>
    <n v="54864473"/>
    <s v="Timeless Trends"/>
    <x v="58"/>
    <d v="2025-05-22T00:00:00"/>
    <n v="75"/>
    <d v="2025-06-01T00:00:00"/>
  </r>
  <r>
    <s v="Heelona Appadoo"/>
    <s v="257, Avenue des Hérons, Morc Bismic, Flic en Flac"/>
    <s v="Black River"/>
    <x v="67"/>
    <n v="57925275"/>
    <s v="Nab-Makeup"/>
    <x v="38"/>
    <d v="2025-05-26T00:00:00"/>
    <n v="150"/>
    <d v="2025-06-01T00:00:00"/>
  </r>
  <r>
    <s v="Rati Cawroo"/>
    <s v="Lot 127, Residence Les Jardins D'Anna, Flic En Flac"/>
    <s v="Black River"/>
    <x v="67"/>
    <n v="55029138"/>
    <s v="Nab-Makeup"/>
    <x v="20"/>
    <d v="2025-06-02T00:00:00"/>
    <n v="150"/>
    <d v="2025-08-01T00:00:00"/>
  </r>
  <r>
    <s v="Sandrina Ramessur"/>
    <s v="Avenue Cardineaux, Seaview Terrace, Flic en Flac"/>
    <s v="Black River"/>
    <x v="67"/>
    <n v="58200662"/>
    <s v="Nab-Makeup"/>
    <x v="19"/>
    <d v="2025-06-02T00:00:00"/>
    <n v="150"/>
    <d v="2025-07-02T00:00:00"/>
  </r>
  <r>
    <s v="Asha Roopah"/>
    <s v="Flic en Flac"/>
    <s v="Black River"/>
    <x v="67"/>
    <n v="59484572"/>
    <s v="OKASINA"/>
    <x v="19"/>
    <d v="2025-06-02T00:00:00"/>
    <n v="150"/>
    <d v="2025-07-02T00:00:00"/>
  </r>
  <r>
    <s v="Rati Cawroo"/>
    <s v="Lot 127, Residence Les Jardins D'Anna, Flic en Flac"/>
    <s v="Flic en Flac"/>
    <x v="67"/>
    <n v="55029138"/>
    <s v="Nab-Makeup"/>
    <x v="31"/>
    <d v="2025-07-03T00:00:00"/>
    <n v="150"/>
    <d v="2025-08-01T00:00:00"/>
  </r>
  <r>
    <s v="Rati Cawroo"/>
    <s v="Lot 127, Residence Les Jardins D'Anna, Flic en Flac"/>
    <s v="Flic en Flac"/>
    <x v="67"/>
    <n v="55029138"/>
    <s v="Nab-Makeup"/>
    <x v="24"/>
    <d v="2025-07-14T00:00:00"/>
    <n v="150"/>
    <d v="2025-08-01T00:00:00"/>
  </r>
  <r>
    <s v="Heelona Appadoo"/>
    <s v="257, Avenue des Herons, Morcellement Bismic, Flic en Flac"/>
    <s v="Flic en Flac"/>
    <x v="67"/>
    <n v="57925275"/>
    <s v="Nab-Makeup"/>
    <x v="0"/>
    <d v="2025-07-31T00:00:00"/>
    <n v="150"/>
    <d v="2025-08-01T00:00:00"/>
  </r>
  <r>
    <s v="Rati Cawroo"/>
    <s v="Lot 127, Residence Les Jardins D'Anna, Flic en Flac"/>
    <s v="Flic en Flac"/>
    <x v="67"/>
    <n v="55029138"/>
    <s v="Nab-Makeup"/>
    <x v="0"/>
    <d v="2025-07-31T00:00:00"/>
    <n v="150"/>
    <d v="2025-08-01T00:00:00"/>
  </r>
  <r>
    <s v="YANA - NABIIHAH - May's Shop"/>
    <s v="FLIC EN FLAC, Mauritius"/>
    <s v="FLIC EN FLAC, Mauritius"/>
    <x v="67"/>
    <n v="55029138"/>
    <s v="NABIIHAH - May's Shop"/>
    <x v="7"/>
    <d v="2025-09-01T00:00:00"/>
    <n v="100"/>
    <m/>
  </r>
  <r>
    <s v="SYLVETTE - NABIIHAH - May's Shop"/>
    <s v="FLIC EN FLAC, Mauritius"/>
    <s v="FLIC EN FLAC, Mauritius"/>
    <x v="67"/>
    <n v="59403788"/>
    <s v="NABIIHAH - May's Shop"/>
    <x v="7"/>
    <d v="2025-09-01T00:00:00"/>
    <n v="100"/>
    <m/>
  </r>
  <r>
    <s v="Akhmez Herburrun"/>
    <s v="Clinique Darne, Floreal (9am and noon or between 14.00 and 15.00.)"/>
    <s v="Floreal"/>
    <x v="68"/>
    <n v="57733090"/>
    <s v="Nab-Makeup"/>
    <x v="35"/>
    <d v="2025-08-29T00:00:00"/>
    <n v="150"/>
    <m/>
  </r>
  <r>
    <s v="Sherna Guness"/>
    <s v="Adrien Sauzier, Floreal"/>
    <s v="Floreal"/>
    <x v="68"/>
    <n v="54229032"/>
    <s v="Nab-Makeup"/>
    <x v="35"/>
    <d v="2025-08-29T00:00:00"/>
    <n v="150"/>
    <m/>
  </r>
  <r>
    <s v="Hanlore Maxie"/>
    <s v="B/O10 Cité Mangalkhan, Floreal"/>
    <s v="South"/>
    <x v="69"/>
    <n v="58251713"/>
    <s v="Nab-Makeup"/>
    <x v="46"/>
    <d v="2025-04-14T00:00:00"/>
    <n v="150"/>
    <d v="2025-05-04T00:00:00"/>
  </r>
  <r>
    <s v="Esha Bhurtun"/>
    <s v="Royal road Floreal"/>
    <s v="Central"/>
    <x v="69"/>
    <n v="58344705"/>
    <s v="Nab-Makeup"/>
    <x v="25"/>
    <d v="2025-04-21T00:00:00"/>
    <n v="150"/>
    <d v="2025-05-04T00:00:00"/>
  </r>
  <r>
    <s v="Zahrah Dhunnoo"/>
    <s v="Ramgutty Street, Floréal"/>
    <s v="Plaines Wilhems"/>
    <x v="69"/>
    <n v="59260105"/>
    <s v="Nab-Makeup"/>
    <x v="50"/>
    <d v="2025-05-15T00:00:00"/>
    <n v="150"/>
    <d v="2025-06-01T00:00:00"/>
  </r>
  <r>
    <s v="Om Reedhikesh Armoogum"/>
    <s v="Swami Sivananda Avenue, Floreal"/>
    <s v="Floreal"/>
    <x v="69"/>
    <n v="57022959"/>
    <s v="Nab-Makeup"/>
    <x v="31"/>
    <d v="2025-07-03T00:00:00"/>
    <n v="150"/>
    <d v="2025-08-01T00:00:00"/>
  </r>
  <r>
    <s v="Nooriyah Banon"/>
    <s v="Apt 23, Le Mona Loa, Residence Crater, Dr Mayer Street, Floreal"/>
    <s v="Floreal"/>
    <x v="69"/>
    <n v="58121192"/>
    <s v="Nab-Makeup"/>
    <x v="31"/>
    <d v="2025-07-03T00:00:00"/>
    <n v="150"/>
    <d v="2025-08-01T00:00:00"/>
  </r>
  <r>
    <s v="Murwan Karuna"/>
    <s v="Royal Rd Foreal, Opposite Engen Filling Station"/>
    <s v="Floréal"/>
    <x v="69"/>
    <n v="59132107"/>
    <s v="OKASINA"/>
    <x v="24"/>
    <d v="2025-07-17T00:00:00"/>
    <n v="150"/>
    <d v="2025-08-01T00:00:00"/>
  </r>
  <r>
    <s v="Danielle "/>
    <s v="Gobinden Lane, Allée Brillant, Floréal"/>
    <s v="Allée Brillant"/>
    <x v="69"/>
    <n v="52534462"/>
    <s v="Timeless Trends"/>
    <x v="55"/>
    <d v="2025-08-12T00:00:00"/>
    <n v="150"/>
    <m/>
  </r>
  <r>
    <s v="Shristi Beezlall"/>
    <s v="Roshni Road, Fond du sac, Port Louis"/>
    <s v="North"/>
    <x v="70"/>
    <n v="57525609"/>
    <s v="Nab-Makeup"/>
    <x v="40"/>
    <d v="2025-05-01T00:00:00"/>
    <n v="150"/>
    <d v="2025-05-04T00:00:00"/>
  </r>
  <r>
    <s v="Pallavi Ramkissoon"/>
    <s v="Royal Rd, Fond du Sac"/>
    <s v="Rivière du Rempart"/>
    <x v="70"/>
    <n v="57835977"/>
    <s v="Nab-Makeup"/>
    <x v="49"/>
    <d v="2025-05-05T00:00:00"/>
    <n v="150"/>
    <d v="2025-06-01T00:00:00"/>
  </r>
  <r>
    <s v="Pallavi Ramkissoon"/>
    <s v="Royal Rd, Fond du Sac"/>
    <s v="Rivière du Rempart"/>
    <x v="70"/>
    <n v="57835977"/>
    <s v="Nab-Makeup"/>
    <x v="9"/>
    <d v="2025-05-05T00:00:00"/>
    <n v="150"/>
    <d v="2025-06-01T00:00:00"/>
  </r>
  <r>
    <s v="Aamirah Cassim"/>
    <s v="Morcellement Nandanee, Fond du Sac"/>
    <s v="Rivière du Rempart"/>
    <x v="70"/>
    <n v="57901382"/>
    <s v="Nab-Makeup"/>
    <x v="29"/>
    <d v="2025-05-12T00:00:00"/>
    <n v="150"/>
    <d v="2025-06-01T00:00:00"/>
  </r>
  <r>
    <s v="Kirty Sheoraj"/>
    <s v="Lotus Road, Morcellement Purgus"/>
    <s v="Fond Du Sac"/>
    <x v="70"/>
    <n v="57057018"/>
    <s v="Nab-Makeup"/>
    <x v="47"/>
    <d v="2025-06-26T00:00:00"/>
    <n v="150"/>
    <d v="2025-07-02T00:00:00"/>
  </r>
  <r>
    <s v="Kirty Sheoraj"/>
    <s v="Lotus Road, Morc Purgus, Fond Du Sac"/>
    <s v="Fond Du Sac"/>
    <x v="70"/>
    <n v="57057018"/>
    <s v="Nab-Makeup"/>
    <x v="31"/>
    <d v="2025-07-03T00:00:00"/>
    <n v="150"/>
    <d v="2025-08-01T00:00:00"/>
  </r>
  <r>
    <s v="Kooshmita Dahoo"/>
    <s v="Nehru Lane, Fond Du Sac"/>
    <s v="Fond Du Sac"/>
    <x v="70"/>
    <n v="59116723"/>
    <s v="Nab-Makeup"/>
    <x v="21"/>
    <d v="2025-07-14T00:00:00"/>
    <n v="150"/>
    <d v="2025-08-01T00:00:00"/>
  </r>
  <r>
    <s v="Neetusha Lullith"/>
    <s v="Mahatma Gandhi Road, Fond Du Sac"/>
    <s v="Fond Du Sac"/>
    <x v="70"/>
    <n v="58221365"/>
    <s v="Nab-Makeup"/>
    <x v="21"/>
    <d v="2025-07-14T00:00:00"/>
    <n v="150"/>
    <d v="2025-08-01T00:00:00"/>
  </r>
  <r>
    <s v="Tilesh Bahadoor RAGHU "/>
    <s v="Royal Road, Fond du Sac"/>
    <s v="Fond du Sac"/>
    <x v="70"/>
    <n v="58194682"/>
    <s v="Timeless Trends"/>
    <x v="59"/>
    <d v="2025-07-17T00:00:00"/>
    <n v="150"/>
    <d v="2025-08-01T00:00:00"/>
  </r>
  <r>
    <s v="Preshnee Ramchurn"/>
    <s v="Forbach Road, Fond Du Sac (Urgent)"/>
    <s v="Fond Du Sac"/>
    <x v="70"/>
    <n v="54912470"/>
    <s v="Nab-Makeup"/>
    <x v="6"/>
    <d v="2025-08-05T00:00:00"/>
    <n v="150"/>
    <m/>
  </r>
  <r>
    <s v="Sakshi Pariag"/>
    <s v="Royal Road, Fond du Sac"/>
    <s v="Fond du Sac"/>
    <x v="70"/>
    <n v="57831021"/>
    <s v="Nab-Makeup"/>
    <x v="5"/>
    <d v="2025-08-12T00:00:00"/>
    <n v="150"/>
    <m/>
  </r>
  <r>
    <s v="Narainnee Kardaree"/>
    <s v="Ramphul Lane 16eme Mille F.Side"/>
    <s v="South"/>
    <x v="71"/>
    <n v="58321701"/>
    <s v="Nab-Makeup"/>
    <x v="8"/>
    <d v="2025-05-01T00:00:00"/>
    <n v="150"/>
    <d v="2025-05-04T00:00:00"/>
  </r>
  <r>
    <s v="Ourvassi Pillay Narrainen"/>
    <s v="C5, Cité St Luc Avenue Des Sapins Forest Side"/>
    <s v="Plaines Wilhems"/>
    <x v="71"/>
    <s v="57878891 / 54944479"/>
    <s v="Nab-Makeup"/>
    <x v="8"/>
    <d v="2025-05-01T00:00:00"/>
    <n v="150"/>
    <d v="2025-05-04T00:00:00"/>
  </r>
  <r>
    <s v="Mallika Golap"/>
    <s v="Morcellement Leclezio, Forest Side"/>
    <s v="Central"/>
    <x v="71"/>
    <n v="59486718"/>
    <s v="Nab-Makeup"/>
    <x v="28"/>
    <d v="2025-05-01T00:00:00"/>
    <n v="150"/>
    <d v="2025-05-04T00:00:00"/>
  </r>
  <r>
    <s v="Ashley Shookhye"/>
    <s v="Mellish Street, Forest Side"/>
    <s v="Plaines Wilhems"/>
    <x v="71"/>
    <n v="57244141"/>
    <s v="Nab-Makeup"/>
    <x v="49"/>
    <d v="2025-05-05T00:00:00"/>
    <n v="150"/>
    <d v="2025-06-01T00:00:00"/>
  </r>
  <r>
    <s v="Codabaccus Wazeefah"/>
    <s v="Camp le Juge, Forest Side"/>
    <s v="Plaines Wilhems"/>
    <x v="71"/>
    <n v="58147798"/>
    <s v="Nab-Makeup"/>
    <x v="13"/>
    <d v="2025-06-05T00:00:00"/>
    <n v="150"/>
    <d v="2025-07-02T00:00:00"/>
  </r>
  <r>
    <s v="Mujahid Kadell"/>
    <s v="Near Imperial College"/>
    <s v="Forest Side"/>
    <x v="71"/>
    <n v="52588092"/>
    <s v="May's Shop"/>
    <x v="60"/>
    <d v="2025-06-26T00:00:00"/>
    <n v="150"/>
    <d v="2025-07-02T00:00:00"/>
  </r>
  <r>
    <s v="Rosheema Fugurally"/>
    <s v="Tropic knits, Royal Road Forestside"/>
    <s v="Curepipe"/>
    <x v="71"/>
    <n v="57339628"/>
    <s v="OKASINA"/>
    <x v="31"/>
    <d v="2025-07-03T00:00:00"/>
    <n v="150"/>
    <d v="2025-08-01T00:00:00"/>
  </r>
  <r>
    <s v="Ourvassi Pillay Narrainen"/>
    <s v="C5, Cite St Luc, Avenue des Sapins, Forest Side"/>
    <s v="Forest Side"/>
    <x v="71"/>
    <s v="57878891 / 54944479"/>
    <s v="Nab-Makeup"/>
    <x v="3"/>
    <d v="2025-07-21T00:00:00"/>
    <n v="150"/>
    <d v="2025-08-01T00:00:00"/>
  </r>
  <r>
    <s v="Khaoula Baroudi"/>
    <s v="31 Frederick Bonnefin, Forest Side, Mauritius"/>
    <s v="Central"/>
    <x v="71"/>
    <s v="5936 2930"/>
    <s v="Nab-Makeup"/>
    <x v="27"/>
    <d v="2025-08-19T00:00:00"/>
    <n v="150"/>
    <m/>
  </r>
  <r>
    <s v="KAVITA - NABIIHAH - May's Shop"/>
    <s v="GOODLAND, Mauritius"/>
    <s v="GOODLAND, Mauritius"/>
    <x v="72"/>
    <n v="57915451"/>
    <s v="NABIIHAH - May's Shop"/>
    <x v="7"/>
    <d v="2025-08-29T00:00:00"/>
    <n v="100"/>
    <m/>
  </r>
  <r>
    <s v="Shabnam Jhangeer"/>
    <s v="Plateau Road, Goodlands"/>
    <s v="North"/>
    <x v="73"/>
    <n v="54786996"/>
    <s v="Nab-Makeup"/>
    <x v="25"/>
    <d v="2025-04-21T00:00:00"/>
    <n v="150"/>
    <d v="2025-05-04T00:00:00"/>
  </r>
  <r>
    <s v="Rubainah Ollee"/>
    <s v="Royal Road, Goodlands (Pharmacy Burahee Vis À Vis La Post Goodlands)"/>
    <s v="North"/>
    <x v="73"/>
    <n v="59470674"/>
    <s v="Nab-Makeup"/>
    <x v="8"/>
    <d v="2025-05-01T00:00:00"/>
    <n v="150"/>
    <d v="2025-05-04T00:00:00"/>
  </r>
  <r>
    <s v="Swatee Sonagadu"/>
    <s v="Rainbow Lane, Mlle Jeanne Road, Goodlands"/>
    <s v="Rivière du Rempart"/>
    <x v="73"/>
    <n v="57557920"/>
    <s v="Nab-Makeup"/>
    <x v="29"/>
    <d v="2025-05-12T00:00:00"/>
    <n v="150"/>
    <d v="2025-06-01T00:00:00"/>
  </r>
  <r>
    <s v="Noshaabah Huzooree"/>
    <s v="Morc Saint Antoine, Goodlands Avenue Rossignol, P11/Phase 3"/>
    <s v="Rivière du Rempart"/>
    <x v="73"/>
    <n v="58129373"/>
    <s v="Nab-Makeup"/>
    <x v="29"/>
    <d v="2025-05-12T00:00:00"/>
    <n v="150"/>
    <d v="2025-06-01T00:00:00"/>
  </r>
  <r>
    <s v="Noorjahan Nohur Nesha"/>
    <s v="Keijou Road, Goodlands, Petit Village"/>
    <s v="Rivière du Rempart"/>
    <x v="73"/>
    <n v="57733826"/>
    <s v="Nab-Makeup"/>
    <x v="29"/>
    <d v="2025-05-12T00:00:00"/>
    <n v="150"/>
    <d v="2025-06-01T00:00:00"/>
  </r>
  <r>
    <s v="Bhookhul Sadhvi"/>
    <s v="Verger Road, Goodlands"/>
    <s v="Rivière du Rempart"/>
    <x v="73"/>
    <n v="58020784"/>
    <s v="Nab-Makeup"/>
    <x v="29"/>
    <d v="2025-05-12T00:00:00"/>
    <n v="150"/>
    <d v="2025-06-01T00:00:00"/>
  </r>
  <r>
    <s v="Premila Ramchurn"/>
    <s v="Social Welfare road"/>
    <s v="Goodlands"/>
    <x v="73"/>
    <n v="58200498"/>
    <s v="Glow And Aura"/>
    <x v="61"/>
    <d v="2025-05-26T00:00:00"/>
    <n v="75"/>
    <d v="2025-06-01T00:00:00"/>
  </r>
  <r>
    <s v="Varoona Chamilall"/>
    <s v="Bank Road, Goodlands"/>
    <s v="Rivière du Rempart"/>
    <x v="73"/>
    <n v="54734133"/>
    <s v="Nab-Makeup"/>
    <x v="38"/>
    <d v="2025-05-26T00:00:00"/>
    <n v="150"/>
    <d v="2025-06-01T00:00:00"/>
  </r>
  <r>
    <s v="Reena Gooriah"/>
    <s v="Royal Rd, Goodlands"/>
    <s v="Goodlands"/>
    <x v="73"/>
    <n v="57756071"/>
    <s v="OKASINA"/>
    <x v="20"/>
    <d v="2025-05-29T00:00:00"/>
    <n v="150"/>
    <d v="2025-06-01T00:00:00"/>
  </r>
  <r>
    <s v="Naziba Elaheebocus"/>
    <s v="Royal Road, Goodlands"/>
    <s v="Rivière du Rempart"/>
    <x v="73"/>
    <n v="57633463"/>
    <s v="Nab-Makeup"/>
    <x v="19"/>
    <d v="2025-06-02T00:00:00"/>
    <n v="150"/>
    <d v="2025-07-02T00:00:00"/>
  </r>
  <r>
    <s v="Poonam Jhary"/>
    <s v="Kalimaye Rd, Melle Jeanne, Goodlands"/>
    <s v="Goodlands"/>
    <x v="73"/>
    <n v="57470178"/>
    <s v="OKASINA"/>
    <x v="13"/>
    <d v="2025-06-05T00:00:00"/>
    <n v="150"/>
    <d v="2025-07-02T00:00:00"/>
  </r>
  <r>
    <s v="Yashvi Kanhye"/>
    <s v="Melle Jeanne, Goodlands"/>
    <s v="Rivière du Rempart"/>
    <x v="73"/>
    <n v="57967823"/>
    <s v="Nab-Makeup"/>
    <x v="13"/>
    <d v="2025-06-05T00:00:00"/>
    <n v="150"/>
    <d v="2025-07-02T00:00:00"/>
  </r>
  <r>
    <s v="Medeesha Choonucksing"/>
    <s v="Royal Road, Goodlands"/>
    <s v="Rivière du Rempart"/>
    <x v="73"/>
    <n v="57029805"/>
    <s v="Nab-Makeup"/>
    <x v="13"/>
    <d v="2025-06-05T00:00:00"/>
    <n v="150"/>
    <d v="2025-07-02T00:00:00"/>
  </r>
  <r>
    <s v="Hanshenee Punchaye"/>
    <s v="Verger Road, Goodlands"/>
    <s v="Rivière du Rempart"/>
    <x v="73"/>
    <n v="58346541"/>
    <s v="Nab-Makeup"/>
    <x v="1"/>
    <d v="2025-06-12T00:00:00"/>
    <n v="150"/>
    <d v="2025-07-02T00:00:00"/>
  </r>
  <r>
    <s v="Moosnah Lakshana Devi"/>
    <s v="Mudhoo Road, Goodlands"/>
    <s v="Rivière du Rempart"/>
    <x v="73"/>
    <s v=" 59048425 / 55033136"/>
    <s v="Nab-Makeup"/>
    <x v="1"/>
    <d v="2025-06-09T00:00:00"/>
    <n v="150"/>
    <d v="2025-07-02T00:00:00"/>
  </r>
  <r>
    <s v="Rakshita Juggessur"/>
    <s v="4A VEL PLAZA, Royal Road, Goodlands"/>
    <s v="Rivière du Rempart"/>
    <x v="73"/>
    <n v="59251093"/>
    <s v="Nab-Makeup"/>
    <x v="1"/>
    <d v="2025-06-09T00:00:00"/>
    <n v="150"/>
    <d v="2025-07-02T00:00:00"/>
  </r>
  <r>
    <s v="Muskaan Santuck"/>
    <s v="Ave Eucalyptus, Domaine Du Moulin, Goodlands"/>
    <s v="Rivière du Rempart"/>
    <x v="73"/>
    <n v="58173590"/>
    <s v="Nab-Makeup"/>
    <x v="14"/>
    <d v="2025-06-12T00:00:00"/>
    <n v="150"/>
    <d v="2025-07-02T00:00:00"/>
  </r>
  <r>
    <s v="Nushruth"/>
    <s v="Panchoo Plateau rd"/>
    <s v="Goodlands"/>
    <x v="73"/>
    <n v="57772982"/>
    <s v="Glow And Aura"/>
    <x v="62"/>
    <d v="2025-06-20T00:00:00"/>
    <n v="150"/>
    <d v="2025-07-02T00:00:00"/>
  </r>
  <r>
    <s v="Hanifa Suffee"/>
    <s v="Avenue Autriche, Morcellement Saint Antoine, Goodlands"/>
    <s v="Morcellement Saint Antoine"/>
    <x v="73"/>
    <n v="57956063"/>
    <s v="Nab-Makeup"/>
    <x v="10"/>
    <d v="2025-06-23T00:00:00"/>
    <n v="150"/>
    <d v="2025-07-02T00:00:00"/>
  </r>
  <r>
    <s v="Naziba Elaheebocus"/>
    <s v="Royal Road, Goodlands"/>
    <s v="Royal Road"/>
    <x v="73"/>
    <n v="57633463"/>
    <s v="Nab-Makeup"/>
    <x v="10"/>
    <d v="2025-06-23T00:00:00"/>
    <n v="150"/>
    <d v="2025-07-02T00:00:00"/>
  </r>
  <r>
    <s v="Aznaah Imamdee"/>
    <s v="Jugdambi Road, Goodlands"/>
    <s v="Riviere du Rempart"/>
    <x v="73"/>
    <n v="58274221"/>
    <s v="Nab-Makeup"/>
    <x v="11"/>
    <d v="2025-06-30T00:00:00"/>
    <n v="150"/>
    <d v="2025-07-02T00:00:00"/>
  </r>
  <r>
    <s v="Tanuja Peeroo"/>
    <s v="St Antoine, Goodlands"/>
    <s v="Riviere du Rempart"/>
    <x v="73"/>
    <n v="57084233"/>
    <s v="Nab-Makeup"/>
    <x v="11"/>
    <d v="2025-06-30T00:00:00"/>
    <n v="150"/>
    <d v="2025-07-02T00:00:00"/>
  </r>
  <r>
    <s v="Muhammad Muzzammil Tagally"/>
    <s v="Soobhany Road, Goodlands"/>
    <s v="Goodlands"/>
    <x v="73"/>
    <n v="58263120"/>
    <s v="Nab-Makeup"/>
    <x v="2"/>
    <d v="2025-07-07T00:00:00"/>
    <n v="150"/>
    <d v="2025-08-01T00:00:00"/>
  </r>
  <r>
    <s v="Shabnoor Bhugel"/>
    <s v="King's Rd, Goodlands"/>
    <s v="Goodlands"/>
    <x v="73"/>
    <n v="58409137"/>
    <s v="Nab-Makeup"/>
    <x v="24"/>
    <d v="2025-07-10T00:00:00"/>
    <n v="150"/>
    <d v="2025-08-01T00:00:00"/>
  </r>
  <r>
    <s v="Poonam Jhary"/>
    <s v="Kalimaye rd, Melle Jeanne, Goodlands"/>
    <s v="Goodlands"/>
    <x v="73"/>
    <n v="57470178"/>
    <s v="OKASINA"/>
    <x v="24"/>
    <d v="2025-07-10T00:00:00"/>
    <n v="150"/>
    <d v="2025-08-01T00:00:00"/>
  </r>
  <r>
    <s v="Yaziid Togally"/>
    <s v="Soobhany Road, Goodlands"/>
    <s v="Goodlands"/>
    <x v="73"/>
    <n v="58356435"/>
    <s v="Nab-Makeup"/>
    <x v="21"/>
    <d v="2025-07-14T00:00:00"/>
    <n v="150"/>
    <d v="2025-08-01T00:00:00"/>
  </r>
  <r>
    <s v="Nash"/>
    <s v="Goodlands"/>
    <s v="Goodlands"/>
    <x v="73"/>
    <n v="57811781"/>
    <s v="Timeless Trends"/>
    <x v="16"/>
    <d v="2025-07-14T00:00:00"/>
    <n v="150"/>
    <d v="2025-08-01T00:00:00"/>
  </r>
  <r>
    <s v="Shabnoor Bhugel"/>
    <s v="King's Road, Goodlands"/>
    <s v="Goodlands"/>
    <x v="73"/>
    <n v="58409137"/>
    <s v="Nab-Makeup"/>
    <x v="6"/>
    <d v="2025-08-05T00:00:00"/>
    <n v="150"/>
    <m/>
  </r>
  <r>
    <s v="Nabeena Huzooree"/>
    <s v="3, P11/Phase, Goodlands"/>
    <s v="Goodlands"/>
    <x v="73"/>
    <n v="55042488"/>
    <s v="Nab-Makeup"/>
    <x v="6"/>
    <d v="2025-08-05T00:00:00"/>
    <n v="150"/>
    <m/>
  </r>
  <r>
    <s v="Gayetree Arunachalam"/>
    <s v="Tamil temple road, Goodlands"/>
    <s v="Goodlands"/>
    <x v="73"/>
    <n v="57595683"/>
    <s v="OKASINA"/>
    <x v="6"/>
    <d v="2025-08-05T00:00:00"/>
    <n v="150"/>
    <m/>
  </r>
  <r>
    <s v="Khushi Mudhoo"/>
    <s v="Melle Jeanne Road, Melville, Goodlands"/>
    <s v="Goodlands"/>
    <x v="73"/>
    <n v="57033780"/>
    <s v="OKASINA"/>
    <x v="5"/>
    <d v="2025-08-12T00:00:00"/>
    <n v="150"/>
    <m/>
  </r>
  <r>
    <s v="Joomun Wazifah"/>
    <s v="Royal Road, Goodlands"/>
    <s v="Goodlands"/>
    <x v="73"/>
    <n v="59212890"/>
    <s v="Nab-Makeup"/>
    <x v="5"/>
    <d v="2025-08-12T00:00:00"/>
    <n v="150"/>
    <m/>
  </r>
  <r>
    <s v="Heshma Jogoosing"/>
    <s v="Melle Jeane Road, Goodlands, Mauritius"/>
    <s v="North"/>
    <x v="73"/>
    <n v="59015844"/>
    <s v="Nab-Makeup"/>
    <x v="27"/>
    <d v="2025-08-22T00:00:00"/>
    <n v="150"/>
    <m/>
  </r>
  <r>
    <s v="Zuhayr Bhugel"/>
    <s v="Kings Road, Goodlands"/>
    <s v="Goodlands"/>
    <x v="73"/>
    <n v="54889171"/>
    <s v="Azzah Boutique"/>
    <x v="63"/>
    <d v="2025-08-22T00:00:00"/>
    <n v="150"/>
    <m/>
  </r>
  <r>
    <s v="Poonam Jhary"/>
    <s v="Kalimaye Rd, Melle Jeanne, Goodlands"/>
    <s v="Goodlands"/>
    <x v="73"/>
    <n v="57470178"/>
    <s v="OKASINA"/>
    <x v="63"/>
    <d v="2025-08-22T00:00:00"/>
    <n v="150"/>
    <m/>
  </r>
  <r>
    <s v="Poonam Jhary"/>
    <s v="Kalimaye Rd, Melle Jeanne, Goodlands"/>
    <s v="Goodlands"/>
    <x v="73"/>
    <n v="57470178"/>
    <s v="OKASINA"/>
    <x v="36"/>
    <d v="2025-08-26T00:00:00"/>
    <n v="150"/>
    <m/>
  </r>
  <r>
    <s v="Babita Pem-Mohabeer"/>
    <s v="Royal Road Grand Bay"/>
    <s v="North"/>
    <x v="74"/>
    <n v="57670296"/>
    <s v="Nab-Makeup"/>
    <x v="25"/>
    <d v="2025-04-21T00:00:00"/>
    <n v="150"/>
    <d v="2025-05-04T00:00:00"/>
  </r>
  <r>
    <s v="Hayna Golamaully"/>
    <s v="La Croisette, Grand Baie"/>
    <s v="North"/>
    <x v="74"/>
    <n v="57760424"/>
    <s v="Nab-Makeup"/>
    <x v="40"/>
    <d v="2025-04-28T00:00:00"/>
    <n v="150"/>
    <d v="2025-05-04T00:00:00"/>
  </r>
  <r>
    <s v="Tanya Donzé"/>
    <s v="Chemin 20 pieds, Grand Baie"/>
    <s v="North"/>
    <x v="74"/>
    <n v="52516583"/>
    <s v="Nab-Makeup"/>
    <x v="40"/>
    <d v="2025-04-28T00:00:00"/>
    <n v="150"/>
    <d v="2025-05-04T00:00:00"/>
  </r>
  <r>
    <s v="Diksha Caussy"/>
    <s v="Royal Road, Grand Baie, Near La Terrasse Kot Ancien Post Office"/>
    <s v="North"/>
    <x v="74"/>
    <n v="58086084"/>
    <s v="Nab-Makeup"/>
    <x v="28"/>
    <d v="2025-05-01T00:00:00"/>
    <n v="150"/>
    <d v="2025-05-04T00:00:00"/>
  </r>
  <r>
    <s v="Zainab Auckburally"/>
    <s v="Pharmacy Lo, Royal Road, Grand Baie"/>
    <s v="Rivière du Rempart"/>
    <x v="74"/>
    <n v="58291827"/>
    <s v="Nab-Makeup"/>
    <x v="50"/>
    <d v="2025-05-15T00:00:00"/>
    <n v="150"/>
    <d v="2025-06-01T00:00:00"/>
  </r>
  <r>
    <s v="Seena Seburuth"/>
    <s v="Sottise Road, Grand Baie / SBM Tower, Port Louis (Weekdays)"/>
    <s v="Rivière du Rempart"/>
    <x v="74"/>
    <n v="57081703"/>
    <s v="Nab-Makeup"/>
    <x v="30"/>
    <d v="2025-05-19T00:00:00"/>
    <n v="150"/>
    <d v="2025-06-01T00:00:00"/>
  </r>
  <r>
    <s v="Bibi Azleen Boojhawoonah"/>
    <s v="Royal Road, Grand Bay (Near Mosque)"/>
    <s v="Rivière du Rempart"/>
    <x v="74"/>
    <n v="57848823"/>
    <s v="Nab-Makeup"/>
    <x v="1"/>
    <d v="2025-06-09T00:00:00"/>
    <n v="150"/>
    <d v="2025-07-02T00:00:00"/>
  </r>
  <r>
    <s v="Karishma"/>
    <s v="Royal Road"/>
    <s v="Grand Baie"/>
    <x v="74"/>
    <n v="58399698"/>
    <s v="Glow And Aura"/>
    <x v="51"/>
    <d v="2025-06-26T00:00:00"/>
    <n v="150"/>
    <d v="2025-07-02T00:00:00"/>
  </r>
  <r>
    <s v="Hélène Marie"/>
    <s v="Avenue des Laurier"/>
    <s v="Pointe aux Canonniers"/>
    <x v="74"/>
    <n v="57213748"/>
    <s v="Timeless Trends"/>
    <x v="51"/>
    <d v="2025-06-26T00:00:00"/>
    <n v="150"/>
    <d v="2025-07-02T00:00:00"/>
  </r>
  <r>
    <s v="Melanie Chan"/>
    <s v="Geranium lane, Grand Baie"/>
    <s v="Grand Baie"/>
    <x v="74"/>
    <n v="52556562"/>
    <s v="Nab-Makeup"/>
    <x v="2"/>
    <d v="2025-07-07T00:00:00"/>
    <n v="150"/>
    <d v="2025-08-01T00:00:00"/>
  </r>
  <r>
    <s v="Kovashini Sedembarum"/>
    <s v="Cyril Lagesse Lane, Grand Bay (near Pharmacy Lo)"/>
    <s v="Grand Bay"/>
    <x v="74"/>
    <n v="58286772"/>
    <s v="Nab-Makeup"/>
    <x v="2"/>
    <d v="2025-07-07T00:00:00"/>
    <n v="150"/>
    <d v="2025-08-01T00:00:00"/>
  </r>
  <r>
    <s v="Jessni Narayanen Meettook"/>
    <s v="Grandbay Super U"/>
    <s v="Grand Bay"/>
    <x v="74"/>
    <n v="58679384"/>
    <s v="Nab-Makeup"/>
    <x v="21"/>
    <d v="2025-07-14T00:00:00"/>
    <n v="150"/>
    <d v="2025-08-01T00:00:00"/>
  </r>
  <r>
    <s v="Ancharaz Sanvi"/>
    <s v="La Salette Road, Grand Bay"/>
    <s v="Grand Bay"/>
    <x v="74"/>
    <n v="57921497"/>
    <s v="Nab-Makeup"/>
    <x v="21"/>
    <d v="2025-07-14T00:00:00"/>
    <n v="150"/>
    <d v="2025-08-01T00:00:00"/>
  </r>
  <r>
    <s v="Bibi Azleen Boojhawoonah"/>
    <s v="Royal Road"/>
    <s v="Grand Bay"/>
    <x v="74"/>
    <n v="57848823"/>
    <s v="Nab-Makeup"/>
    <x v="33"/>
    <d v="2025-07-28T00:00:00"/>
    <n v="150"/>
    <d v="2025-08-01T00:00:00"/>
  </r>
  <r>
    <s v="Reshmee Hurry"/>
    <s v="Coastal Road, Point Aux Canonier, Grand Baie"/>
    <s v="Point Aux Canonier"/>
    <x v="74"/>
    <n v="59795613"/>
    <s v="Glow And Aura"/>
    <x v="55"/>
    <d v="2025-08-07T00:00:00"/>
    <n v="150"/>
    <m/>
  </r>
  <r>
    <s v="Zaynah Nujjoo"/>
    <s v="Royal Road, Grand Baie"/>
    <s v="Grand Baie"/>
    <x v="74"/>
    <n v="57927340"/>
    <s v="Nab-Makeup"/>
    <x v="17"/>
    <d v="2025-08-22T00:00:00"/>
    <n v="150"/>
    <m/>
  </r>
  <r>
    <s v="Tanya Donzé"/>
    <s v="Chemin 20 pieds, Grand Baie"/>
    <s v="Grand Baie"/>
    <x v="74"/>
    <n v="52516583"/>
    <s v="Nab-Makeup"/>
    <x v="17"/>
    <d v="2025-08-22T00:00:00"/>
    <n v="150"/>
    <m/>
  </r>
  <r>
    <s v="MOONSAMY - NABIIHAH - May's Shop"/>
    <s v="GRAND BAY, Mauritius"/>
    <s v="GRAND BAY, Mauritius"/>
    <x v="75"/>
    <n v="57877841"/>
    <s v="NABIIHAH - May's Shop"/>
    <x v="7"/>
    <d v="2025-09-01T00:00:00"/>
    <n v="100"/>
    <m/>
  </r>
  <r>
    <s v="HAPPINESS - NABIIHAH - May's Shop"/>
    <s v="GRAND BAY, Mauritius"/>
    <s v="GRAND BAY, Mauritius"/>
    <x v="75"/>
    <n v="58670585"/>
    <s v="NABIIHAH - May's Shop"/>
    <x v="7"/>
    <d v="2025-09-01T00:00:00"/>
    <n v="100"/>
    <m/>
  </r>
  <r>
    <s v="Muditaa Boyjoo"/>
    <s v="School Lane"/>
    <s v="Grand Bel Air, Mauritius"/>
    <x v="76"/>
    <n v="59256871"/>
    <s v="Nab-Makeup"/>
    <x v="33"/>
    <d v="2025-07-28T00:00:00"/>
    <n v="150"/>
    <d v="2025-08-01T00:00:00"/>
  </r>
  <r>
    <s v="Arusha Kureembokus"/>
    <s v="Adolphe Street, Grand Bois"/>
    <s v="South"/>
    <x v="77"/>
    <n v="59083237"/>
    <s v="Nab-Makeup"/>
    <x v="46"/>
    <d v="2025-04-14T00:00:00"/>
    <n v="150"/>
    <d v="2025-05-04T00:00:00"/>
  </r>
  <r>
    <s v="Saheeba Soobratty"/>
    <s v="Royal Road, Grand Bois ( Near Twilight Shop), Savanne"/>
    <s v="Grand Bois"/>
    <x v="77"/>
    <n v="58290737"/>
    <s v="Nab-Makeup"/>
    <x v="8"/>
    <d v="2025-04-30T00:00:00"/>
    <n v="150"/>
    <d v="2025-05-04T00:00:00"/>
  </r>
  <r>
    <s v="Girish Seebaluck"/>
    <s v="40, Sewsagur Road, Grand Bois"/>
    <s v="Savanne"/>
    <x v="77"/>
    <n v="57650574"/>
    <s v="Nab-Makeup"/>
    <x v="13"/>
    <d v="2025-06-05T00:00:00"/>
    <n v="150"/>
    <d v="2025-07-02T00:00:00"/>
  </r>
  <r>
    <s v="Hadeeya Aungnoo"/>
    <s v="Old Savanne Road, Grand Bois"/>
    <s v="Savanne"/>
    <x v="77"/>
    <n v="57841073"/>
    <s v="Nab-Makeup"/>
    <x v="15"/>
    <d v="2025-06-23T00:00:00"/>
    <n v="150"/>
    <d v="2025-07-02T00:00:00"/>
  </r>
  <r>
    <s v="Saheeba Soobratty"/>
    <s v="Riv Des Anguille / Royal Road, Grand Bois"/>
    <s v="Savanne"/>
    <x v="77"/>
    <n v="58290737"/>
    <s v="Nab-Makeup"/>
    <x v="11"/>
    <d v="2025-06-30T00:00:00"/>
    <n v="150"/>
    <d v="2025-07-02T00:00:00"/>
  </r>
  <r>
    <s v="Devina Ramnundun"/>
    <s v="Le Grand Branch Road, Grand Bois"/>
    <s v="Grand Bois"/>
    <x v="77"/>
    <n v="59262137"/>
    <s v="Timeless Trends"/>
    <x v="53"/>
    <d v="2025-07-31T00:00:00"/>
    <n v="150"/>
    <d v="2025-08-01T00:00:00"/>
  </r>
  <r>
    <s v="Keshika Khadun"/>
    <s v="Morcellement VRS 143 Grand Bois"/>
    <s v="Grand Bois"/>
    <x v="77"/>
    <n v="58343479"/>
    <s v="Nab-Makeup"/>
    <x v="5"/>
    <d v="2025-08-12T00:00:00"/>
    <n v="150"/>
    <m/>
  </r>
  <r>
    <s v="KAMINI - NABIIHAH - May's Shop"/>
    <s v="GRAND BOIS, Mauritius"/>
    <s v="GRAND BOIS, Mauritius"/>
    <x v="77"/>
    <n v="54507613"/>
    <s v="NABIIHAH - May's Shop"/>
    <x v="7"/>
    <d v="2025-08-29T00:00:00"/>
    <n v="100"/>
    <m/>
  </r>
  <r>
    <s v="SHAHEEN - NABIIHAH - May's Shop"/>
    <s v="GRAND BOIS OLD SAVANNE RD, Mauritius"/>
    <s v="GRAND BOIS OLD SAVANNE RD, Mauritius"/>
    <x v="78"/>
    <n v="59896800"/>
    <s v="NABIIHAH - May's Shop"/>
    <x v="7"/>
    <d v="2025-08-29T00:00:00"/>
    <n v="100"/>
    <m/>
  </r>
  <r>
    <s v="Maëva Jaune"/>
    <s v="Camp Madras"/>
    <s v="North-East"/>
    <x v="79"/>
    <n v="54790996"/>
    <s v="Nab-Makeup"/>
    <x v="18"/>
    <d v="2025-04-17T00:00:00"/>
    <n v="150"/>
    <d v="2025-05-04T00:00:00"/>
  </r>
  <r>
    <s v="Kirtee Ramphul"/>
    <s v="Royal Road St François Galodyne (Elixir Supermarket) Grand Gaube,"/>
    <s v="North-East"/>
    <x v="79"/>
    <n v="58599922"/>
    <s v="Nab-Makeup"/>
    <x v="37"/>
    <d v="2025-04-18T00:00:00"/>
    <n v="150"/>
    <d v="2025-05-04T00:00:00"/>
  </r>
  <r>
    <s v="Deepa Shaib"/>
    <s v="Royal Road, Grand Gaube"/>
    <s v="North"/>
    <x v="79"/>
    <n v="57031259"/>
    <s v="Nab-Makeup"/>
    <x v="8"/>
    <d v="2025-05-01T00:00:00"/>
    <n v="150"/>
    <d v="2025-05-04T00:00:00"/>
  </r>
  <r>
    <s v="Rumila Ramkhalawan"/>
    <s v="Mahatma Ghandi Rd, Roche Terre, Grand Gaube"/>
    <s v="Grand Gaube"/>
    <x v="79"/>
    <n v="57825054"/>
    <s v="Glow And Aura"/>
    <x v="16"/>
    <d v="2025-07-14T00:00:00"/>
    <n v="150"/>
    <d v="2025-08-01T00:00:00"/>
  </r>
  <r>
    <s v="Siraz Hermance Marie Vanessa"/>
    <s v="St Joseph"/>
    <s v="Grand Gaube"/>
    <x v="79"/>
    <n v="55042609"/>
    <s v="Nab-Makeup"/>
    <x v="33"/>
    <d v="2025-07-28T00:00:00"/>
    <n v="150"/>
    <d v="2025-08-01T00:00:00"/>
  </r>
  <r>
    <s v="Maeva Jaune"/>
    <s v="Camp Madras"/>
    <s v="Grand Gaube"/>
    <x v="79"/>
    <n v="54790996"/>
    <s v="Nab-Makeup"/>
    <x v="0"/>
    <d v="2025-07-31T00:00:00"/>
    <n v="150"/>
    <d v="2025-08-01T00:00:00"/>
  </r>
  <r>
    <s v="Luna"/>
    <s v="Grand Gaube"/>
    <s v="Grand Gaube"/>
    <x v="79"/>
    <n v="58475169"/>
    <s v="Vibezone Boutik"/>
    <x v="4"/>
    <s v="Cancelled"/>
    <m/>
    <s v="Cancelled"/>
  </r>
  <r>
    <s v="Keshini Chattoo"/>
    <s v="43 Fernard Louis Maurel Street, Grand river north west"/>
    <s v="North-West"/>
    <x v="80"/>
    <n v="58323473"/>
    <s v="Nab-Makeup"/>
    <x v="40"/>
    <d v="2025-04-28T00:00:00"/>
    <n v="150"/>
    <d v="2025-05-04T00:00:00"/>
  </r>
  <r>
    <s v="Jerome Kaudeer"/>
    <s v="Reetoo Road, Grande Retraite"/>
    <s v="South"/>
    <x v="81"/>
    <n v="55022798"/>
    <s v="Nab-Makeup"/>
    <x v="8"/>
    <d v="2025-05-01T00:00:00"/>
    <n v="150"/>
    <d v="2025-05-04T00:00:00"/>
  </r>
  <r>
    <s v="Shabnam Mohamed Hossen Hoolash"/>
    <s v="Royal Road, Grande Retraite, Bon Accueil"/>
    <s v="Grande Retraite, Bon Accueil"/>
    <x v="81"/>
    <n v="59271243"/>
    <s v="Nab-Makeup"/>
    <x v="6"/>
    <d v="2025-08-05T00:00:00"/>
    <n v="150"/>
    <m/>
  </r>
  <r>
    <s v="Zahraa Hosenally"/>
    <s v="Gros billot road rose belle"/>
    <s v="Rosebelle"/>
    <x v="82"/>
    <n v="57738283"/>
    <s v="Nab-Makeup"/>
    <x v="62"/>
    <d v="2025-06-20T00:00:00"/>
    <n v="150"/>
    <d v="2025-07-02T00:00:00"/>
  </r>
  <r>
    <s v="Avantika Gheerdharry"/>
    <s v="Allee Mangues, Gros Cailloux"/>
    <s v="Allee Mangues"/>
    <x v="83"/>
    <n v="59760275"/>
    <s v="Nab-Makeup"/>
    <x v="22"/>
    <d v="2025-08-07T00:00:00"/>
    <n v="150"/>
    <m/>
  </r>
  <r>
    <s v="Hiresha Bahadoor"/>
    <s v="Royal Road Grande Riviere Sud Est"/>
    <s v="South-East"/>
    <x v="84"/>
    <n v="54857761"/>
    <s v="Nab-Makeup"/>
    <x v="25"/>
    <d v="2025-04-21T00:00:00"/>
    <n v="150"/>
    <d v="2025-05-04T00:00:00"/>
  </r>
  <r>
    <s v="Tishtikhasingh Soobarah"/>
    <s v="Post Office Road, Grand River South East"/>
    <s v="GRSE"/>
    <x v="84"/>
    <n v="54941201"/>
    <s v="Nab-Makeup"/>
    <x v="21"/>
    <d v="2025-07-14T00:00:00"/>
    <n v="150"/>
    <d v="2025-08-01T00:00:00"/>
  </r>
  <r>
    <s v="Aleefah Dowlut"/>
    <s v="Camp Mapou"/>
    <s v="Central"/>
    <x v="85"/>
    <n v="58312603"/>
    <s v="Nab-Makeup"/>
    <x v="18"/>
    <d v="2025-04-17T00:00:00"/>
    <n v="150"/>
    <d v="2025-05-04T00:00:00"/>
  </r>
  <r>
    <s v="Marie Emillie Tasiana Hypolite"/>
    <s v="B11 Cite EDC, Henrietta"/>
    <s v="Central"/>
    <x v="85"/>
    <n v="59777754"/>
    <s v="Nab-Makeup"/>
    <x v="25"/>
    <d v="2025-04-24T00:00:00"/>
    <n v="150"/>
    <d v="2025-05-04T00:00:00"/>
  </r>
  <r>
    <s v="Faranaz Handally"/>
    <s v="Henrietta, Camp Belin"/>
    <s v="Plaines Wilhems"/>
    <x v="85"/>
    <n v="59824965"/>
    <s v="Nab-Makeup"/>
    <x v="15"/>
    <d v="2025-06-20T00:00:00"/>
    <n v="150"/>
    <d v="2025-07-02T00:00:00"/>
  </r>
  <r>
    <s v="Dilmohamud Mushirah"/>
    <s v="Mosque Road"/>
    <s v="Central"/>
    <x v="86"/>
    <n v="57514592"/>
    <s v="Nab-Makeup"/>
    <x v="18"/>
    <d v="2025-04-17T00:00:00"/>
    <n v="150"/>
    <d v="2025-05-04T00:00:00"/>
  </r>
  <r>
    <s v="Saniah Raymode"/>
    <s v="Morcellement Highlands Rose, Highlands"/>
    <s v="Central"/>
    <x v="86"/>
    <n v="58203530"/>
    <s v="Nab-Makeup"/>
    <x v="28"/>
    <d v="2025-05-01T00:00:00"/>
    <n v="150"/>
    <d v="2025-05-04T00:00:00"/>
  </r>
  <r>
    <s v="Bibi Nazifa Jathoonia"/>
    <s v="Branch Road, Highlands, Phoenix"/>
    <s v="Plaines Wilhems"/>
    <x v="86"/>
    <n v="58563468"/>
    <s v="Nab-Makeup"/>
    <x v="50"/>
    <d v="2025-05-15T00:00:00"/>
    <n v="150"/>
    <d v="2025-06-01T00:00:00"/>
  </r>
  <r>
    <s v="Faeza"/>
    <s v="Proffessor Hassan Raffa Lane, _x000a_Highlands, Phoenix"/>
    <s v="Phoenix"/>
    <x v="86"/>
    <n v="57829719"/>
    <s v="OKASINA"/>
    <x v="38"/>
    <d v="2025-05-26T00:00:00"/>
    <n v="150"/>
    <d v="2025-06-01T00:00:00"/>
  </r>
  <r>
    <s v="Hasseena Mahamoodally"/>
    <s v="No. 71, Rue des Epices, Highlands Rose"/>
    <s v="Moka"/>
    <x v="86"/>
    <n v="57755000"/>
    <s v="Nab-Makeup"/>
    <x v="14"/>
    <d v="2025-06-12T00:00:00"/>
    <n v="150"/>
    <d v="2025-07-02T00:00:00"/>
  </r>
  <r>
    <s v="Hajrah Jowaheer"/>
    <s v="Saulick Lane, Highlands"/>
    <s v="Moka"/>
    <x v="86"/>
    <n v="57412010"/>
    <s v="Nab-Makeup"/>
    <x v="14"/>
    <d v="2025-06-12T00:00:00"/>
    <n v="150"/>
    <d v="2025-07-02T00:00:00"/>
  </r>
  <r>
    <s v="Ashna Gajadhur"/>
    <s v="Belle Terre Road, Highlands"/>
    <s v="Belle Terre Road"/>
    <x v="86"/>
    <n v="58820524"/>
    <s v="Nab-Makeup"/>
    <x v="10"/>
    <d v="2025-06-23T00:00:00"/>
    <n v="150"/>
    <d v="2025-07-02T00:00:00"/>
  </r>
  <r>
    <s v="Meneesha Mohabeer"/>
    <s v="Highland Rose"/>
    <s v="Highland Rose"/>
    <x v="86"/>
    <n v="59473678"/>
    <s v="Little Star Boutique"/>
    <x v="59"/>
    <d v="2025-07-17T00:00:00"/>
    <n v="150"/>
    <d v="2025-08-01T00:00:00"/>
  </r>
  <r>
    <s v="Varsha Sadaful"/>
    <s v="Avenue Flamboyant, Morcellement Belle Terre, Highlands"/>
    <s v="Highlands"/>
    <x v="86"/>
    <n v="57586996"/>
    <s v="Nab-Makeup"/>
    <x v="39"/>
    <d v="2025-07-17T00:00:00"/>
    <n v="150"/>
    <d v="2025-08-01T00:00:00"/>
  </r>
  <r>
    <s v="Amirah khoodoruth"/>
    <s v="Morcellement Highland Rose, Highlands"/>
    <s v="Highlands"/>
    <x v="86"/>
    <n v="59242220"/>
    <s v="Little Star Boutique"/>
    <x v="43"/>
    <d v="2025-07-24T00:00:00"/>
    <n v="150"/>
    <d v="2025-08-01T00:00:00"/>
  </r>
  <r>
    <s v="Aniisha Mahomed Khan"/>
    <s v="Owadally Lane, Highlands, Phoenix"/>
    <s v="Highlands"/>
    <x v="86"/>
    <n v="59463998"/>
    <s v="Timeless Trends"/>
    <x v="43"/>
    <d v="2025-07-24T00:00:00"/>
    <n v="150"/>
    <d v="2025-08-01T00:00:00"/>
  </r>
  <r>
    <s v="Amiirah Khoodoruth"/>
    <s v="Morcellement Highland Rose, Highlands"/>
    <s v="Highlands"/>
    <x v="86"/>
    <n v="59242220"/>
    <s v="Little Star Boutique"/>
    <x v="63"/>
    <d v="2025-08-22T00:00:00"/>
    <n v="150"/>
    <m/>
  </r>
  <r>
    <s v="Shika Nagapin"/>
    <s v="Mahatma Gandhi Road, Ilot d'Epiney"/>
    <s v="Pamplemousses"/>
    <x v="87"/>
    <n v="59211497"/>
    <s v="Nab-Makeup"/>
    <x v="13"/>
    <d v="2025-06-05T00:00:00"/>
    <n v="150"/>
    <d v="2025-07-02T00:00:00"/>
  </r>
  <r>
    <s v="Nundini Bysooa"/>
    <s v="Royal Road, Isidore-Rose"/>
    <s v="Moka"/>
    <x v="88"/>
    <n v="57651014"/>
    <s v="Nab-Makeup"/>
    <x v="15"/>
    <d v="2025-06-20T00:00:00"/>
    <n v="150"/>
    <d v="2025-07-02T00:00:00"/>
  </r>
  <r>
    <s v="Nundini Bysooa"/>
    <s v="Royal Road, Isidore-Rose"/>
    <m/>
    <x v="88"/>
    <n v="57651014"/>
    <s v="Nab-Makeup"/>
    <x v="35"/>
    <d v="2025-09-01T00:00:00"/>
    <n v="150"/>
    <m/>
  </r>
  <r>
    <s v="Gloria Hart"/>
    <s v="Morcellement Tagore, L’Escalier"/>
    <s v="L’Escalier"/>
    <x v="89"/>
    <n v="57721292"/>
    <s v="Nab-Makeup"/>
    <x v="17"/>
    <d v="2025-08-22T00:00:00"/>
    <n v="150"/>
    <m/>
  </r>
  <r>
    <s v="Sabrina Parrianen"/>
    <s v="Appt NHDC N07, La Caverne, Vacoas"/>
    <s v="Plaines Wilhems"/>
    <x v="90"/>
    <n v="59778727"/>
    <s v="Nab-Makeup"/>
    <x v="49"/>
    <d v="2025-05-05T00:00:00"/>
    <n v="150"/>
    <d v="2025-06-01T00:00:00"/>
  </r>
  <r>
    <s v="Bibi Ashïfa Hussein Vydelingum"/>
    <s v="19B La Caverne No1, Vacoas"/>
    <s v="Plaines Wilhems"/>
    <x v="90"/>
    <n v="59241697"/>
    <s v="Nab-Makeup"/>
    <x v="49"/>
    <d v="2025-05-03T00:00:00"/>
    <n v="150"/>
    <d v="2025-06-01T00:00:00"/>
  </r>
  <r>
    <s v="Kavya Chendradoo"/>
    <s v="Subash Chandra Bose Street, La Clemence"/>
    <s v="Rivière du Rempart"/>
    <x v="91"/>
    <n v="58146306"/>
    <s v="Nab-Makeup"/>
    <x v="49"/>
    <d v="2025-05-05T00:00:00"/>
    <n v="150"/>
    <d v="2025-06-01T00:00:00"/>
  </r>
  <r>
    <s v="Esha Soorlall"/>
    <s v="Royal Road, La Flora"/>
    <s v="South"/>
    <x v="92"/>
    <n v="58229872"/>
    <s v="Nab-Makeup"/>
    <x v="40"/>
    <d v="2025-04-30T00:00:00"/>
    <n v="150"/>
    <d v="2025-05-04T00:00:00"/>
  </r>
  <r>
    <s v="Mrs Dukhi"/>
    <s v="Royal Road, La Flora"/>
    <s v="South"/>
    <x v="92"/>
    <n v="57823684"/>
    <s v="OKASINA"/>
    <x v="23"/>
    <d v="2025-05-22T00:00:00"/>
    <n v="150"/>
    <d v="2025-06-01T00:00:00"/>
  </r>
  <r>
    <s v="Mrs Dukhi"/>
    <s v="Royal Road, La Flora"/>
    <s v="South"/>
    <x v="92"/>
    <n v="57823684"/>
    <s v="OKASINA"/>
    <x v="20"/>
    <d v="2025-05-29T00:00:00"/>
    <n v="150"/>
    <d v="2025-06-01T00:00:00"/>
  </r>
  <r>
    <s v="Manesha Chunwan"/>
    <s v="Coteau Raffin, La Gaulette"/>
    <s v="Savanne"/>
    <x v="93"/>
    <s v="58262767 / 59350595"/>
    <s v="Nab-Makeup"/>
    <x v="8"/>
    <d v="2025-05-03T00:00:00"/>
    <n v="150"/>
    <d v="2025-05-04T00:00:00"/>
  </r>
  <r>
    <s v="Joëmie Labonne"/>
    <s v="Raoul Lamarque, La Gaulette"/>
    <s v="Black River"/>
    <x v="93"/>
    <n v="57319206"/>
    <s v="Nab-Makeup"/>
    <x v="30"/>
    <d v="2025-05-19T00:00:00"/>
    <n v="150"/>
    <d v="2025-06-01T00:00:00"/>
  </r>
  <r>
    <s v="Marie Amelie Ariana Labonne"/>
    <s v="Le Reef Shop Ltd, Royal Road, La Gaulette"/>
    <s v="West"/>
    <x v="93"/>
    <n v="58598832"/>
    <s v="Nab-Makeup"/>
    <x v="35"/>
    <d v="2025-09-01T00:00:00"/>
    <n v="150"/>
    <m/>
  </r>
  <r>
    <s v="Vedushka Rama"/>
    <s v="Royal Road"/>
    <s v="La Marie, Vacoas"/>
    <x v="94"/>
    <n v="57636235"/>
    <s v="Nab-Makeup"/>
    <x v="47"/>
    <d v="2025-06-26T00:00:00"/>
    <n v="150"/>
    <d v="2025-07-02T00:00:00"/>
  </r>
  <r>
    <s v="Rajiv Ramphul"/>
    <s v="Kasory Lane, La Rosa, Grand Port District, Mauritius"/>
    <s v="La Rosa"/>
    <x v="95"/>
    <n v="59894198"/>
    <s v="Nab-Makeup"/>
    <x v="8"/>
    <d v="2025-04-30T00:00:00"/>
    <n v="150"/>
    <d v="2025-05-04T00:00:00"/>
  </r>
  <r>
    <s v="Yeshna Nemdharry"/>
    <s v="10 Mon Gungah Larosa"/>
    <s v="South"/>
    <x v="95"/>
    <n v="59892015"/>
    <s v="Nab-Makeup"/>
    <x v="8"/>
    <d v="2025-04-30T00:00:00"/>
    <n v="150"/>
    <d v="2025-05-04T00:00:00"/>
  </r>
  <r>
    <s v="Wendy Sellamuthu"/>
    <s v="La Tour Koenig"/>
    <s v="La Tour Koenig"/>
    <x v="96"/>
    <n v="57034088"/>
    <s v="Nab-Makeup"/>
    <x v="3"/>
    <d v="2025-07-21T00:00:00"/>
    <n v="150"/>
    <d v="2025-08-01T00:00:00"/>
  </r>
  <r>
    <s v="Ooushna Rangasamy"/>
    <s v="K24 Rue Saponnière, La Tour Koenig"/>
    <s v="La Tour Koenig"/>
    <x v="96"/>
    <s v="57096825 / 58046102"/>
    <s v="Nab-Makeup"/>
    <x v="36"/>
    <d v="2025-08-26T00:00:00"/>
    <n v="150"/>
    <m/>
  </r>
  <r>
    <s v="Sajja Kawshar Moideen"/>
    <s v="Gulzare Madina Road, Belvedere, Lalmatie"/>
    <s v="East"/>
    <x v="97"/>
    <n v="57801348"/>
    <s v="Nab-Makeup"/>
    <x v="18"/>
    <d v="2025-04-17T00:00:00"/>
    <n v="150"/>
    <d v="2025-05-04T00:00:00"/>
  </r>
  <r>
    <s v="Sajja Kawshar Moideen"/>
    <s v="Gulzare Madina Road, Belvedere, Lalmatie"/>
    <s v="East"/>
    <x v="97"/>
    <n v="57801348"/>
    <s v="Nab-Makeup"/>
    <x v="25"/>
    <d v="2025-04-21T00:00:00"/>
    <n v="150"/>
    <d v="2025-05-04T00:00:00"/>
  </r>
  <r>
    <s v="Nailah Jumun"/>
    <s v="Kalimayed Rd, Lalmatie"/>
    <s v="Flacq"/>
    <x v="97"/>
    <n v="52586838"/>
    <s v="Nab-Makeup"/>
    <x v="29"/>
    <d v="2025-05-12T00:00:00"/>
    <n v="150"/>
    <d v="2025-06-01T00:00:00"/>
  </r>
  <r>
    <s v="Sajja Kawshar Moideen"/>
    <s v="Gulzare Madina Road, Belvedere, Lalmatie"/>
    <s v="Flacq"/>
    <x v="97"/>
    <n v="57801348"/>
    <s v="Nab-Makeup"/>
    <x v="20"/>
    <d v="2025-05-29T00:00:00"/>
    <n v="150"/>
    <d v="2025-06-01T00:00:00"/>
  </r>
  <r>
    <s v="Dr Poonam"/>
    <s v="Royal Road Lalmatie (In The Same Yard As Car Show Room Ki Motors)"/>
    <s v="Lalmatie"/>
    <x v="97"/>
    <n v="58260475"/>
    <s v="OKASINA"/>
    <x v="20"/>
    <d v="2025-05-29T00:00:00"/>
    <n v="150"/>
    <d v="2025-06-01T00:00:00"/>
  </r>
  <r>
    <s v="Cooppoosamy Botharrygadoo Tavina"/>
    <s v="Gandhi road, Lallmatie"/>
    <s v="Lallmatie"/>
    <x v="97"/>
    <n v="57591340"/>
    <s v="Little Star Boutique"/>
    <x v="54"/>
    <d v="2025-06-05T00:00:00"/>
    <n v="75"/>
    <d v="2025-07-02T00:00:00"/>
  </r>
  <r>
    <s v="Zaahirah Dinally"/>
    <s v="Mosque Road, Belvedere, Lallmatie"/>
    <s v="Flacq"/>
    <x v="97"/>
    <n v="57023220"/>
    <s v="Nab-Makeup"/>
    <x v="13"/>
    <d v="2025-06-05T00:00:00"/>
    <n v="150"/>
    <d v="2025-07-02T00:00:00"/>
  </r>
  <r>
    <s v="Bhavisha Joorawon"/>
    <s v="Krishna Road, Lallmatie"/>
    <s v="Flacq"/>
    <x v="97"/>
    <s v="58328220 / 57013360"/>
    <s v="Nab-Makeup"/>
    <x v="41"/>
    <d v="2025-06-16T00:00:00"/>
    <n v="150"/>
    <d v="2025-07-02T00:00:00"/>
  </r>
  <r>
    <s v="Sajja Kawshar Moideen"/>
    <s v="Gulzare Madina Road, Belvedere, Lalmatie"/>
    <s v="Belvedere"/>
    <x v="97"/>
    <n v="57801348"/>
    <s v="Nab-Makeup"/>
    <x v="10"/>
    <d v="2025-06-23T00:00:00"/>
    <n v="150"/>
    <d v="2025-07-02T00:00:00"/>
  </r>
  <r>
    <s v="Urvashi Heerah"/>
    <s v="Royal Road, Lallmatie"/>
    <s v="Flacq"/>
    <x v="97"/>
    <n v="57689395"/>
    <s v="Nab-Makeup"/>
    <x v="11"/>
    <d v="2025-06-30T00:00:00"/>
    <n v="150"/>
    <d v="2025-07-02T00:00:00"/>
  </r>
  <r>
    <s v="Ganeshta Pem Newoor"/>
    <s v="Royal Road, Lallmatie (near Green Cross)"/>
    <s v="Flacq"/>
    <x v="97"/>
    <n v="57776671"/>
    <s v="Nab-Makeup"/>
    <x v="11"/>
    <d v="2025-06-30T00:00:00"/>
    <n v="150"/>
    <d v="2025-07-02T00:00:00"/>
  </r>
  <r>
    <s v="Vidyashee Fakooa"/>
    <s v="Mission Cross Road, Grand Bas Fond, Lallmatie"/>
    <s v="Lallmatie"/>
    <x v="97"/>
    <n v="58886270"/>
    <s v="Nab-Makeup"/>
    <x v="24"/>
    <d v="2025-07-10T00:00:00"/>
    <n v="150"/>
    <d v="2025-08-01T00:00:00"/>
  </r>
  <r>
    <s v="Khushboo Ujoodha"/>
    <s v="Vinobha Rd, Lallmatie"/>
    <s v="Lallmatie"/>
    <x v="97"/>
    <n v="57597260"/>
    <s v="Nab-Makeup"/>
    <x v="39"/>
    <d v="2025-07-17T00:00:00"/>
    <n v="150"/>
    <d v="2025-08-01T00:00:00"/>
  </r>
  <r>
    <s v="Lachman Lakshana"/>
    <s v="Kader Road Belveder"/>
    <s v="Lallmatie, Mauritius"/>
    <x v="97"/>
    <n v="57912230"/>
    <s v="Nab-Makeup"/>
    <x v="33"/>
    <d v="2025-07-28T00:00:00"/>
    <n v="150"/>
    <d v="2025-08-01T00:00:00"/>
  </r>
  <r>
    <s v="Luxshmee Devi Ubheeram"/>
    <s v="Royal Road"/>
    <s v="Lalmatie"/>
    <x v="97"/>
    <n v="57068578"/>
    <s v="Nab-Makeup"/>
    <x v="33"/>
    <d v="2025-07-28T00:00:00"/>
    <n v="150"/>
    <d v="2025-08-01T00:00:00"/>
  </r>
  <r>
    <s v="Ramdass"/>
    <s v="Lallmatie"/>
    <s v="Lallmatie"/>
    <x v="97"/>
    <n v="57479555"/>
    <s v="Vibezone Boutik"/>
    <x v="4"/>
    <d v="2025-07-31T00:00:00"/>
    <n v="150"/>
    <d v="2025-08-01T00:00:00"/>
  </r>
  <r>
    <s v="Hansinee Ramdhany"/>
    <s v="Nightingale Avenue, Lallmatie"/>
    <s v="Flacq"/>
    <x v="97"/>
    <n v="59101825"/>
    <s v="Nab-Makeup"/>
    <x v="34"/>
    <d v="2025-08-15T00:00:00"/>
    <n v="150"/>
    <m/>
  </r>
  <r>
    <s v="Minou"/>
    <s v="L'Aventure"/>
    <s v="L'Aventure"/>
    <x v="98"/>
    <n v="59142212"/>
    <s v="Glow And Aura"/>
    <x v="61"/>
    <d v="2025-05-26T00:00:00"/>
    <n v="75"/>
    <d v="2025-06-01T00:00:00"/>
  </r>
  <r>
    <s v="Pooja Rampersad"/>
    <s v="Royal Road L'Aventure near Social Welfare Centre"/>
    <s v="L'Aventure"/>
    <x v="98"/>
    <n v="59119682"/>
    <s v="OKASINA"/>
    <x v="19"/>
    <d v="2025-06-02T00:00:00"/>
    <n v="150"/>
    <d v="2025-07-02T00:00:00"/>
  </r>
  <r>
    <s v="Rosita Rampersad"/>
    <s v="Royal Road, L'Aventure (between 11 am to 3 pm)"/>
    <s v="L'Aventure"/>
    <x v="98"/>
    <n v="59119682"/>
    <s v="OKASINA"/>
    <x v="11"/>
    <d v="2025-06-30T00:00:00"/>
    <n v="150"/>
    <d v="2025-07-02T00:00:00"/>
  </r>
  <r>
    <s v="Elizabeth Desmarais"/>
    <s v="Royal Road, Le Bouchon"/>
    <s v="Grand Port"/>
    <x v="99"/>
    <n v="57822066"/>
    <s v="Nab-Makeup"/>
    <x v="30"/>
    <d v="2025-05-19T00:00:00"/>
    <n v="150"/>
    <d v="2025-06-01T00:00:00"/>
  </r>
  <r>
    <s v="Taroona Chinian"/>
    <s v="Shivala Lane, L'Escalier"/>
    <s v="South"/>
    <x v="100"/>
    <s v="58294713, 54729080"/>
    <s v="Nab-Makeup"/>
    <x v="25"/>
    <d v="2025-04-21T00:00:00"/>
    <n v="150"/>
    <d v="2025-05-04T00:00:00"/>
  </r>
  <r>
    <s v="Khoushboo Hatchootah"/>
    <s v="L'Escalier, Tagore Lane"/>
    <s v="South-East"/>
    <x v="100"/>
    <n v="58172717"/>
    <s v="Nab-Makeup"/>
    <x v="40"/>
    <d v="2025-04-28T00:00:00"/>
    <n v="150"/>
    <d v="2025-05-04T00:00:00"/>
  </r>
  <r>
    <s v="Ravishka Devi Seewoodharry"/>
    <s v="Royal Road, L'escalier, Grand Port"/>
    <s v="South-East"/>
    <x v="100"/>
    <n v="57067565"/>
    <s v="Nab-Makeup"/>
    <x v="40"/>
    <d v="2025-04-28T00:00:00"/>
    <n v="150"/>
    <d v="2025-05-04T00:00:00"/>
  </r>
  <r>
    <s v="Yaasin Munsah"/>
    <s v="Cemetery Road, L'Escalier"/>
    <s v="Grand Port"/>
    <x v="100"/>
    <n v="57551100"/>
    <s v="Nab-Makeup"/>
    <x v="12"/>
    <d v="2025-05-08T00:00:00"/>
    <n v="150"/>
    <d v="2025-06-01T00:00:00"/>
  </r>
  <r>
    <s v="Miss Ramsamy Yhovina Devi"/>
    <s v="Tagore Lane, L'Escalier (Can also pick up at Rosebelle on some days)"/>
    <s v="Grand Port"/>
    <x v="100"/>
    <n v="59127558"/>
    <s v="Nab-Makeup"/>
    <x v="29"/>
    <d v="2025-05-12T00:00:00"/>
    <n v="150"/>
    <d v="2025-06-01T00:00:00"/>
  </r>
  <r>
    <s v="Mansurah Khedarun"/>
    <s v="Royal Road, L’Escalier"/>
    <s v="Grand Port"/>
    <x v="100"/>
    <n v="57560236"/>
    <s v="Nab-Makeup"/>
    <x v="50"/>
    <d v="2025-05-15T00:00:00"/>
    <n v="150"/>
    <d v="2025-06-01T00:00:00"/>
  </r>
  <r>
    <s v="Mousheerah Bakerally"/>
    <s v="Branch Road, L’Escalier"/>
    <s v="Grand Port"/>
    <x v="100"/>
    <n v="58316872"/>
    <s v="Nab-Makeup"/>
    <x v="30"/>
    <d v="2025-05-19T00:00:00"/>
    <n v="150"/>
    <d v="2025-06-01T00:00:00"/>
  </r>
  <r>
    <s v="Manshika Pultoo"/>
    <s v="Sooben Lane, L’Escalier"/>
    <s v="Grand Port"/>
    <x v="100"/>
    <n v="57741698"/>
    <s v="Nab-Makeup"/>
    <x v="20"/>
    <d v="2025-05-29T00:00:00"/>
    <n v="150"/>
    <d v="2025-06-01T00:00:00"/>
  </r>
  <r>
    <s v="Mansurah Khedarun"/>
    <s v="Royal Road, L’Escalier"/>
    <s v="Grand Port"/>
    <x v="100"/>
    <n v="59152550"/>
    <s v="Nab-Makeup"/>
    <x v="1"/>
    <d v="2025-06-09T00:00:00"/>
    <n v="150"/>
    <d v="2025-07-02T00:00:00"/>
  </r>
  <r>
    <s v="Yumna Caderbavah"/>
    <s v="Caderbavah Lane, L’Escalier"/>
    <s v="Grand Port"/>
    <x v="100"/>
    <n v="57593962"/>
    <s v="Nab-Makeup"/>
    <x v="14"/>
    <d v="2025-06-12T00:00:00"/>
    <n v="150"/>
    <d v="2025-07-02T00:00:00"/>
  </r>
  <r>
    <s v="Namah Mungra Sxiashi"/>
    <s v="46 EDC La Sourdine, L’Escalier"/>
    <s v="Grand Port"/>
    <x v="100"/>
    <s v="52898586 / 555016793"/>
    <s v="Nab-Makeup"/>
    <x v="14"/>
    <d v="2025-06-12T00:00:00"/>
    <n v="150"/>
    <d v="2025-07-02T00:00:00"/>
  </r>
  <r>
    <s v="Rosun Bibi Wardah"/>
    <s v="Chapel Lane, L'Escalier"/>
    <s v="Grand Port"/>
    <x v="100"/>
    <n v="57684786"/>
    <s v="Nab-Makeup"/>
    <x v="11"/>
    <d v="2025-06-30T00:00:00"/>
    <n v="150"/>
    <d v="2025-07-02T00:00:00"/>
  </r>
  <r>
    <s v="Sirimah Plaiche"/>
    <s v="7 Morcellement La Sourdine, L'Escalier, Savanne"/>
    <s v="L'Escalier"/>
    <x v="100"/>
    <n v="57567429"/>
    <s v="Nab-Makeup"/>
    <x v="2"/>
    <d v="2025-07-07T00:00:00"/>
    <n v="150"/>
    <d v="2025-08-01T00:00:00"/>
  </r>
  <r>
    <s v="Yamini Pagoo"/>
    <s v="SSR Lane, L'Escalier"/>
    <s v="L'Escalier"/>
    <x v="100"/>
    <n v="57790742"/>
    <s v="Nab-Makeup"/>
    <x v="2"/>
    <d v="2025-07-07T00:00:00"/>
    <n v="150"/>
    <d v="2025-08-01T00:00:00"/>
  </r>
  <r>
    <s v="Humaira Akbar"/>
    <s v="Sooben Lane, L'Escalier"/>
    <s v="L'Escalier"/>
    <x v="100"/>
    <n v="58577627"/>
    <s v="Nab-Makeup"/>
    <x v="0"/>
    <d v="2025-07-31T00:00:00"/>
    <n v="150"/>
    <d v="2025-08-01T00:00:00"/>
  </r>
  <r>
    <s v="Ravishka Devi Seewoodharry"/>
    <s v="Royal Road, L'Escalier"/>
    <s v="L'Escalier"/>
    <x v="100"/>
    <n v="57067565"/>
    <s v="Nab-Makeup"/>
    <x v="0"/>
    <d v="2025-07-31T00:00:00"/>
    <n v="150"/>
    <d v="2025-08-01T00:00:00"/>
  </r>
  <r>
    <s v="Yaasin Munsah"/>
    <s v="Cemetery Road, L'Escalier"/>
    <s v="Cemetery Road"/>
    <x v="100"/>
    <n v="57551100"/>
    <s v="Nab-Makeup"/>
    <x v="22"/>
    <d v="2025-08-07T00:00:00"/>
    <n v="150"/>
    <m/>
  </r>
  <r>
    <s v="Yumna Caderbavah"/>
    <s v="Caderbavah, L’ane L’escalier"/>
    <s v="L’Escalier"/>
    <x v="100"/>
    <n v="57593962"/>
    <s v="Nab-Makeup"/>
    <x v="5"/>
    <d v="2025-08-12T00:00:00"/>
    <n v="150"/>
    <m/>
  </r>
  <r>
    <s v="Shivaranjali Virasami"/>
    <s v="Footballground Road"/>
    <s v="L'Esperance"/>
    <x v="101"/>
    <n v="59419397"/>
    <s v="Nab-Makeup"/>
    <x v="0"/>
    <d v="2025-08-05T00:00:00"/>
    <n v="150"/>
    <m/>
  </r>
  <r>
    <s v="MALIKA - NABIIHAH - May's Shop"/>
    <s v="L'ESPERENCE TREBUCHET, Mauritius"/>
    <s v="L'ESPERENCE TREBUCHET, Mauritius"/>
    <x v="102"/>
    <n v="57317485"/>
    <s v="NABIIHAH - May's Shop"/>
    <x v="7"/>
    <d v="2025-09-01T00:00:00"/>
    <n v="100"/>
    <m/>
  </r>
  <r>
    <s v="Yasmina Lungtoo"/>
    <s v="Ruisseau Rose, Long Mountain"/>
    <s v="North"/>
    <x v="103"/>
    <n v="57838646"/>
    <s v="Nab-Makeup"/>
    <x v="18"/>
    <d v="2025-04-17T00:00:00"/>
    <n v="150"/>
    <d v="2025-05-04T00:00:00"/>
  </r>
  <r>
    <s v="Shikha Sham"/>
    <s v="Royal Road Valton Long Mountain"/>
    <s v="Moka"/>
    <x v="103"/>
    <n v="58014817"/>
    <s v="Nab-Makeup"/>
    <x v="8"/>
    <d v="2025-05-01T00:00:00"/>
    <n v="150"/>
    <d v="2025-05-04T00:00:00"/>
  </r>
  <r>
    <s v="Dhunnookchand Khousma"/>
    <s v="Morc Nouvelle Industrie, Baillache Road, Long Mountain"/>
    <s v="Pamplemousses"/>
    <x v="103"/>
    <n v="59111590"/>
    <s v="Nab-Makeup"/>
    <x v="30"/>
    <d v="2025-05-19T00:00:00"/>
    <n v="150"/>
    <d v="2025-06-01T00:00:00"/>
  </r>
  <r>
    <s v="Shikha Sham"/>
    <s v="Royal Road, Valton, Long Mountain"/>
    <s v="Pamplemousses"/>
    <x v="103"/>
    <n v="58014817"/>
    <s v="Nab-Makeup"/>
    <x v="13"/>
    <d v="2025-06-05T00:00:00"/>
    <n v="150"/>
    <d v="2025-07-02T00:00:00"/>
  </r>
  <r>
    <s v="Deepika Jeetun"/>
    <s v="Royal Road, Valton, Long Mountain"/>
    <s v="Pamplemousses"/>
    <x v="103"/>
    <n v="59071536"/>
    <s v="Nab-Makeup"/>
    <x v="15"/>
    <d v="2025-06-20T00:00:00"/>
    <n v="150"/>
    <d v="2025-07-02T00:00:00"/>
  </r>
  <r>
    <s v="Divya Beekaree"/>
    <s v="Royal Road, Lower Vale"/>
    <s v="Riviere du Rempart"/>
    <x v="104"/>
    <n v="58096679"/>
    <s v="Nab-Makeup"/>
    <x v="12"/>
    <d v="2025-05-12T00:00:00"/>
    <n v="150"/>
    <d v="2025-06-01T00:00:00"/>
  </r>
  <r>
    <s v="Sumayyah Furreed"/>
    <s v="Geranium Road, Lower Vale"/>
    <s v="Rivière du Rempart"/>
    <x v="104"/>
    <n v="59294454"/>
    <s v="Nab-Makeup"/>
    <x v="14"/>
    <d v="2025-06-12T00:00:00"/>
    <n v="150"/>
    <d v="2025-07-02T00:00:00"/>
  </r>
  <r>
    <s v="Aklimah Acharaze"/>
    <s v="Sohawon Road, THE Vale (Lower), Mauritius"/>
    <s v="Lower Vale"/>
    <x v="104"/>
    <n v="52561636"/>
    <s v="Nab-Makeup"/>
    <x v="21"/>
    <d v="2025-07-14T00:00:00"/>
    <n v="150"/>
    <d v="2025-08-01T00:00:00"/>
  </r>
  <r>
    <s v="Reema Chellaya"/>
    <s v="Rue Labourdonnais, Mahebourg"/>
    <s v="South East"/>
    <x v="105"/>
    <n v="57667637"/>
    <s v="Nab-Makeup"/>
    <x v="28"/>
    <d v="2025-05-03T00:00:00"/>
    <n v="150"/>
    <d v="2025-05-04T00:00:00"/>
  </r>
  <r>
    <s v="Bhaveshni Seetaloo"/>
    <s v="Rue Boulangerie, Ville Noire, Mahebourg"/>
    <s v="East"/>
    <x v="105"/>
    <n v="52782085"/>
    <s v="Nab-Makeup"/>
    <x v="9"/>
    <d v="2025-05-05T00:00:00"/>
    <n v="150"/>
    <d v="2025-06-01T00:00:00"/>
  </r>
  <r>
    <s v="Bhaveshni Seetaloo"/>
    <s v="Rue Boulangerie, Ville Noire, Mahebourg"/>
    <s v="Grand Port"/>
    <x v="105"/>
    <n v="52782085"/>
    <s v="Nab-Makeup"/>
    <x v="12"/>
    <d v="2025-05-08T00:00:00"/>
    <n v="150"/>
    <d v="2025-06-01T00:00:00"/>
  </r>
  <r>
    <s v="Jayendi Samy"/>
    <s v="Rishi Dayanand Road, Mahebourg"/>
    <s v="Grand Port"/>
    <x v="105"/>
    <n v="58220347"/>
    <s v="Nab-Makeup"/>
    <x v="29"/>
    <d v="2025-05-12T00:00:00"/>
    <n v="150"/>
    <d v="2025-06-01T00:00:00"/>
  </r>
  <r>
    <s v="Yukta Basuntoo"/>
    <s v="Rishi Dayanand Road No. 1, Mahebourg"/>
    <s v="Grand Port"/>
    <x v="105"/>
    <n v="59176744"/>
    <s v="Nab-Makeup"/>
    <x v="30"/>
    <d v="2025-05-19T00:00:00"/>
    <n v="150"/>
    <d v="2025-06-01T00:00:00"/>
  </r>
  <r>
    <s v="Bhavna Mohesh"/>
    <s v="Gourdin Lane, Mahebourg"/>
    <s v="Grand Port"/>
    <x v="105"/>
    <n v="58810707"/>
    <s v="OKASINA"/>
    <x v="30"/>
    <d v="2025-05-19T00:00:00"/>
    <n v="150"/>
    <d v="2025-06-01T00:00:00"/>
  </r>
  <r>
    <s v="Wardha Sandhoo"/>
    <s v="Nyon Street, Mahebourg"/>
    <s v="Grand Port"/>
    <x v="105"/>
    <n v="58167198"/>
    <s v="Nab-Makeup"/>
    <x v="38"/>
    <d v="2025-05-26T00:00:00"/>
    <n v="150"/>
    <d v="2025-06-01T00:00:00"/>
  </r>
  <r>
    <s v="Anne Sophie Isabel"/>
    <s v="School Lane Grand Bel Air Mahebourg"/>
    <s v="South East"/>
    <x v="105"/>
    <n v="57144737"/>
    <s v="Timeless Trends"/>
    <x v="64"/>
    <d v="2025-06-02T00:00:00"/>
    <n v="150"/>
    <d v="2025-07-02T00:00:00"/>
  </r>
  <r>
    <s v="Esmail Osman"/>
    <s v="Mahebourg"/>
    <s v="South East"/>
    <x v="105"/>
    <n v="57456700"/>
    <s v="Little Star Boutique"/>
    <x v="65"/>
    <d v="2025-06-02T00:00:00"/>
    <n v="75"/>
    <d v="2025-07-02T00:00:00"/>
  </r>
  <r>
    <s v="Devya Dookhit/Veena Dookhit"/>
    <s v="Des Creoles Street, Mahebourg (La Maison) / H. Rault Co. Ltd, Rue Fabien VilleNoire, Mahebourg (Workplace)"/>
    <s v="Grand Port"/>
    <x v="105"/>
    <n v="59875123"/>
    <s v="Nab-Makeup"/>
    <x v="13"/>
    <d v="2025-06-05T00:00:00"/>
    <n v="150"/>
    <d v="2025-07-02T00:00:00"/>
  </r>
  <r>
    <s v="Anne Sophie Isabel"/>
    <s v="School Lane, Grand Bel Air"/>
    <s v="Grand Port"/>
    <x v="105"/>
    <n v="57144737"/>
    <s v="Timeless Trends"/>
    <x v="54"/>
    <d v="2025-06-05T00:00:00"/>
    <n v="150"/>
    <d v="2025-07-02T00:00:00"/>
  </r>
  <r>
    <s v="Anne Sophie Isabel"/>
    <s v="School Lane Grand Bel Air Mahebourg"/>
    <s v="Grand Port"/>
    <x v="105"/>
    <n v="57144737"/>
    <s v="Timeless Trends"/>
    <x v="66"/>
    <d v="2025-06-12T00:00:00"/>
    <n v="150"/>
    <d v="2025-07-02T00:00:00"/>
  </r>
  <r>
    <s v="Sephora Axecelle"/>
    <s v="St Hilaire, Mahebourg"/>
    <s v="Grand Port"/>
    <x v="105"/>
    <n v="58559921"/>
    <s v="Luxe Miniatures"/>
    <x v="56"/>
    <s v="Cancelled"/>
    <n v="0"/>
    <s v="Cancelled"/>
  </r>
  <r>
    <s v="Leena Vanisha Lily"/>
    <s v="52 Anthurium Road, Beau-Vallon, Mahebourg"/>
    <s v="Beau-Vallon"/>
    <x v="105"/>
    <n v="58594308"/>
    <s v="Nab-Makeup"/>
    <x v="10"/>
    <d v="2025-06-23T00:00:00"/>
    <n v="150"/>
    <d v="2025-07-02T00:00:00"/>
  </r>
  <r>
    <s v="Fareeha Bassa"/>
    <s v="Rue Flammand"/>
    <s v="Mahebourg"/>
    <x v="105"/>
    <n v="58036290"/>
    <s v="Nab-Makeup"/>
    <x v="47"/>
    <d v="2025-06-26T00:00:00"/>
    <n v="150"/>
    <d v="2025-07-02T00:00:00"/>
  </r>
  <r>
    <s v="Nazmeer Mohamudally"/>
    <s v="Cent Gaulettes, Mahebourg"/>
    <s v="Mahebourg"/>
    <x v="105"/>
    <n v="57440151"/>
    <s v="Nab-Makeup"/>
    <x v="47"/>
    <d v="2025-06-26T00:00:00"/>
    <n v="150"/>
    <d v="2025-07-02T00:00:00"/>
  </r>
  <r>
    <s v="Nazmeee Mohamudally"/>
    <s v="Cent Gaulettes, Mahebourg"/>
    <s v="Mahebourg"/>
    <x v="105"/>
    <n v="57440151"/>
    <s v="Nab-Makeup"/>
    <x v="24"/>
    <d v="2025-07-10T00:00:00"/>
    <n v="150"/>
    <d v="2025-08-01T00:00:00"/>
  </r>
  <r>
    <s v="Prisca Venkiah"/>
    <s v="Royal Road Mahebourg"/>
    <s v="Mahebourg, Mauritius"/>
    <x v="105"/>
    <n v="57199532"/>
    <s v="Nab-Makeup"/>
    <x v="33"/>
    <d v="2025-07-28T00:00:00"/>
    <n v="150"/>
    <d v="2025-08-01T00:00:00"/>
  </r>
  <r>
    <s v="Kishelle Dookhee"/>
    <s v="53, Morcellement Lorette"/>
    <s v="Beau-Vallon, Mahebourg, Mauritius"/>
    <x v="105"/>
    <n v="59084577"/>
    <s v="Nab-Makeup"/>
    <x v="33"/>
    <d v="2025-07-28T00:00:00"/>
    <n v="150"/>
    <d v="2025-08-01T00:00:00"/>
  </r>
  <r>
    <s v="Mrs Bhavna Mohesh Kunnee"/>
    <s v="Goordin Lane"/>
    <s v="Mahebourg"/>
    <x v="105"/>
    <n v="58810707"/>
    <s v="OKASINA"/>
    <x v="33"/>
    <d v="2025-07-28T00:00:00"/>
    <n v="150"/>
    <d v="2025-08-01T00:00:00"/>
  </r>
  <r>
    <s v="Farhanah Joomun"/>
    <s v="River Side Street, Petit Bel Air, Mahebourg"/>
    <s v="Mahebourg"/>
    <x v="105"/>
    <n v="58614821"/>
    <s v="Nab-Makeup"/>
    <x v="5"/>
    <d v="2025-08-15T00:00:00"/>
    <n v="150"/>
    <m/>
  </r>
  <r>
    <s v="Natasha Greedharry"/>
    <s v="13 Malcom de Chazal St, Beau Vallon, Mahebourg"/>
    <s v="South"/>
    <x v="105"/>
    <n v="57854751"/>
    <s v="Nab-Makeup"/>
    <x v="35"/>
    <d v="2025-08-29T00:00:00"/>
    <n v="150"/>
    <m/>
  </r>
  <r>
    <s v="IZAH KHAN/MEHSAR - NABIIHAH - May's Shop"/>
    <s v="MAHEBOURG, Mauritius"/>
    <s v="MAHEBOURG, Mauritius"/>
    <x v="105"/>
    <n v="57963575"/>
    <s v="NABIIHAH - May's Shop"/>
    <x v="7"/>
    <d v="2025-08-29T00:00:00"/>
    <n v="100"/>
    <m/>
  </r>
  <r>
    <s v="SWAFIYA - NABIIHAH - May's Shop"/>
    <s v="MAHEBOURG, Mauritius"/>
    <s v="MAHEBOURG, Mauritius"/>
    <x v="105"/>
    <n v="57858859"/>
    <s v="NABIIHAH - May's Shop"/>
    <x v="7"/>
    <d v="2025-08-29T00:00:00"/>
    <n v="100"/>
    <m/>
  </r>
  <r>
    <s v="SAMIYA - NABIIHAH - May's Shop"/>
    <s v="MAHEBOURG, Mauritius"/>
    <s v="MAHEBOURG, Mauritius"/>
    <x v="105"/>
    <n v="58895296"/>
    <s v="NABIIHAH - May's Shop"/>
    <x v="7"/>
    <d v="2025-08-29T00:00:00"/>
    <n v="100"/>
    <m/>
  </r>
  <r>
    <s v="SUMMERTIME - NABIIHAH - May's Shop"/>
    <s v="MAHEBOURG, Mauritius"/>
    <s v="MAHEBOURG, Mauritius"/>
    <x v="105"/>
    <n v="54924921"/>
    <s v="NABIIHAH - May's Shop"/>
    <x v="7"/>
    <d v="2025-08-29T00:00:00"/>
    <n v="100"/>
    <m/>
  </r>
  <r>
    <s v="SHANTI DEENOO - NABIIHAH - May's Shop"/>
    <s v="MAHEBOURG, Mauritius"/>
    <s v="MAHEBOURG, Mauritius"/>
    <x v="105"/>
    <n v="59151470"/>
    <s v="NABIIHAH - May's Shop"/>
    <x v="7"/>
    <d v="2025-08-29T00:00:00"/>
    <n v="100"/>
    <m/>
  </r>
  <r>
    <s v="Namrata Etwareea"/>
    <s v="Plot 113, Morcellement Jeeraz, Maison Blanche"/>
    <s v="Pamplemousses"/>
    <x v="106"/>
    <n v="59186019"/>
    <s v="Nab-Makeup"/>
    <x v="14"/>
    <d v="2025-06-12T00:00:00"/>
    <n v="150"/>
    <d v="2025-07-02T00:00:00"/>
  </r>
  <r>
    <s v="Vikesh Goundowry"/>
    <s v="Royal Road, Cottage Mapou"/>
    <s v="Rivière du Rempart"/>
    <x v="107"/>
    <n v="57761919"/>
    <s v="Nab-Makeup"/>
    <x v="29"/>
    <d v="2025-05-12T00:00:00"/>
    <n v="150"/>
    <d v="2025-06-01T00:00:00"/>
  </r>
  <r>
    <s v="Isha Mohes"/>
    <s v="Royal Road, Mapou"/>
    <s v="Rivière du Rempart"/>
    <x v="107"/>
    <n v="58167542"/>
    <s v="Nab-Makeup"/>
    <x v="1"/>
    <d v="2025-06-09T00:00:00"/>
    <n v="150"/>
    <d v="2025-07-02T00:00:00"/>
  </r>
  <r>
    <s v="Yomela Mootien"/>
    <s v="T21, Quartier des Terminalias, Labourdonnais, Mapou"/>
    <s v="Riviere du Rempart"/>
    <x v="107"/>
    <n v="58247405"/>
    <s v="Nab-Makeup"/>
    <x v="34"/>
    <d v="2025-08-15T00:00:00"/>
    <n v="150"/>
    <m/>
  </r>
  <r>
    <s v="Rouwayda Alibocus"/>
    <s v="Lot 127, Morc Fairview, Mare D’Albert, Grand Port, Mauritius"/>
    <s v="Mare D’Albert"/>
    <x v="108"/>
    <n v="57993517"/>
    <s v="Nab-Makeup"/>
    <x v="31"/>
    <d v="2025-07-03T00:00:00"/>
    <n v="150"/>
    <d v="2025-08-01T00:00:00"/>
  </r>
  <r>
    <s v="Urmila Lakhan"/>
    <s v="A25 Residences Hortensia, Mare D’Albert"/>
    <s v="Mare D’Albert"/>
    <x v="108"/>
    <n v="58152146"/>
    <s v="Nab-Makeup"/>
    <x v="31"/>
    <d v="2025-07-03T00:00:00"/>
    <n v="150"/>
    <d v="2025-08-01T00:00:00"/>
  </r>
  <r>
    <s v="Rushika Bahadoor"/>
    <s v="Football Lane, Mare D'Albert"/>
    <s v="Grand Port"/>
    <x v="109"/>
    <n v="58262719"/>
    <s v="Nab-Makeup"/>
    <x v="12"/>
    <d v="2025-05-08T00:00:00"/>
    <n v="150"/>
    <d v="2025-06-01T00:00:00"/>
  </r>
  <r>
    <s v="Mme Mootoosamy"/>
    <s v="Mare D'Albert next to governmnt school."/>
    <s v="South"/>
    <x v="109"/>
    <n v="59229803"/>
    <s v="May's Shop"/>
    <x v="62"/>
    <d v="2025-06-23T00:00:00"/>
    <n v="150"/>
    <d v="2025-07-02T00:00:00"/>
  </r>
  <r>
    <s v="Preeta Ramessur"/>
    <s v="Rampe le moirt, Mare D'Albert"/>
    <s v="Mare D'Albert"/>
    <x v="109"/>
    <n v="59010622"/>
    <s v="Nab-Makeup"/>
    <x v="3"/>
    <d v="2025-07-21T00:00:00"/>
    <n v="150"/>
    <d v="2025-08-01T00:00:00"/>
  </r>
  <r>
    <s v="Preeta Ramessur"/>
    <s v="Rampe le moirt, Mare D'Albert"/>
    <s v="Mare D'Albert"/>
    <x v="109"/>
    <n v="59010622"/>
    <s v="Nab-Makeup"/>
    <x v="32"/>
    <d v="2025-07-24T00:00:00"/>
    <n v="150"/>
    <d v="2025-08-01T00:00:00"/>
  </r>
  <r>
    <s v="Diana Appadoo"/>
    <s v="Lot No. 3, Morc. Residence Grove, Mare D'Albert, Mauritius"/>
    <s v="South"/>
    <x v="109"/>
    <s v="5784 0163"/>
    <s v="Nab-Makeup"/>
    <x v="27"/>
    <d v="2025-08-19T00:00:00"/>
    <n v="150"/>
    <m/>
  </r>
  <r>
    <s v="Nidhi Mohabeer"/>
    <s v="Royal Road Mare Tabac"/>
    <s v="South"/>
    <x v="110"/>
    <n v="59150990"/>
    <s v="Nab-Makeup"/>
    <x v="25"/>
    <d v="2025-04-21T00:00:00"/>
    <n v="150"/>
    <d v="2025-05-04T00:00:00"/>
  </r>
  <r>
    <s v="Ganeshwaree Haronia"/>
    <s v="Bhunjun Lane, Mare Tabac"/>
    <s v="Savanne"/>
    <x v="110"/>
    <n v="57953690"/>
    <s v="Nab-Makeup"/>
    <x v="12"/>
    <d v="2025-05-08T00:00:00"/>
    <n v="150"/>
    <d v="2025-06-01T00:00:00"/>
  </r>
  <r>
    <s v="Krishnee Ghoorhoo"/>
    <s v="SSR lane"/>
    <s v="Mare Tabac"/>
    <x v="110"/>
    <n v="57088037"/>
    <s v="Glow And Aura"/>
    <x v="56"/>
    <d v="2025-06-12T00:00:00"/>
    <n v="75"/>
    <d v="2025-07-02T00:00:00"/>
  </r>
  <r>
    <s v="Ganeshwaree Haronia"/>
    <s v="Bhunjun Lane, Mare Tabac"/>
    <s v="Bhunjun Lane"/>
    <x v="110"/>
    <n v="57953690"/>
    <s v="Nab-Makeup"/>
    <x v="10"/>
    <d v="2025-06-23T00:00:00"/>
    <n v="150"/>
    <d v="2025-07-02T00:00:00"/>
  </r>
  <r>
    <s v="Prathna Caunhye"/>
    <s v="Morcellement Savannah, Mare Tabac"/>
    <s v="Morcellement Savannah"/>
    <x v="110"/>
    <n v="57567936"/>
    <s v="Nab-Makeup"/>
    <x v="10"/>
    <d v="2025-06-23T00:00:00"/>
    <n v="150"/>
    <d v="2025-07-02T00:00:00"/>
  </r>
  <r>
    <s v="Arzeenah Nauthoo"/>
    <s v="Royal Road, Camp de Masque Pave"/>
    <s v="Mauritius"/>
    <x v="111"/>
    <n v="57681286"/>
    <s v="Nab-Makeup"/>
    <x v="33"/>
    <d v="2025-07-28T00:00:00"/>
    <n v="150"/>
    <d v="2025-08-01T00:00:00"/>
  </r>
  <r>
    <s v="Syed Bibi Aisha"/>
    <s v="Avenue Des Moineaux, Medine Camp De Masque"/>
    <s v="East"/>
    <x v="112"/>
    <n v="58282499"/>
    <s v="Nab-Makeup"/>
    <x v="46"/>
    <d v="2025-04-17T00:00:00"/>
    <n v="150"/>
    <d v="2025-05-04T00:00:00"/>
  </r>
  <r>
    <s v="Suhaila Fatimah Ismael"/>
    <s v="Royal Road, Medine, Camp De Masque"/>
    <s v="East"/>
    <x v="112"/>
    <n v="59144058"/>
    <s v="Nab-Makeup"/>
    <x v="26"/>
    <d v="2025-04-24T00:00:00"/>
    <n v="150"/>
    <d v="2025-05-04T00:00:00"/>
  </r>
  <r>
    <s v="Jeetoo Rishita"/>
    <s v="Petite Cabane Road, Camp de Masque Pave"/>
    <s v="East"/>
    <x v="112"/>
    <n v="59278610"/>
    <s v="Nab-Makeup"/>
    <x v="40"/>
    <d v="2025-04-28T00:00:00"/>
    <n v="150"/>
    <d v="2025-05-04T00:00:00"/>
  </r>
  <r>
    <s v="Aunjum Samratty"/>
    <s v="Royal Road, Medine Camp De Masque"/>
    <s v="East"/>
    <x v="112"/>
    <n v="58168860"/>
    <s v="Nab-Makeup"/>
    <x v="9"/>
    <d v="2025-05-05T00:00:00"/>
    <n v="150"/>
    <d v="2025-06-01T00:00:00"/>
  </r>
  <r>
    <s v="Bibi Sahanaze Rojeedawa"/>
    <s v="Royal Road, Medine, Camp De Masque"/>
    <s v="East"/>
    <x v="112"/>
    <n v="58240240"/>
    <s v="Timeless Trends"/>
    <x v="61"/>
    <d v="2025-05-26T00:00:00"/>
    <n v="75"/>
    <d v="2025-06-01T00:00:00"/>
  </r>
  <r>
    <s v="Sanjana Abba"/>
    <s v="Royal Road Melrose"/>
    <s v="Royal Road Melrose"/>
    <x v="113"/>
    <n v="57361695"/>
    <s v="Glow And Aura"/>
    <x v="54"/>
    <d v="2025-06-05T00:00:00"/>
    <n v="75"/>
    <d v="2025-07-02T00:00:00"/>
  </r>
  <r>
    <s v="Shanya BinMohammed"/>
    <s v="Résidence Agathe, Block E08, Melrose"/>
    <s v="East"/>
    <x v="113"/>
    <s v="5829 3142"/>
    <s v="Nab-Makeup"/>
    <x v="27"/>
    <d v="2025-08-19T00:00:00"/>
    <n v="150"/>
    <m/>
  </r>
  <r>
    <s v="Dharshini Koolman"/>
    <s v="Chaussée Tromlin, Mer Rouge, Port Louis"/>
    <s v="Port Louis"/>
    <x v="114"/>
    <n v="58229138"/>
    <s v="Nab-Makeup"/>
    <x v="49"/>
    <d v="2025-05-05T00:00:00"/>
    <n v="150"/>
    <d v="2025-06-01T00:00:00"/>
  </r>
  <r>
    <s v="KARISHMA - NABIIHAH - May's Shop"/>
    <s v="MER ROUGE, Mauritius"/>
    <s v="MER ROUGE, Mauritius"/>
    <x v="114"/>
    <n v="57519228"/>
    <s v="NABIIHAH - May's Shop"/>
    <x v="7"/>
    <d v="2025-09-01T00:00:00"/>
    <n v="100"/>
    <m/>
  </r>
  <r>
    <s v="Farahnaaz Modoolla"/>
    <s v="Cocotier 2, Parisot, Mesnil"/>
    <s v="Plaines Wilhems"/>
    <x v="115"/>
    <n v="57809971"/>
    <s v="OKASINA"/>
    <x v="13"/>
    <d v="2025-06-05T00:00:00"/>
    <n v="150"/>
    <d v="2025-07-02T00:00:00"/>
  </r>
  <r>
    <s v="Nadira Bibi Saadia Hossen"/>
    <s v="Banarally Lane, Mesnil, Phoenix"/>
    <s v="Phoenix"/>
    <x v="115"/>
    <n v="54786476"/>
    <s v="Nab-Makeup"/>
    <x v="1"/>
    <d v="2025-06-09T00:00:00"/>
    <n v="150"/>
    <d v="2025-07-02T00:00:00"/>
  </r>
  <r>
    <s v="Farahnaaz Modoolla"/>
    <s v="Cocotier 2, Parisot, Mesnil"/>
    <s v="Moka"/>
    <x v="115"/>
    <n v="57809971"/>
    <s v="OKASINA"/>
    <x v="15"/>
    <d v="2025-06-20T00:00:00"/>
    <n v="150"/>
    <d v="2025-07-02T00:00:00"/>
  </r>
  <r>
    <s v="Nuzhah Elauhee"/>
    <s v="Tagore Lane, Mesnil"/>
    <s v="Tagore Lane"/>
    <x v="115"/>
    <n v="57550473"/>
    <s v="Nab-Makeup"/>
    <x v="47"/>
    <d v="2025-06-23T00:00:00"/>
    <n v="150"/>
    <d v="2025-07-02T00:00:00"/>
  </r>
  <r>
    <s v="Nuzhah Elauhee"/>
    <s v="Tagore Lane"/>
    <s v="Mesnil"/>
    <x v="115"/>
    <n v="57550473"/>
    <s v="Nab-Makeup"/>
    <x v="47"/>
    <d v="2025-06-26T00:00:00"/>
    <n v="150"/>
    <d v="2025-07-02T00:00:00"/>
  </r>
  <r>
    <s v="Ashee Kanhye / Preity Persand"/>
    <s v="Kidskills Ltd, 1st Floor, next to SBM Branch, Royal Road, Mesnil"/>
    <s v="Moka"/>
    <x v="115"/>
    <n v="57919559"/>
    <s v="Nab-Makeup"/>
    <x v="11"/>
    <d v="2025-06-30T00:00:00"/>
    <n v="150"/>
    <d v="2025-07-02T00:00:00"/>
  </r>
  <r>
    <s v="Madyha Kaudeer"/>
    <s v="Dispensary road, Midlands"/>
    <s v="Grand Port"/>
    <x v="116"/>
    <s v="58091971; 6645549"/>
    <s v="Nab-Makeup"/>
    <x v="29"/>
    <d v="2025-05-12T00:00:00"/>
    <n v="150"/>
    <d v="2025-06-01T00:00:00"/>
  </r>
  <r>
    <s v="Zainab Ramjaun"/>
    <s v="Mosque Road"/>
    <s v="Midlands, Mauritius"/>
    <x v="116"/>
    <n v="59859852"/>
    <s v="Nab-Makeup"/>
    <x v="33"/>
    <d v="2025-07-28T00:00:00"/>
    <n v="150"/>
    <d v="2025-08-01T00:00:00"/>
  </r>
  <r>
    <s v="Ushka Seeroo"/>
    <s v="Errigadoo Lane"/>
    <s v="Midlands, Plaines Wilhems, Mauritius"/>
    <x v="116"/>
    <n v="59133753"/>
    <s v="Nab-Makeup"/>
    <x v="33"/>
    <d v="2025-07-28T00:00:00"/>
    <n v="150"/>
    <d v="2025-08-01T00:00:00"/>
  </r>
  <r>
    <s v="Priyasha Oomajee"/>
    <s v="Ram Street, Midlands"/>
    <s v="Midlands"/>
    <x v="116"/>
    <n v="58313491"/>
    <s v="Nab-Makeup"/>
    <x v="6"/>
    <d v="2025-08-04T00:00:00"/>
    <n v="150"/>
    <m/>
  </r>
  <r>
    <s v="Alison Brasse"/>
    <s v="Midlands"/>
    <s v="Midlands"/>
    <x v="116"/>
    <n v="59184077"/>
    <s v="OKASINA"/>
    <x v="22"/>
    <d v="2025-08-07T00:00:00"/>
    <n v="150"/>
    <m/>
  </r>
  <r>
    <s v="Hans Purmah"/>
    <s v="PwC, Telfaire, Moka, Mauritius"/>
    <s v="Central"/>
    <x v="117"/>
    <n v="57831045"/>
    <s v="Nab-Makeup"/>
    <x v="9"/>
    <d v="2025-05-05T00:00:00"/>
    <n v="150"/>
    <d v="2025-06-01T00:00:00"/>
  </r>
  <r>
    <s v="Annastasia Rejana"/>
    <s v="Telfair Road, Moka"/>
    <s v="Moka"/>
    <x v="117"/>
    <n v="55077018"/>
    <s v="Nab-Makeup"/>
    <x v="23"/>
    <d v="2025-05-22T00:00:00"/>
    <n v="150"/>
    <d v="2025-06-01T00:00:00"/>
  </r>
  <r>
    <s v="Amarah Cooper"/>
    <s v="Bois Cheri Road"/>
    <s v="Moka"/>
    <x v="117"/>
    <n v="55069135"/>
    <s v="Nab-Makeup"/>
    <x v="19"/>
    <d v="2025-06-02T00:00:00"/>
    <n v="150"/>
    <d v="2025-07-02T00:00:00"/>
  </r>
  <r>
    <s v="Karishma Ghunowa"/>
    <s v="Your Dream Motors, Royal Road, Moka"/>
    <s v="Moka"/>
    <x v="117"/>
    <n v="52529812"/>
    <s v="Nab-Makeup"/>
    <x v="14"/>
    <d v="2025-06-12T00:00:00"/>
    <n v="150"/>
    <d v="2025-07-02T00:00:00"/>
  </r>
  <r>
    <s v="Emilie Coret"/>
    <s v="EURO CRM, Mahatma Gandhi Avenue, Moka"/>
    <s v="Moka"/>
    <x v="117"/>
    <n v="57180789"/>
    <s v="Little Star Boutique"/>
    <x v="67"/>
    <d v="2025-06-16T00:00:00"/>
    <n v="75"/>
    <d v="2025-07-02T00:00:00"/>
  </r>
  <r>
    <s v="Saniyah Beg"/>
    <s v="Charles Telfair, Moka"/>
    <s v="Moka"/>
    <x v="117"/>
    <n v="58328460"/>
    <s v="Luxe Miniatures"/>
    <x v="56"/>
    <d v="2025-06-16T00:00:00"/>
    <n v="150"/>
    <d v="2025-07-02T00:00:00"/>
  </r>
  <r>
    <s v="Inlex Mea"/>
    <s v="The Trademark Building, 1st Floor - Office 1-04, Telfair 80829, Moka"/>
    <s v="Moka"/>
    <x v="117"/>
    <n v="59791131"/>
    <s v="Nab-Makeup"/>
    <x v="15"/>
    <d v="2025-06-20T00:00:00"/>
    <n v="150"/>
    <d v="2025-07-02T00:00:00"/>
  </r>
  <r>
    <s v="Tina Motee"/>
    <s v="MBC, Moka"/>
    <s v="Moka"/>
    <x v="117"/>
    <n v="57035986"/>
    <s v="Nab-Makeup"/>
    <x v="11"/>
    <d v="2025-06-30T00:00:00"/>
    <n v="150"/>
    <d v="2025-07-02T00:00:00"/>
  </r>
  <r>
    <s v="Bibi Saadiyah Mullungmeeah"/>
    <s v="46 Branch Road, Petit Verger, Moka"/>
    <s v="Moka"/>
    <x v="117"/>
    <n v="52573592"/>
    <s v="Nab-Makeup"/>
    <x v="24"/>
    <d v="2025-07-10T00:00:00"/>
    <n v="150"/>
    <d v="2025-08-01T00:00:00"/>
  </r>
  <r>
    <s v="Ruheeta Aujgobee"/>
    <s v="Eclosia Group"/>
    <s v="Eclosia Head Office, Gentilly Moka"/>
    <x v="117"/>
    <n v="59150385"/>
    <s v="Nab-Makeup"/>
    <x v="33"/>
    <d v="2025-07-28T00:00:00"/>
    <n v="150"/>
    <d v="2025-08-01T00:00:00"/>
  </r>
  <r>
    <s v="Karishma Ghunowa"/>
    <s v="Royal Road, Moka (Your Dream Motors)"/>
    <s v="Moka"/>
    <x v="117"/>
    <n v="52529812"/>
    <s v="Nab-Makeup"/>
    <x v="6"/>
    <d v="2025-08-04T00:00:00"/>
    <n v="150"/>
    <m/>
  </r>
  <r>
    <s v="Clara Yuzna"/>
    <s v="Saint Pierre"/>
    <s v="Moka"/>
    <x v="117"/>
    <n v="57675891"/>
    <s v="Glow And Aura"/>
    <x v="68"/>
    <s v="Cancelled"/>
    <n v="0"/>
    <n v="0"/>
  </r>
  <r>
    <s v="Nithisha Nirsimloo"/>
    <s v="Le Ravin Riverside, B5, Moka, Mauritius"/>
    <s v="Central"/>
    <x v="117"/>
    <s v="5982 7315"/>
    <s v="Nab-Makeup"/>
    <x v="27"/>
    <d v="2025-08-19T00:00:00"/>
    <n v="150"/>
    <m/>
  </r>
  <r>
    <s v="TANOOJA - NABIIHAH - May's Shop"/>
    <s v="MOKA, MONTAGE ORY LE BOCAGE MOKA, Mauritius"/>
    <s v="MOKA, MONTAGE ORY LE BOCAGE MOKA, Mauritius"/>
    <x v="118"/>
    <n v="57961218"/>
    <s v="NABIIHAH - May's Shop"/>
    <x v="7"/>
    <d v="2025-09-01T00:00:00"/>
    <n v="100"/>
    <m/>
  </r>
  <r>
    <s v="Zabeen"/>
    <s v="Lolo Hyper Market Moncellement St Andres"/>
    <s v="Moncellement St Andres"/>
    <x v="119"/>
    <n v="57091701"/>
    <s v="Glow And Aura"/>
    <x v="69"/>
    <d v="2025-07-10T00:00:00"/>
    <n v="150"/>
    <d v="2025-08-01T00:00:00"/>
  </r>
  <r>
    <s v="Anaïs Monchy"/>
    <s v="Lot 2, Bois Chandelle, Mont Choisy"/>
    <s v="Pamplemousses"/>
    <x v="120"/>
    <n v="59711158"/>
    <s v="Nab-Makeup"/>
    <x v="13"/>
    <d v="2025-06-05T00:00:00"/>
    <n v="150"/>
    <d v="2025-07-02T00:00:00"/>
  </r>
  <r>
    <s v="Saabirah Toorabally"/>
    <s v="Morcellement Jhuboo, Mont Choisy"/>
    <s v="Morcellement Jhuboo"/>
    <x v="120"/>
    <n v="58071491"/>
    <s v="Nab-Makeup"/>
    <x v="22"/>
    <d v="2025-08-07T00:00:00"/>
    <n v="150"/>
    <m/>
  </r>
  <r>
    <s v="Sarah Madina"/>
    <s v="Avenue Des Cateaux Vert, Mont Ida"/>
    <s v="Moka"/>
    <x v="121"/>
    <n v="58347822"/>
    <s v="Nab-Makeup"/>
    <x v="8"/>
    <d v="2025-05-03T00:00:00"/>
    <n v="150"/>
    <d v="2025-05-04T00:00:00"/>
  </r>
  <r>
    <s v="Shamil Nunhuck"/>
    <s v="Royal Road"/>
    <s v="Mont Ida"/>
    <x v="121"/>
    <s v="59704384 / 58487190"/>
    <s v="Nab-Makeup"/>
    <x v="47"/>
    <d v="2025-06-26T00:00:00"/>
    <n v="150"/>
    <d v="2025-07-02T00:00:00"/>
  </r>
  <r>
    <s v="Gowmatee Reedoye"/>
    <s v="Avenue Albatross, Montida"/>
    <s v="Montida"/>
    <x v="121"/>
    <n v="58024936"/>
    <s v="OKASINA"/>
    <x v="32"/>
    <d v="2025-07-24T00:00:00"/>
    <n v="150"/>
    <d v="2025-08-01T00:00:00"/>
  </r>
  <r>
    <s v="Anissah"/>
    <s v="Mont Ida"/>
    <s v="Mont Ida"/>
    <x v="121"/>
    <n v="57698716"/>
    <s v="Little Star Boutique"/>
    <x v="4"/>
    <d v="2025-07-31T00:00:00"/>
    <n v="150"/>
    <d v="2025-08-01T00:00:00"/>
  </r>
  <r>
    <s v="Raakshita Sewtohul"/>
    <s v="Avenue des Colombes, Mont Ida"/>
    <s v="Mont Ida"/>
    <x v="121"/>
    <n v="57265037"/>
    <s v="Nab-Makeup"/>
    <x v="6"/>
    <d v="2025-08-05T00:00:00"/>
    <n v="150"/>
    <m/>
  </r>
  <r>
    <s v="Azhar Eathally"/>
    <s v="Avenue Des Corbijeaux, Mont Ida, Mauritius"/>
    <s v="Mont Ida"/>
    <x v="121"/>
    <n v="57682021"/>
    <s v="Nab-Makeup"/>
    <x v="22"/>
    <d v="2025-08-07T00:00:00"/>
    <n v="150"/>
    <m/>
  </r>
  <r>
    <s v="Sandhya Ramkhelawon"/>
    <s v="Royal Road, Mont Ida (Next to Post office)"/>
    <s v="Mont Ida"/>
    <x v="121"/>
    <n v="57891564"/>
    <s v="OKASINA"/>
    <x v="45"/>
    <d v="2025-09-01T00:00:00"/>
    <n v="150"/>
    <m/>
  </r>
  <r>
    <s v="Noorianah Lollmahamod Roojee"/>
    <s v="Avenue des Cygnes, Mont Ida"/>
    <s v="Mont Ida"/>
    <x v="121"/>
    <n v="59862046"/>
    <s v="Nab-Makeup"/>
    <x v="36"/>
    <d v="2025-08-26T00:00:00"/>
    <n v="150"/>
    <m/>
  </r>
  <r>
    <s v="Nadine"/>
    <s v="Mont Roches"/>
    <s v="Mont Roches"/>
    <x v="122"/>
    <n v="58157818"/>
    <s v="Vibezone Boutik"/>
    <x v="53"/>
    <d v="2025-07-28T00:00:00"/>
    <n v="150"/>
    <d v="2025-08-01T00:00:00"/>
  </r>
  <r>
    <s v="Fadil Dulloo"/>
    <s v="Petit pacquet"/>
    <s v="East"/>
    <x v="123"/>
    <n v="59079247"/>
    <s v="Nab-Makeup"/>
    <x v="18"/>
    <d v="2025-04-17T00:00:00"/>
    <n v="150"/>
    <d v="2025-05-04T00:00:00"/>
  </r>
  <r>
    <s v="Pooja Soomarooa"/>
    <s v="Charbon Lane, Montagne Blanche"/>
    <s v="East"/>
    <x v="123"/>
    <n v="58166130"/>
    <s v="Nab-Makeup"/>
    <x v="28"/>
    <d v="2025-05-03T00:00:00"/>
    <n v="150"/>
    <d v="2025-05-04T00:00:00"/>
  </r>
  <r>
    <s v="Yootika Soobhujhun"/>
    <s v="NHDC F12, Montagne Blanche"/>
    <s v="Flacq"/>
    <x v="123"/>
    <n v="58137442"/>
    <s v="Nab-Makeup"/>
    <x v="49"/>
    <d v="2025-05-03T00:00:00"/>
    <n v="150"/>
    <d v="2025-06-01T00:00:00"/>
  </r>
  <r>
    <s v="Niveda Moorghen"/>
    <s v="Petit Paquet, Montagne Blanche"/>
    <s v="Flacq"/>
    <x v="123"/>
    <n v="57957626"/>
    <s v="Nab-Makeup"/>
    <x v="30"/>
    <d v="2025-05-19T00:00:00"/>
    <n v="150"/>
    <d v="2025-06-01T00:00:00"/>
  </r>
  <r>
    <s v="Kodaï Bhoomesha"/>
    <s v="Royal Road, Melrose, Montagne Blanche"/>
    <s v="Flacq"/>
    <x v="123"/>
    <n v="58248423"/>
    <s v="Nab-Makeup"/>
    <x v="23"/>
    <d v="2025-05-26T00:00:00"/>
    <n v="150"/>
    <d v="2025-06-01T00:00:00"/>
  </r>
  <r>
    <s v="Meeshita Teetaree"/>
    <s v="Charbon Lane, Montagne Blanche"/>
    <s v="Flacq"/>
    <x v="123"/>
    <n v="57560789"/>
    <s v="Nab-Makeup"/>
    <x v="20"/>
    <d v="2025-05-29T00:00:00"/>
    <n v="150"/>
    <d v="2025-06-01T00:00:00"/>
  </r>
  <r>
    <s v="Jhumunn Imran"/>
    <s v="Royal Road, Montagne Blanche"/>
    <s v="Flacq"/>
    <x v="123"/>
    <n v="57575292"/>
    <s v="Nab-Makeup"/>
    <x v="20"/>
    <d v="2025-06-02T00:00:00"/>
    <n v="150"/>
    <d v="2025-08-01T00:00:00"/>
  </r>
  <r>
    <s v="Meeshita Teetaree"/>
    <s v="Charbon Lane, Montagne Blanche"/>
    <s v="Flacq"/>
    <x v="123"/>
    <n v="57560789"/>
    <s v="Nab-Makeup"/>
    <x v="19"/>
    <d v="2025-06-02T00:00:00"/>
    <n v="150"/>
    <d v="2025-07-02T00:00:00"/>
  </r>
  <r>
    <s v="Janisha Ghurhoo"/>
    <s v="Tancrel Road, Montagne Blanche"/>
    <s v="Flacq"/>
    <x v="123"/>
    <n v="58001530"/>
    <s v="Nab-Makeup"/>
    <x v="13"/>
    <d v="2025-06-05T00:00:00"/>
    <n v="150"/>
    <d v="2025-07-02T00:00:00"/>
  </r>
  <r>
    <s v="Amnah Soyfoo"/>
    <s v="Buldee Lane, Petit Paquet, Montagne Blanche"/>
    <s v="Flacq"/>
    <x v="123"/>
    <n v="59264237"/>
    <s v="Nab-Makeup"/>
    <x v="13"/>
    <d v="2025-06-05T00:00:00"/>
    <n v="150"/>
    <d v="2025-07-02T00:00:00"/>
  </r>
  <r>
    <s v="Aashna Mulliah"/>
    <s v="Petit Paquet Road, Montagne Blanche"/>
    <s v="Montagne Blanche"/>
    <x v="123"/>
    <n v="58247066"/>
    <s v="Little Star Boutique"/>
    <x v="54"/>
    <d v="2025-06-05T00:00:00"/>
    <n v="75"/>
    <d v="2025-07-02T00:00:00"/>
  </r>
  <r>
    <s v="Imran Jhumunn"/>
    <s v="Royal Road, Montagne Blanche"/>
    <s v="Flacq"/>
    <x v="123"/>
    <n v="57575292"/>
    <s v="Nab-Makeup"/>
    <x v="41"/>
    <d v="2025-06-16T00:00:00"/>
    <n v="150"/>
    <d v="2025-07-02T00:00:00"/>
  </r>
  <r>
    <s v="Meeshita Teetaree"/>
    <s v="Charbon Lane, Montagne Blanche"/>
    <s v="Flacq"/>
    <x v="123"/>
    <n v="57560789"/>
    <s v="Nab-Makeup"/>
    <x v="41"/>
    <d v="2025-06-16T00:00:00"/>
    <n v="150"/>
    <d v="2025-07-02T00:00:00"/>
  </r>
  <r>
    <s v="Seewoobudut Looshna"/>
    <s v="Social Welfare Centre Lane, Mt Blanche"/>
    <s v="Social Welfare Centre Lane"/>
    <x v="123"/>
    <n v="58285831"/>
    <s v="Nab-Makeup"/>
    <x v="10"/>
    <d v="2025-06-23T00:00:00"/>
    <n v="150"/>
    <d v="2025-07-02T00:00:00"/>
  </r>
  <r>
    <s v="Mauracheea Lakshita"/>
    <s v="Sans Souci Road, Montagne Blanche"/>
    <s v="Flacq"/>
    <x v="123"/>
    <n v="55098828"/>
    <s v="Nab-Makeup"/>
    <x v="11"/>
    <d v="2025-06-30T00:00:00"/>
    <n v="150"/>
    <d v="2025-07-02T00:00:00"/>
  </r>
  <r>
    <s v="Ashmita Babajee"/>
    <s v="Sans Souci Road, Montagne Blanche, Moka"/>
    <s v="Moka"/>
    <x v="123"/>
    <n v="57976562"/>
    <s v="Nab-Makeup"/>
    <x v="31"/>
    <d v="2025-07-03T00:00:00"/>
    <n v="150"/>
    <d v="2025-08-01T00:00:00"/>
  </r>
  <r>
    <s v="Hemamta Ragoonanan"/>
    <s v="Dodo Lane, Montagne Blanche"/>
    <s v="Montagne Blanche"/>
    <x v="123"/>
    <n v="58105290"/>
    <s v="Nab-Makeup"/>
    <x v="2"/>
    <d v="2025-07-07T00:00:00"/>
    <n v="150"/>
    <d v="2025-08-01T00:00:00"/>
  </r>
  <r>
    <s v="Niveda Moorghen"/>
    <s v="Petit paquet, Montagne Blanche"/>
    <s v="Montagne Blanche"/>
    <x v="123"/>
    <n v="57957626"/>
    <s v="Nab-Makeup"/>
    <x v="3"/>
    <d v="2025-07-21T00:00:00"/>
    <n v="150"/>
    <d v="2025-08-01T00:00:00"/>
  </r>
  <r>
    <s v="Jhumunn Imran"/>
    <s v="Royal Road, Montagne Blanche, Port Louis"/>
    <s v="Montagne Blanche"/>
    <x v="123"/>
    <n v="57575292"/>
    <s v="Nab-Makeup"/>
    <x v="32"/>
    <d v="2025-07-24T00:00:00"/>
    <n v="150"/>
    <d v="2025-08-01T00:00:00"/>
  </r>
  <r>
    <s v="Shaynaz Ghannoo"/>
    <s v="Royal Road, Montagne Blanche"/>
    <s v="Montagne Blanche"/>
    <x v="123"/>
    <n v="59789739"/>
    <s v="Nab-Makeup"/>
    <x v="6"/>
    <d v="2025-08-04T00:00:00"/>
    <n v="150"/>
    <m/>
  </r>
  <r>
    <s v="Seemita Mauracheea"/>
    <s v="Shivala Road, Montaigne Blanche"/>
    <s v="Montaigne Blanche"/>
    <x v="123"/>
    <n v="59480843"/>
    <s v="OKASINA"/>
    <x v="22"/>
    <d v="2025-08-07T00:00:00"/>
    <n v="150"/>
    <m/>
  </r>
  <r>
    <s v="Yashiirah Nuzooa"/>
    <s v="Petite Paquet, Montagne Blanche"/>
    <s v="Montagne Blanche"/>
    <x v="123"/>
    <s v="59238728 / 57524648"/>
    <s v="Nab-Makeup"/>
    <x v="5"/>
    <d v="2025-08-12T00:00:00"/>
    <n v="150"/>
    <m/>
  </r>
  <r>
    <s v="Soobhujhun Yootika"/>
    <s v="NHDC F12 Montagne Blanche, Montagne Blanche"/>
    <s v="Montagne Blanche"/>
    <x v="123"/>
    <n v="58137442"/>
    <s v="Nab-Makeup"/>
    <x v="17"/>
    <d v="2025-08-22T00:00:00"/>
    <n v="150"/>
    <m/>
  </r>
  <r>
    <s v="Beedwantee Auchoybur"/>
    <s v="Camp La Bouse"/>
    <s v="Montagne Longue"/>
    <x v="124"/>
    <n v="54955604"/>
    <s v="OKASINA"/>
    <x v="13"/>
    <d v="2025-06-05T00:00:00"/>
    <n v="150"/>
    <d v="2025-07-02T00:00:00"/>
  </r>
  <r>
    <s v="Beedwantee Auchoybur"/>
    <s v="Camp La Bouse"/>
    <s v="Montagne Longue"/>
    <x v="124"/>
    <n v="54955604"/>
    <s v="OKASINA"/>
    <x v="47"/>
    <d v="2025-06-30T00:00:00"/>
    <n v="150"/>
    <d v="2025-07-02T00:00:00"/>
  </r>
  <r>
    <s v="Beedwantee Auchoybur"/>
    <s v="Camp La Bouse"/>
    <s v="Montagne Longue"/>
    <x v="124"/>
    <n v="54955604"/>
    <s v="OKASINA"/>
    <x v="33"/>
    <d v="2025-07-28T00:00:00"/>
    <n v="150"/>
    <d v="2025-08-01T00:00:00"/>
  </r>
  <r>
    <s v="Shabneez Abdool Khader"/>
    <s v="Parasol Lane, Mont-Fertile, New-Grove"/>
    <s v="New-Grove"/>
    <x v="125"/>
    <n v="59273443"/>
    <s v="Nab-Makeup"/>
    <x v="31"/>
    <d v="2025-07-03T00:00:00"/>
    <n v="150"/>
    <d v="2025-08-01T00:00:00"/>
  </r>
  <r>
    <s v="Shifa Bibi Suhaylah Nazurally"/>
    <s v="Avenue des Cateaux Verts, Mont-Ida"/>
    <s v="Mont-Ida"/>
    <x v="126"/>
    <n v="57678095"/>
    <s v="Nab-Makeup"/>
    <x v="31"/>
    <d v="2025-07-03T00:00:00"/>
    <n v="150"/>
    <d v="2025-08-01T00:00:00"/>
  </r>
  <r>
    <s v="Kalleechurn Keshika"/>
    <s v="Bon Air Road, Morcellement St Andre"/>
    <s v="Pamplemousses"/>
    <x v="127"/>
    <n v="59231709"/>
    <s v="Nab-Makeup"/>
    <x v="12"/>
    <d v="2025-05-08T00:00:00"/>
    <n v="150"/>
    <d v="2025-06-01T00:00:00"/>
  </r>
  <r>
    <s v="Ayesha Rumjaun"/>
    <s v="Royal Road, Morc St Andre"/>
    <s v="Morc St Andre"/>
    <x v="127"/>
    <n v="54887972"/>
    <s v="Nab-Makeup"/>
    <x v="39"/>
    <d v="2025-07-17T00:00:00"/>
    <n v="150"/>
    <d v="2025-08-01T00:00:00"/>
  </r>
  <r>
    <s v="Koorshida Khodabuccus"/>
    <s v="Royal Road, Morcellement Saint André"/>
    <s v="North"/>
    <x v="128"/>
    <n v="57691244"/>
    <s v="Nab-Makeup"/>
    <x v="28"/>
    <d v="2025-05-01T00:00:00"/>
    <n v="150"/>
    <d v="2025-05-04T00:00:00"/>
  </r>
  <r>
    <s v="Safina Bahadoor"/>
    <s v="Parasol Lane, Mont Fertile, New Grove"/>
    <s v="South"/>
    <x v="129"/>
    <n v="59082537"/>
    <s v="Nab-Makeup"/>
    <x v="25"/>
    <d v="2025-04-21T00:00:00"/>
    <n v="150"/>
    <d v="2025-05-04T00:00:00"/>
  </r>
  <r>
    <s v="Bhawoonath Souman"/>
    <s v="Gros Billot, Bois d'oiseau Lane, New Grove"/>
    <s v="South"/>
    <x v="129"/>
    <n v="57529033"/>
    <s v="Nab-Makeup"/>
    <x v="26"/>
    <d v="2025-04-24T00:00:00"/>
    <n v="150"/>
    <d v="2025-05-04T00:00:00"/>
  </r>
  <r>
    <s v="Anusha Bhudhundee"/>
    <s v="Morcellement VRS 2, New Grove"/>
    <s v="South"/>
    <x v="129"/>
    <n v="57945516"/>
    <s v="Nab-Makeup"/>
    <x v="28"/>
    <d v="2025-05-03T00:00:00"/>
    <n v="150"/>
    <d v="2025-05-04T00:00:00"/>
  </r>
  <r>
    <s v="Ourvashi Benarasi"/>
    <s v="Princess Margaret 3 street _x000a_Mont Fertile New Grove "/>
    <s v="South"/>
    <x v="129"/>
    <n v="55087432"/>
    <s v="OKASINA"/>
    <x v="9"/>
    <d v="2025-05-05T00:00:00"/>
    <n v="150"/>
    <d v="2025-06-01T00:00:00"/>
  </r>
  <r>
    <s v="Shirine Bahsu"/>
    <s v="Branch Road, Gros-Billot, New-Grove"/>
    <s v="Grand Port"/>
    <x v="129"/>
    <n v="57696381"/>
    <s v="Nab-Makeup"/>
    <x v="12"/>
    <d v="2025-05-08T00:00:00"/>
    <n v="150"/>
    <d v="2025-06-01T00:00:00"/>
  </r>
  <r>
    <s v="Sandhya"/>
    <s v="Dreamprice, New Grove"/>
    <s v="Grand Port"/>
    <x v="129"/>
    <n v="59204506"/>
    <s v="OKASINA"/>
    <x v="50"/>
    <d v="2025-05-15T00:00:00"/>
    <n v="150"/>
    <d v="2025-06-01T00:00:00"/>
  </r>
  <r>
    <s v="Chesnabye Pittea"/>
    <s v="Royal Road, La Rosa, New-Grove, 51213"/>
    <s v="Grand Port"/>
    <x v="129"/>
    <n v="57049037"/>
    <s v="Nab-Makeup"/>
    <x v="30"/>
    <d v="2025-05-19T00:00:00"/>
    <n v="150"/>
    <d v="2025-06-01T00:00:00"/>
  </r>
  <r>
    <s v="Ourmila Choytun Bachu"/>
    <s v="Bhagelloo Lane, Mont Fertile, New Grove"/>
    <s v="Grand Port"/>
    <x v="129"/>
    <n v="58336735"/>
    <s v="Nab-Makeup"/>
    <x v="1"/>
    <d v="2025-06-09T00:00:00"/>
    <n v="150"/>
    <d v="2025-07-02T00:00:00"/>
  </r>
  <r>
    <s v="Drishti Ramchurn"/>
    <s v="146, Morcellement VRS, Gros Billot, New Grove"/>
    <s v="Grand Port"/>
    <x v="129"/>
    <n v="58093231"/>
    <s v="Nab-Makeup"/>
    <x v="14"/>
    <d v="2025-06-12T00:00:00"/>
    <n v="150"/>
    <d v="2025-07-02T00:00:00"/>
  </r>
  <r>
    <s v="Sheshna Chukowry"/>
    <s v="Siding Road, New Grove"/>
    <s v="Grand Port"/>
    <x v="129"/>
    <n v="58319014"/>
    <s v="Nab-Makeup"/>
    <x v="41"/>
    <d v="2025-06-16T00:00:00"/>
    <n v="150"/>
    <d v="2025-07-02T00:00:00"/>
  </r>
  <r>
    <s v="Zahrah Emambocus"/>
    <s v="Gros Billot"/>
    <s v="South"/>
    <x v="129"/>
    <n v="57594752"/>
    <s v="Glow And Aura"/>
    <x v="62"/>
    <d v="2025-06-20T00:00:00"/>
    <n v="150"/>
    <d v="2025-07-02T00:00:00"/>
  </r>
  <r>
    <s v="Shabneez Abdool Khader"/>
    <s v="Parasol Lane, Mont-Fertile"/>
    <s v="New Grove"/>
    <x v="129"/>
    <n v="59273443"/>
    <s v="Nab-Makeup"/>
    <x v="47"/>
    <d v="2025-06-26T00:00:00"/>
    <n v="150"/>
    <d v="2025-07-02T00:00:00"/>
  </r>
  <r>
    <s v="Salinah Nuckcheddy"/>
    <s v="Royal Road, New Grove"/>
    <s v="Grand Port"/>
    <x v="129"/>
    <n v="58129432"/>
    <s v="Nab-Makeup"/>
    <x v="11"/>
    <d v="2025-06-30T00:00:00"/>
    <n v="150"/>
    <d v="2025-07-02T00:00:00"/>
  </r>
  <r>
    <s v="Safina Bahadoor"/>
    <s v="Parasol Lane, Mont Fertile, New Grove"/>
    <s v="Grand Port"/>
    <x v="129"/>
    <n v="59082537"/>
    <s v="Nab-Makeup"/>
    <x v="11"/>
    <d v="2025-06-30T00:00:00"/>
    <n v="150"/>
    <d v="2025-07-02T00:00:00"/>
  </r>
  <r>
    <s v="Shabneez Abdool Khader"/>
    <s v="Parasol Lane, Mont-Fertile, New-Grove, Mauritius"/>
    <s v="Grand Port"/>
    <x v="129"/>
    <n v="59273443"/>
    <s v="Nab-Makeup"/>
    <x v="11"/>
    <d v="2025-06-30T00:00:00"/>
    <n v="150"/>
    <d v="2025-07-02T00:00:00"/>
  </r>
  <r>
    <s v="Ansooya Mungra-Padavathan"/>
    <s v="Ramdhun Lane, Gros Billot, New Grove"/>
    <s v="New Grove"/>
    <x v="129"/>
    <n v="57528785"/>
    <s v="Timeless Trends"/>
    <x v="69"/>
    <d v="2025-07-10T00:00:00"/>
    <n v="150"/>
    <d v="2025-08-01T00:00:00"/>
  </r>
  <r>
    <s v="Bhujun Usha Devi"/>
    <s v="Oree Lane, Lattiff Ully Street, Gros Billot, New Grove"/>
    <s v="New Grove"/>
    <x v="129"/>
    <n v="58271865"/>
    <s v="Nab-Makeup"/>
    <x v="39"/>
    <d v="2025-07-17T00:00:00"/>
    <n v="150"/>
    <d v="2025-08-01T00:00:00"/>
  </r>
  <r>
    <s v="Ruttun Bushra Umme Zainab"/>
    <s v="Saulick Street, Gros Billot, New Grove"/>
    <s v="New Grove"/>
    <x v="129"/>
    <n v="58142373"/>
    <s v="Nab-Makeup"/>
    <x v="39"/>
    <d v="2025-07-17T00:00:00"/>
    <n v="150"/>
    <d v="2025-08-01T00:00:00"/>
  </r>
  <r>
    <s v="Bhavya Riddhi Ramkhelawon"/>
    <s v="Branch Road, New Grove c/o Les Bisounours, Grand Port"/>
    <s v="New Grove"/>
    <x v="129"/>
    <n v="58348342"/>
    <s v="Nab-Makeup"/>
    <x v="39"/>
    <d v="2025-07-17T00:00:00"/>
    <n v="150"/>
    <d v="2025-08-01T00:00:00"/>
  </r>
  <r>
    <s v="Lovnima Gungah"/>
    <s v="5, Deux Bras Road, New Grove"/>
    <s v="New Grove"/>
    <x v="129"/>
    <n v="57041654"/>
    <s v="Nab-Makeup"/>
    <x v="3"/>
    <d v="2025-07-21T00:00:00"/>
    <n v="150"/>
    <d v="2025-08-01T00:00:00"/>
  </r>
  <r>
    <s v="Teeshta Bissessur"/>
    <s v="Ramkelawon St, Deux Bras Rd, New Grove"/>
    <s v="New Grove"/>
    <x v="129"/>
    <n v="58289088"/>
    <s v="Nab-Makeup"/>
    <x v="5"/>
    <d v="2025-08-12T00:00:00"/>
    <n v="150"/>
    <m/>
  </r>
  <r>
    <s v="Drishti Ramchurn"/>
    <s v="146, Morcellement VRS, Gros Billot, New Grove"/>
    <s v="New Grove"/>
    <x v="129"/>
    <n v="58093231"/>
    <s v="Nab-Makeup"/>
    <x v="17"/>
    <d v="2025-08-22T00:00:00"/>
    <n v="150"/>
    <m/>
  </r>
  <r>
    <s v="Bhavya Riddhi Ramkhelawon"/>
    <s v="Branch Road, New Grove c/o Les Bisounours, Grand Port"/>
    <s v="New Grove"/>
    <x v="129"/>
    <n v="58348342"/>
    <s v="Nab-Makeup"/>
    <x v="35"/>
    <d v="2025-08-29T00:00:00"/>
    <n v="150"/>
    <m/>
  </r>
  <r>
    <s v="MALINEE - NABIIHAH - May's Shop"/>
    <s v="NEW GROVE, Mauritius"/>
    <s v="NEW GROVE, Mauritius"/>
    <x v="129"/>
    <n v="59271093"/>
    <s v="NABIIHAH - May's Shop"/>
    <x v="7"/>
    <d v="2025-08-29T00:00:00"/>
    <n v="100"/>
    <m/>
  </r>
  <r>
    <s v="Shabneez Abdool Khader"/>
    <s v="Parasol Lane, Mont-Fertile, New-Grove, Mauritius"/>
    <s v="New-Grove"/>
    <x v="130"/>
    <n v="59273443"/>
    <s v="Nab-Makeup"/>
    <x v="22"/>
    <d v="2025-08-07T00:00:00"/>
    <n v="150"/>
    <m/>
  </r>
  <r>
    <s v="Faarheen Bibi Jaumeer"/>
    <s v="Church Road, Auckbarally Lane, Notre Dame"/>
    <s v="Pamplemousses"/>
    <x v="131"/>
    <n v="58240985"/>
    <s v="Nab-Makeup"/>
    <x v="20"/>
    <d v="2025-05-29T00:00:00"/>
    <n v="150"/>
    <d v="2025-06-01T00:00:00"/>
  </r>
  <r>
    <s v="Zaafirah Keramuth"/>
    <s v="Royal Road, Notre Dame"/>
    <s v="Notre Dame"/>
    <x v="131"/>
    <n v="58009660"/>
    <s v="Nab-Makeup"/>
    <x v="5"/>
    <d v="2025-08-12T00:00:00"/>
    <n v="150"/>
    <m/>
  </r>
  <r>
    <s v="Zaafirah Keramuth"/>
    <s v="Royal Road, Notre Dame"/>
    <s v="Notre Dame"/>
    <x v="131"/>
    <n v="58009660"/>
    <s v="Nab-Makeup"/>
    <x v="36"/>
    <d v="2025-08-26T00:00:00"/>
    <n v="150"/>
    <m/>
  </r>
  <r>
    <s v="Varuna Nunoo"/>
    <s v="Royal Road, Nouvelle Decouverte"/>
    <s v="Moka"/>
    <x v="132"/>
    <n v="57781608"/>
    <s v="Nab-Makeup"/>
    <x v="12"/>
    <d v="2025-05-08T00:00:00"/>
    <n v="150"/>
    <d v="2025-06-01T00:00:00"/>
  </r>
  <r>
    <s v="Zaheenah Boodeea"/>
    <s v="Solesse Road"/>
    <s v="South"/>
    <x v="133"/>
    <n v="59890536"/>
    <s v="Nab-Makeup"/>
    <x v="18"/>
    <d v="2025-04-17T00:00:00"/>
    <n v="150"/>
    <d v="2025-05-04T00:00:00"/>
  </r>
  <r>
    <s v="Urvashi Roopa"/>
    <s v="Savanne Road, Nouvelle France"/>
    <s v="East"/>
    <x v="133"/>
    <n v="57566408"/>
    <s v="Nab-Makeup"/>
    <x v="26"/>
    <d v="2025-04-24T00:00:00"/>
    <n v="150"/>
    <d v="2025-05-04T00:00:00"/>
  </r>
  <r>
    <s v="Bibi Yasmine Hessamdee"/>
    <s v="Royal Road, Nouvelle France"/>
    <s v="South"/>
    <x v="133"/>
    <n v="59125096"/>
    <s v="Nab-Makeup"/>
    <x v="40"/>
    <d v="2025-04-30T00:00:00"/>
    <n v="150"/>
    <d v="2025-05-04T00:00:00"/>
  </r>
  <r>
    <s v="Survashi Neersoo"/>
    <s v="Savanne Road, Nouvelle France"/>
    <s v="South"/>
    <x v="133"/>
    <n v="58150318"/>
    <s v="OKASINA"/>
    <x v="8"/>
    <d v="2025-04-30T00:00:00"/>
    <n v="150"/>
    <d v="2025-05-04T00:00:00"/>
  </r>
  <r>
    <s v="Avinash Cheenatur"/>
    <s v="Royal Road, Nouvelle France"/>
    <s v="Grand Port"/>
    <x v="133"/>
    <n v="52593875"/>
    <s v="Nab-Makeup"/>
    <x v="19"/>
    <d v="2025-06-02T00:00:00"/>
    <n v="150"/>
    <d v="2025-07-02T00:00:00"/>
  </r>
  <r>
    <s v="Ghanpriya Aubeelack"/>
    <s v="Royal Road, Nouvelle France (Near Police Station)"/>
    <s v="Grand Port"/>
    <x v="133"/>
    <s v="57701300 / 59202789"/>
    <s v="Nab-Makeup"/>
    <x v="13"/>
    <d v="2025-06-05T00:00:00"/>
    <n v="150"/>
    <d v="2025-07-02T00:00:00"/>
  </r>
  <r>
    <s v="Tirkita Shamlall"/>
    <s v="Savanne Road, Nouvelle France"/>
    <s v="Grand Port"/>
    <x v="133"/>
    <s v="59452757 / 57068044"/>
    <s v="Nab-Makeup"/>
    <x v="15"/>
    <d v="2025-06-20T00:00:00"/>
    <n v="150"/>
    <d v="2025-07-02T00:00:00"/>
  </r>
  <r>
    <s v="Samanta Maurimootoo"/>
    <s v="Royal Rd Nouvelle France"/>
    <s v="Nouvelle France"/>
    <x v="133"/>
    <s v="5927-3019"/>
    <s v="Glow And Aura"/>
    <x v="59"/>
    <d v="2025-07-21T00:00:00"/>
    <n v="150"/>
    <d v="2025-08-01T00:00:00"/>
  </r>
  <r>
    <s v="Mushirah Mohobuth Delawar"/>
    <s v="Royal Road, Nouvelle France"/>
    <s v="Nouvelle France"/>
    <x v="133"/>
    <n v="59661486"/>
    <s v="Nab-Makeup"/>
    <x v="39"/>
    <d v="2025-07-21T00:00:00"/>
    <n v="150"/>
    <d v="2025-08-01T00:00:00"/>
  </r>
  <r>
    <s v="NICE &amp; TASTY - NABIIHAH - May's Shop"/>
    <s v="NOUVELLE FRANCE, Mauritius"/>
    <s v="NOUVELLE FRANCE, Mauritius"/>
    <x v="133"/>
    <n v="58023048"/>
    <s v="NABIIHAH - May's Shop"/>
    <x v="7"/>
    <d v="2025-08-29T00:00:00"/>
    <n v="100"/>
    <m/>
  </r>
  <r>
    <s v="RESHMA - NABIIHAH - May's Shop"/>
    <s v="NOUVELLE FRANCE, Mauritius"/>
    <s v="NOUVELLE FRANCE, Mauritius"/>
    <x v="133"/>
    <n v="58023048"/>
    <s v="NABIIHAH - May's Shop"/>
    <x v="7"/>
    <d v="2025-08-29T00:00:00"/>
    <n v="100"/>
    <m/>
  </r>
  <r>
    <s v="Kivisti Naddali"/>
    <s v="Lot 44, Morc Louis Regnaud, Deep River"/>
    <s v="Olivia"/>
    <x v="134"/>
    <n v="59779756"/>
    <s v="Nab-Makeup"/>
    <x v="0"/>
    <d v="2025-07-31T00:00:00"/>
    <n v="150"/>
    <d v="2025-08-01T00:00:00"/>
  </r>
  <r>
    <s v="Ruksaar Durgahee"/>
    <s v="Avenue Perrche, 3 Pailles"/>
    <s v="Port Louis"/>
    <x v="135"/>
    <n v="58963808"/>
    <s v="Nab-Makeup"/>
    <x v="35"/>
    <d v="2025-09-01T00:00:00"/>
    <n v="150"/>
    <m/>
  </r>
  <r>
    <s v="Wardah Nazeer"/>
    <s v="Avenue Emerald, Morc Le Roc, 43 Pailles"/>
    <s v="Central-West"/>
    <x v="135"/>
    <n v="58535826"/>
    <s v="Nab-Makeup"/>
    <x v="18"/>
    <d v="2025-04-17T00:00:00"/>
    <n v="150"/>
    <d v="2025-05-04T00:00:00"/>
  </r>
  <r>
    <s v="Adiilah Dhunny"/>
    <s v="No 2 Bonnefin Pailles OR Riverside"/>
    <s v="Central-West"/>
    <x v="135"/>
    <n v="57060726"/>
    <s v="Nab-Makeup"/>
    <x v="18"/>
    <d v="2025-04-18T00:00:00"/>
    <n v="150"/>
    <d v="2025-05-04T00:00:00"/>
  </r>
  <r>
    <s v="Ruksaar Durgahee"/>
    <s v="Avenue Perche 3, Pailles"/>
    <s v="Central-West"/>
    <x v="135"/>
    <s v="58963808 / 59033340"/>
    <s v="Nab-Makeup"/>
    <x v="25"/>
    <d v="2025-04-21T00:00:00"/>
    <n v="150"/>
    <d v="2025-05-04T00:00:00"/>
  </r>
  <r>
    <s v="Jessica Gurreeboo"/>
    <s v="Old Pailles Road, Ideco Ltd, Pailles West, Mauritius"/>
    <s v="Central"/>
    <x v="135"/>
    <n v="59341806"/>
    <s v="Nab-Makeup"/>
    <x v="8"/>
    <d v="2025-05-03T00:00:00"/>
    <n v="150"/>
    <d v="2025-05-04T00:00:00"/>
  </r>
  <r>
    <s v="Yusra Nuckched"/>
    <s v="Avenue Mercure, Morc Raffray, Pailles"/>
    <s v="Central"/>
    <x v="135"/>
    <n v="59237123"/>
    <s v="Nab-Makeup"/>
    <x v="9"/>
    <d v="2025-05-05T00:00:00"/>
    <n v="150"/>
    <d v="2025-06-01T00:00:00"/>
  </r>
  <r>
    <s v="Saagooftah Doarika"/>
    <s v="35 Les Guibes, Pailles, Mauritius"/>
    <s v="Central"/>
    <x v="135"/>
    <n v="59221117"/>
    <s v="Nab-Makeup"/>
    <x v="9"/>
    <d v="2025-05-05T00:00:00"/>
    <n v="150"/>
    <d v="2025-06-01T00:00:00"/>
  </r>
  <r>
    <s v="Jessica Gurreeboo"/>
    <s v="Old Pailles Road, Ideco Ltd, Pailles West, Mauritius"/>
    <s v="Central"/>
    <x v="135"/>
    <n v="59341806"/>
    <s v="Nab-Makeup"/>
    <x v="9"/>
    <d v="2025-05-05T00:00:00"/>
    <n v="150"/>
    <d v="2025-06-01T00:00:00"/>
  </r>
  <r>
    <s v="Muhammud Ali Callachand"/>
    <s v="1, Pont St Louis, Pailles, Port Louis"/>
    <s v="Port Louis"/>
    <x v="135"/>
    <n v="57605755"/>
    <s v="Nab-Makeup"/>
    <x v="12"/>
    <d v="2025-05-08T00:00:00"/>
    <n v="150"/>
    <d v="2025-06-01T00:00:00"/>
  </r>
  <r>
    <s v="Summuyyah Edun"/>
    <s v="Conde 6, Anse Courtoise, Pailles"/>
    <s v="Port Louis"/>
    <x v="135"/>
    <n v="59022668"/>
    <s v="Nab-Makeup"/>
    <x v="50"/>
    <d v="2025-05-15T00:00:00"/>
    <n v="150"/>
    <d v="2025-06-01T00:00:00"/>
  </r>
  <r>
    <s v="Brenda Dursoniah"/>
    <s v="La Fleur Road, Pailles"/>
    <s v="Port Louis"/>
    <x v="135"/>
    <n v="54832846"/>
    <s v="Nab-Makeup"/>
    <x v="20"/>
    <d v="2025-06-02T00:00:00"/>
    <n v="150"/>
    <d v="2025-08-01T00:00:00"/>
  </r>
  <r>
    <s v="Saima Abdool"/>
    <s v="Avenue Dodo 2, les Guibies Pailles, Port Louis District"/>
    <s v="Port Louis"/>
    <x v="135"/>
    <n v="58384663"/>
    <s v="OKASINA"/>
    <x v="19"/>
    <d v="2025-06-02T00:00:00"/>
    <n v="150"/>
    <d v="2025-07-02T00:00:00"/>
  </r>
  <r>
    <s v="Adiilah Dhunny"/>
    <s v="No. 2 Bonnefin, Pailles or Ebene"/>
    <s v="Port Louis"/>
    <x v="135"/>
    <n v="57060726"/>
    <s v="Nab-Makeup"/>
    <x v="15"/>
    <d v="2025-06-20T00:00:00"/>
    <n v="150"/>
    <d v="2025-07-02T00:00:00"/>
  </r>
  <r>
    <s v="Zahrah Jowaheer-Mosaheb"/>
    <s v="Avenue Condé 1, Les Guibies"/>
    <s v="Pailles"/>
    <x v="135"/>
    <n v="57014169"/>
    <s v="Nab-Makeup"/>
    <x v="47"/>
    <d v="2025-06-26T00:00:00"/>
    <n v="150"/>
    <d v="2025-07-02T00:00:00"/>
  </r>
  <r>
    <s v="Farhaan Mahamoodally"/>
    <s v="Pailles"/>
    <s v="Pailles"/>
    <x v="135"/>
    <s v="5791 7726"/>
    <s v="Glow And Aura"/>
    <x v="51"/>
    <d v="2025-06-30T00:00:00"/>
    <n v="150"/>
    <d v="2025-07-02T00:00:00"/>
  </r>
  <r>
    <s v="Ruksaar Durgahee"/>
    <s v="Avenue Perrche, 3 Pailles"/>
    <s v="Pailles"/>
    <x v="135"/>
    <s v="58963808 or 59033340"/>
    <s v="Nab-Makeup"/>
    <x v="2"/>
    <d v="2025-07-07T00:00:00"/>
    <n v="150"/>
    <d v="2025-08-01T00:00:00"/>
  </r>
  <r>
    <s v="Kawshar Noshib"/>
    <s v="9 William Stanley, Plaine Lauzun, Pailles"/>
    <s v="Pailles"/>
    <x v="135"/>
    <n v="59860101"/>
    <s v="Nab-Makeup"/>
    <x v="2"/>
    <d v="2025-07-07T00:00:00"/>
    <n v="150"/>
    <d v="2025-08-01T00:00:00"/>
  </r>
  <r>
    <s v="Adiilah Dhunny"/>
    <s v="Bonnefin Pailles or Ebene"/>
    <s v="Pailles / Ebene"/>
    <x v="135"/>
    <n v="57060726"/>
    <s v="Nab-Makeup"/>
    <x v="24"/>
    <d v="2025-07-10T00:00:00"/>
    <n v="150"/>
    <d v="2025-08-01T00:00:00"/>
  </r>
  <r>
    <s v="Nousaibah Boodhun"/>
    <s v="Avenue Ruby, Morc Le Roc, Pailles"/>
    <s v="Pailles"/>
    <x v="135"/>
    <n v="57801860"/>
    <s v="Nab-Makeup"/>
    <x v="24"/>
    <d v="2025-07-10T00:00:00"/>
    <n v="150"/>
    <d v="2025-08-01T00:00:00"/>
  </r>
  <r>
    <s v="Tanweer Edoo"/>
    <s v="Easycool Ltd, 96 Old Pailles Road, Pailles West"/>
    <s v="Pailles"/>
    <x v="135"/>
    <n v="57660637"/>
    <s v="Nab-Makeup"/>
    <x v="21"/>
    <d v="2025-07-14T00:00:00"/>
    <n v="150"/>
    <d v="2025-08-01T00:00:00"/>
  </r>
  <r>
    <s v="Mendy Salva"/>
    <s v="New CFAO Centre, Mercedes Showroom, Pailles"/>
    <s v="Pailles"/>
    <x v="135"/>
    <n v="59878400"/>
    <s v="Nab-Makeup"/>
    <x v="21"/>
    <d v="2025-07-14T00:00:00"/>
    <n v="150"/>
    <d v="2025-08-01T00:00:00"/>
  </r>
  <r>
    <s v="Sadick Meeakhan"/>
    <s v="Avenue Crecerelle 1, Morcellement Raffray Guibies, Pailles"/>
    <s v="Pailles"/>
    <x v="135"/>
    <s v="58219919 / 57400812"/>
    <s v="Nab-Makeup"/>
    <x v="39"/>
    <d v="2025-07-17T00:00:00"/>
    <n v="150"/>
    <d v="2025-08-01T00:00:00"/>
  </r>
  <r>
    <s v="SIA-RS - NABIIHAH - May's Shop"/>
    <s v="PAILLES, Mauritius"/>
    <s v="PAILLES, Mauritius"/>
    <x v="135"/>
    <n v="59153190"/>
    <s v="NABIIHAH - May's Shop"/>
    <x v="7"/>
    <d v="2025-09-01T00:00:00"/>
    <n v="100"/>
    <m/>
  </r>
  <r>
    <s v="SHAHTAJ - NABIIHAH - May's Shop"/>
    <s v="PAILLES, Mauritius"/>
    <s v="PAILLES, Mauritius"/>
    <x v="135"/>
    <n v="57169782"/>
    <s v="NABIIHAH - May's Shop"/>
    <x v="7"/>
    <d v="2025-09-01T00:00:00"/>
    <n v="100"/>
    <m/>
  </r>
  <r>
    <s v="DEVINE LOTUS - NABIIHAH - May's Shop"/>
    <s v="PAILLES, GUIBIES RD, PAILLES, Mauritius"/>
    <s v="PAILLES, GUIBIES RD, PAILLES, Mauritius"/>
    <x v="136"/>
    <n v="57953043"/>
    <s v="NABIIHAH - May's Shop"/>
    <x v="7"/>
    <d v="2025-09-01T00:00:00"/>
    <n v="100"/>
    <m/>
  </r>
  <r>
    <s v="Kesha Bhaya"/>
    <s v="Avenue La Forge, Palma, Quatre Bornes"/>
    <s v="Quatre Bornes"/>
    <x v="137"/>
    <n v="57958088"/>
    <s v="Nab-Makeup"/>
    <x v="31"/>
    <d v="2025-07-03T00:00:00"/>
    <n v="150"/>
    <d v="2025-08-01T00:00:00"/>
  </r>
  <r>
    <s v="Khushi Boyjoonauth"/>
    <s v="Palmar"/>
    <s v="East"/>
    <x v="138"/>
    <n v="55329029"/>
    <s v="Glow And Aura"/>
    <x v="62"/>
    <s v="Cancelled"/>
    <n v="150"/>
    <d v="2025-07-02T00:00:00"/>
  </r>
  <r>
    <s v="ANNICK  - NABIIHAH - May's Shop"/>
    <s v="PAMPLEMOUSSE, Mauritius"/>
    <s v="PAMPLEMOUSSE, Mauritius"/>
    <x v="139"/>
    <n v="59188979"/>
    <s v="NABIIHAH - May's Shop"/>
    <x v="7"/>
    <d v="2025-09-01T00:00:00"/>
    <n v="100"/>
    <m/>
  </r>
  <r>
    <s v="Lakshitaa Ramautar"/>
    <s v="Ilot Branch Road, D'Epinay, Pamplemousses"/>
    <s v="North-East"/>
    <x v="140"/>
    <n v="57942622"/>
    <s v="Nab-Makeup"/>
    <x v="46"/>
    <d v="2025-04-14T00:00:00"/>
    <n v="150"/>
    <d v="2025-05-04T00:00:00"/>
  </r>
  <r>
    <s v="Bhavya Chowa"/>
    <s v="Royal Road Morcellement St André, Pamplemousses"/>
    <s v="North-East"/>
    <x v="140"/>
    <n v="57662898"/>
    <s v="Nab-Makeup"/>
    <x v="46"/>
    <d v="2025-04-14T00:00:00"/>
    <n v="150"/>
    <d v="2025-05-04T00:00:00"/>
  </r>
  <r>
    <s v="Karan Seechurn"/>
    <s v="Canton Bel Eau, Pamplemousses"/>
    <s v="North-East"/>
    <x v="140"/>
    <n v="57605468"/>
    <s v="Nab-Makeup"/>
    <x v="26"/>
    <d v="2025-04-24T00:00:00"/>
    <n v="150"/>
    <d v="2025-05-04T00:00:00"/>
  </r>
  <r>
    <s v="Namrata Etwareea"/>
    <s v="Morcellement Jeeraz, Maison Blanche, Pamplemousses"/>
    <s v="North-East"/>
    <x v="140"/>
    <n v="59186019"/>
    <s v="Nab-Makeup"/>
    <x v="40"/>
    <d v="2025-04-28T00:00:00"/>
    <n v="150"/>
    <d v="2025-05-04T00:00:00"/>
  </r>
  <r>
    <s v="Sarah Roussel"/>
    <s v="46 Morcellement Hillside, Butte Aux Papayes, Pamplemousses (Delivery from 5th May)"/>
    <s v="Butte Aux Papayes"/>
    <x v="140"/>
    <n v="70048502"/>
    <s v="Nab-Makeup"/>
    <x v="49"/>
    <d v="2025-05-05T00:00:00"/>
    <n v="150"/>
    <d v="2025-06-01T00:00:00"/>
  </r>
  <r>
    <s v="Neerooa Beebee Anbar Rushaa"/>
    <s v="Morisson Road, Pamplemousses"/>
    <s v="North-East"/>
    <x v="140"/>
    <n v="58014017"/>
    <s v="Nab-Makeup"/>
    <x v="9"/>
    <d v="2025-05-05T00:00:00"/>
    <n v="150"/>
    <d v="2025-06-01T00:00:00"/>
  </r>
  <r>
    <s v="Varsha Gheeseewonee"/>
    <s v="Canton Nancy, Pamplemousses"/>
    <s v="North-East"/>
    <x v="140"/>
    <n v="57586880"/>
    <s v="Nab-Makeup"/>
    <x v="50"/>
    <d v="2025-05-15T00:00:00"/>
    <n v="150"/>
    <d v="2025-06-01T00:00:00"/>
  </r>
  <r>
    <s v="Shivani Lukhoo"/>
    <s v="SSRN Hospital - Pamplemousses"/>
    <s v="North-East"/>
    <x v="140"/>
    <n v="58562553"/>
    <s v="OKASINA"/>
    <x v="30"/>
    <d v="2025-05-19T00:00:00"/>
    <n v="150"/>
    <d v="2025-06-01T00:00:00"/>
  </r>
  <r>
    <s v="Nishal Singh"/>
    <s v="Dreamprice, Pamplemousses"/>
    <s v="North-East"/>
    <x v="140"/>
    <n v="57620335"/>
    <s v="OKASINA"/>
    <x v="23"/>
    <d v="2025-05-22T00:00:00"/>
    <n v="150"/>
    <d v="2025-06-01T00:00:00"/>
  </r>
  <r>
    <s v="Mrs Bekha Sookun"/>
    <s v="Tagore Road, Mon Gout, Pamplemousses"/>
    <s v="North-East"/>
    <x v="140"/>
    <n v="59452427"/>
    <s v="Timeless Trends"/>
    <x v="61"/>
    <d v="2025-05-26T00:00:00"/>
    <n v="75"/>
    <d v="2025-06-01T00:00:00"/>
  </r>
  <r>
    <s v="Nazmeen"/>
    <s v="Riverside Lane II, Pamplemousses"/>
    <s v="Pamplemousses"/>
    <x v="140"/>
    <n v="57917239"/>
    <s v="OKASINA"/>
    <x v="1"/>
    <d v="2025-06-09T00:00:00"/>
    <n v="150"/>
    <d v="2025-07-02T00:00:00"/>
  </r>
  <r>
    <s v="Jenita Seechurn"/>
    <s v="JJS Pizzeria, Royal Road, Pamplemousses"/>
    <s v="Pamplemousses"/>
    <x v="140"/>
    <s v="57529696 / 57448407"/>
    <s v="Nab-Makeup"/>
    <x v="14"/>
    <d v="2025-06-12T00:00:00"/>
    <n v="150"/>
    <d v="2025-07-02T00:00:00"/>
  </r>
  <r>
    <s v="Marie Emilie Georgina Petit"/>
    <s v="No 10, Cité EDC, Pamplemousses"/>
    <s v="Pamplemousses"/>
    <x v="140"/>
    <n v="58434397"/>
    <s v="Nab-Makeup"/>
    <x v="31"/>
    <d v="2025-07-03T00:00:00"/>
    <n v="150"/>
    <d v="2025-08-01T00:00:00"/>
  </r>
  <r>
    <s v="Yajna Beharee"/>
    <s v="Mahatma Gandhi Road, Mon Gout Pamplemousse"/>
    <s v="Pamplemousse"/>
    <x v="140"/>
    <n v="59220654"/>
    <s v="Nab-Makeup"/>
    <x v="2"/>
    <d v="2025-07-07T00:00:00"/>
    <n v="150"/>
    <d v="2025-08-01T00:00:00"/>
  </r>
  <r>
    <s v="Sunita Bissoonauth"/>
    <s v="Avenue de Capucine, Camp de embrevate, Pamplemousses"/>
    <s v="Pamplemousses"/>
    <x v="140"/>
    <n v="57533607"/>
    <s v="Timeless Trends"/>
    <x v="70"/>
    <d v="2025-07-07T00:00:00"/>
    <n v="150"/>
    <d v="2025-08-01T00:00:00"/>
  </r>
  <r>
    <s v="Farheen Thybuccus"/>
    <s v="Royal Road, Calebasses, Pamplemousses"/>
    <s v="Pamplemousses"/>
    <x v="140"/>
    <n v="57011798"/>
    <s v="Nab-Makeup"/>
    <x v="24"/>
    <d v="2025-07-10T00:00:00"/>
    <n v="150"/>
    <d v="2025-08-01T00:00:00"/>
  </r>
  <r>
    <s v="Radwiyah Golamallee"/>
    <s v="Cactus Lane, Boundary Road, Morcellement Ripailles, Pamplemousses"/>
    <s v="Pamplemousses"/>
    <x v="140"/>
    <n v="58152900"/>
    <s v="Nab-Makeup"/>
    <x v="39"/>
    <d v="2025-07-17T00:00:00"/>
    <n v="150"/>
    <d v="2025-08-01T00:00:00"/>
  </r>
  <r>
    <s v="Cheshta Ghoorbin"/>
    <s v="Fond du Sac, First Road, Pamplemousses"/>
    <s v="Pamplemousses"/>
    <x v="140"/>
    <n v="59065040"/>
    <s v="Nab-Makeup"/>
    <x v="39"/>
    <d v="2025-07-17T00:00:00"/>
    <n v="150"/>
    <d v="2025-08-01T00:00:00"/>
  </r>
  <r>
    <s v="Bhavesh Seechurn"/>
    <s v="Royal Road, Pamplemousses (Near Dynasty Shop)"/>
    <s v="Pamplemousses"/>
    <x v="140"/>
    <n v="58108411"/>
    <s v="Nab-Makeup"/>
    <x v="39"/>
    <d v="2025-07-17T00:00:00"/>
    <n v="150"/>
    <d v="2025-08-01T00:00:00"/>
  </r>
  <r>
    <s v="Yassirah Dauhoo"/>
    <s v="Independence Lane, Pamplemousses"/>
    <s v="Pamplemousses"/>
    <x v="140"/>
    <n v="57801577"/>
    <s v="Nab-Makeup"/>
    <x v="32"/>
    <d v="2025-07-24T00:00:00"/>
    <n v="150"/>
    <d v="2025-08-01T00:00:00"/>
  </r>
  <r>
    <s v="Vikash Nunkoo"/>
    <s v="Independence Street, Pamplemousses"/>
    <s v="Pamplemousses"/>
    <x v="140"/>
    <n v="57905250"/>
    <s v="Nab-Makeup"/>
    <x v="32"/>
    <d v="2025-07-24T00:00:00"/>
    <n v="150"/>
    <d v="2025-08-01T00:00:00"/>
  </r>
  <r>
    <s v="Shameem"/>
    <s v="Pamplemouses"/>
    <s v="Pamplemouses"/>
    <x v="140"/>
    <n v="57014444"/>
    <s v="Vibezone Boutik"/>
    <x v="4"/>
    <d v="2025-08-05T00:00:00"/>
    <n v="150"/>
    <m/>
  </r>
  <r>
    <s v="KRITESH"/>
    <s v="Pamplemousses"/>
    <s v="Pamplemousses"/>
    <x v="140"/>
    <n v="59165916"/>
    <s v="Vibezone Boutik"/>
    <x v="44"/>
    <d v="2025-08-05T00:00:00"/>
    <n v="150"/>
    <m/>
  </r>
  <r>
    <s v="Namrata Etwareea"/>
    <s v="Morcellement Jeeraz, Maison Blanche, Pamplemousses, Mauritius"/>
    <s v="Pamplemousses"/>
    <x v="140"/>
    <n v="59186019"/>
    <s v="Nab-Makeup"/>
    <x v="22"/>
    <d v="2025-08-07T00:00:00"/>
    <n v="150"/>
    <m/>
  </r>
  <r>
    <s v="Veena Ramsahye"/>
    <s v="Royal Road, Pointe aux Piments (After social welfare centre)"/>
    <s v="Pamplemousses"/>
    <x v="140"/>
    <n v="57507379"/>
    <s v="OKASINA"/>
    <x v="22"/>
    <d v="2025-08-07T00:00:00"/>
    <n v="150"/>
    <m/>
  </r>
  <r>
    <s v="Téanna Diveshnee Chelumbrum"/>
    <s v="Victoria Branch Road, Pamplemousses"/>
    <s v="Pamplemousses"/>
    <x v="140"/>
    <n v="54788968"/>
    <s v="Nab-Makeup"/>
    <x v="17"/>
    <d v="2025-08-22T00:00:00"/>
    <n v="150"/>
    <m/>
  </r>
  <r>
    <s v="Anusha"/>
    <s v="Hospital SSRN, PAMPLEMOUSSES"/>
    <s v="PAMPLEMOUSSES"/>
    <x v="140"/>
    <n v="52599150"/>
    <s v="OKASINA"/>
    <x v="45"/>
    <d v="2025-09-01T00:00:00"/>
    <n v="150"/>
    <m/>
  </r>
  <r>
    <s v="Rati Saulick"/>
    <s v="School Lane, Morcellement St André, Pamplemousses"/>
    <s v="Pamplemousses"/>
    <x v="140"/>
    <n v="57024558"/>
    <s v="Nab-Makeup"/>
    <x v="36"/>
    <d v="2025-08-26T00:00:00"/>
    <n v="150"/>
    <m/>
  </r>
  <r>
    <s v="Hayfa Sambon"/>
    <s v="Royal Road, Morcellement St André"/>
    <s v="Pamplemousses"/>
    <x v="140"/>
    <n v="54728876"/>
    <s v="Nab-Makeup"/>
    <x v="36"/>
    <d v="2025-08-26T00:00:00"/>
    <n v="150"/>
    <m/>
  </r>
  <r>
    <s v="Marie Christina Annabelle Moutou"/>
    <s v="Flamants Road, Pereybere, 30519, North"/>
    <s v="North"/>
    <x v="141"/>
    <n v="58403228"/>
    <s v="Nab-Makeup"/>
    <x v="9"/>
    <d v="2025-05-05T00:00:00"/>
    <n v="150"/>
    <d v="2025-06-01T00:00:00"/>
  </r>
  <r>
    <s v="Moushira"/>
    <s v="Pereybere"/>
    <s v="Pereybere"/>
    <x v="141"/>
    <n v="59248034"/>
    <s v="Little Star Boutique"/>
    <x v="16"/>
    <d v="2025-07-14T00:00:00"/>
    <n v="150"/>
    <d v="2025-08-01T00:00:00"/>
  </r>
  <r>
    <s v="Komal Simmento"/>
    <s v="Coonee Road, Trois Bras, Petit Raffray"/>
    <s v="North"/>
    <x v="142"/>
    <n v="58347280"/>
    <s v="Nab-Makeup"/>
    <x v="26"/>
    <d v="2025-04-24T00:00:00"/>
    <n v="150"/>
    <d v="2025-05-04T00:00:00"/>
  </r>
  <r>
    <s v="Suman Poonuth"/>
    <s v="Swaraj Road, Petit Raffray"/>
    <s v="North"/>
    <x v="142"/>
    <n v="57067009"/>
    <s v="OKASINA"/>
    <x v="25"/>
    <d v="2025-04-21T00:00:00"/>
    <n v="150"/>
    <d v="2025-05-04T00:00:00"/>
  </r>
  <r>
    <s v="Bhogun Brojmohun Sneha"/>
    <s v="School Lane Petit Raffray"/>
    <s v="North"/>
    <x v="142"/>
    <n v="58304221"/>
    <s v="Nab-Makeup"/>
    <x v="8"/>
    <d v="2025-05-01T00:00:00"/>
    <n v="150"/>
    <d v="2025-05-04T00:00:00"/>
  </r>
  <r>
    <s v="Geetisha Sandhoo"/>
    <s v="Royal Road, Petit Raffray"/>
    <s v="Central"/>
    <x v="142"/>
    <n v="57722084"/>
    <s v="Nab-Makeup"/>
    <x v="9"/>
    <d v="2025-05-05T00:00:00"/>
    <n v="150"/>
    <d v="2025-06-01T00:00:00"/>
  </r>
  <r>
    <s v="Nishita Kisoon"/>
    <s v="Reunion Maurel, Trois Bras, Petit Raffray"/>
    <s v="Rivière du Rempart"/>
    <x v="142"/>
    <n v="58098168"/>
    <s v="Nab-Makeup"/>
    <x v="30"/>
    <d v="2025-05-19T00:00:00"/>
    <n v="150"/>
    <d v="2025-06-01T00:00:00"/>
  </r>
  <r>
    <s v="Litesha Heera"/>
    <s v="EDC Road, Petit Raffray"/>
    <s v="Rivière du Rempart"/>
    <x v="142"/>
    <n v="57566842"/>
    <s v="Nab-Makeup"/>
    <x v="23"/>
    <d v="2025-05-22T00:00:00"/>
    <n v="150"/>
    <d v="2025-06-01T00:00:00"/>
  </r>
  <r>
    <s v="Litesha Heera"/>
    <s v="EDC Road, Petit Raffray"/>
    <s v="Rivière du Rempart"/>
    <x v="142"/>
    <n v="57566842"/>
    <s v="Nab-Makeup"/>
    <x v="38"/>
    <d v="2025-05-26T00:00:00"/>
    <n v="150"/>
    <d v="2025-06-01T00:00:00"/>
  </r>
  <r>
    <s v="Manisha Seechurn"/>
    <s v="Dispensary Road, Petit Raffray"/>
    <s v="Rivière Du Rempart"/>
    <x v="142"/>
    <n v="58192191"/>
    <s v="Nab-Makeup"/>
    <x v="20"/>
    <d v="2025-05-29T00:00:00"/>
    <n v="150"/>
    <d v="2025-06-01T00:00:00"/>
  </r>
  <r>
    <s v="Geetisha Sandhoo"/>
    <s v="Royal Road, Petit Raffray"/>
    <s v="Rivière du Rempart"/>
    <x v="142"/>
    <n v="57722084"/>
    <s v="Nab-Makeup"/>
    <x v="13"/>
    <d v="2025-06-05T00:00:00"/>
    <n v="150"/>
    <d v="2025-07-02T00:00:00"/>
  </r>
  <r>
    <s v="Sudesh Ramluckan"/>
    <s v="Beeharry Road, Petite Raffray"/>
    <s v="Petite Raffray"/>
    <x v="142"/>
    <n v="57517168"/>
    <s v="May's Shop"/>
    <x v="54"/>
    <d v="2025-06-05T00:00:00"/>
    <n v="150"/>
    <d v="2025-07-02T00:00:00"/>
  </r>
  <r>
    <s v="Soohasi Sandhoo/Geetisha Sandhoo"/>
    <s v="Royal Road, Petit Raffray"/>
    <s v="Rivière du Rempart"/>
    <x v="142"/>
    <n v="57722084"/>
    <s v="Nab-Makeup"/>
    <x v="1"/>
    <d v="2025-06-09T00:00:00"/>
    <n v="150"/>
    <d v="2025-07-02T00:00:00"/>
  </r>
  <r>
    <s v="Samila Makhun"/>
    <s v="Swaraj Road, Petit Raffray"/>
    <s v="Petit Raffray"/>
    <x v="142"/>
    <n v="57893501"/>
    <s v="OKASINA"/>
    <x v="1"/>
    <d v="2025-06-09T00:00:00"/>
    <n v="150"/>
    <d v="2025-07-02T00:00:00"/>
  </r>
  <r>
    <s v="Sandhya Gangaram"/>
    <s v="Royal Road, Petit Raffray"/>
    <s v="Petit Raffray"/>
    <x v="142"/>
    <n v="59137510"/>
    <s v="Nab-Makeup"/>
    <x v="1"/>
    <d v="2025-06-09T00:00:00"/>
    <n v="150"/>
    <d v="2025-07-02T00:00:00"/>
  </r>
  <r>
    <s v="Veena"/>
    <s v="School Lane"/>
    <s v="Petit Raffray"/>
    <x v="142"/>
    <n v="58188895"/>
    <s v="Glow And Aura"/>
    <x v="51"/>
    <d v="2025-06-30T00:00:00"/>
    <n v="150"/>
    <d v="2025-07-02T00:00:00"/>
  </r>
  <r>
    <s v="Kisoon Nivedita"/>
    <s v="Reunion Maurel, Trois Bras, Petit Raffray"/>
    <s v="Petit Raffray"/>
    <x v="142"/>
    <n v="58098168"/>
    <s v="Nab-Makeup"/>
    <x v="21"/>
    <d v="2025-07-14T00:00:00"/>
    <n v="150"/>
    <d v="2025-08-01T00:00:00"/>
  </r>
  <r>
    <s v="Dikshaa Nepaul"/>
    <s v="Morc Gowreesunkur, Petit Raffray"/>
    <s v="Petit Raffray"/>
    <x v="142"/>
    <n v="57925825"/>
    <s v="Nab-Makeup"/>
    <x v="21"/>
    <d v="2025-07-14T00:00:00"/>
    <n v="150"/>
    <d v="2025-08-01T00:00:00"/>
  </r>
  <r>
    <s v="Komal Simmento"/>
    <s v="Coonee Road, Trois Bras, Petit Raffray"/>
    <s v="Petit Raffray"/>
    <x v="142"/>
    <n v="58236214"/>
    <s v="Nab-Makeup"/>
    <x v="39"/>
    <d v="2025-07-17T00:00:00"/>
    <n v="150"/>
    <d v="2025-08-01T00:00:00"/>
  </r>
  <r>
    <s v="Zainab Doomun"/>
    <s v="RÃ©sidences Zil, Avenue des Hameaux, Mont Mascal, Villa 3, Petit Raffray"/>
    <s v="Petit Raffray"/>
    <x v="142"/>
    <n v="59295436"/>
    <s v="Nab-Makeup"/>
    <x v="39"/>
    <d v="2025-07-17T00:00:00"/>
    <n v="150"/>
    <d v="2025-08-01T00:00:00"/>
  </r>
  <r>
    <s v="Veena Khoobeea"/>
    <s v="Dispensary Road, Petit Raffray"/>
    <s v="Petit Raffray"/>
    <x v="142"/>
    <n v="59028343"/>
    <s v="Nab-Makeup"/>
    <x v="39"/>
    <d v="2025-07-17T00:00:00"/>
    <n v="150"/>
    <d v="2025-08-01T00:00:00"/>
  </r>
  <r>
    <s v="Shweta Babollall Shibchurn"/>
    <s v="Narad Road, Petit Raffray"/>
    <s v="Petit Raffray"/>
    <x v="142"/>
    <n v="57774370"/>
    <s v="Nab-Makeup"/>
    <x v="39"/>
    <d v="2025-07-17T00:00:00"/>
    <n v="150"/>
    <d v="2025-08-01T00:00:00"/>
  </r>
  <r>
    <s v="Dikshaa Nepaul"/>
    <s v="Morc Gowreesunkur, Petit Raffray, Port Louis"/>
    <s v="Port Louis"/>
    <x v="142"/>
    <n v="57925825"/>
    <s v="Nab-Makeup"/>
    <x v="39"/>
    <s v="Cancelled"/>
    <n v="0"/>
    <s v="Cancelled"/>
  </r>
  <r>
    <s v="Tejeshwari Laxmi Devi Reesaul"/>
    <s v="Swami Dayanand Road, Petit Raffray"/>
    <s v="Petit Raffray"/>
    <x v="142"/>
    <n v="57664186"/>
    <s v="Nab-Makeup"/>
    <x v="17"/>
    <d v="2025-08-22T00:00:00"/>
    <n v="150"/>
    <m/>
  </r>
  <r>
    <s v="Geetisha Sandhoo"/>
    <s v="Royal Road, Petit Raffray"/>
    <s v="North"/>
    <x v="142"/>
    <n v="57722084"/>
    <s v="Nab-Makeup"/>
    <x v="35"/>
    <d v="2025-09-01T00:00:00"/>
    <n v="150"/>
    <m/>
  </r>
  <r>
    <s v="Shivam Baboolall"/>
    <s v="Swaraj Road, Petit Raffray"/>
    <s v="North"/>
    <x v="142"/>
    <n v="58346491"/>
    <s v="Nab-Makeup"/>
    <x v="35"/>
    <d v="2025-09-01T00:00:00"/>
    <n v="150"/>
    <m/>
  </r>
  <r>
    <s v="Manisha Margodon"/>
    <s v="Royal Road, Petit Raffray"/>
    <s v="Petit Raffray"/>
    <x v="142"/>
    <n v="59260102"/>
    <s v="OKASINA"/>
    <x v="45"/>
    <d v="2025-09-01T00:00:00"/>
    <n v="150"/>
    <m/>
  </r>
  <r>
    <s v="TANYA - NABIIHAH - May's Shop"/>
    <s v="PETIT RAFFRAY, Mauritius"/>
    <s v="PETIT RAFFRAY, Mauritius"/>
    <x v="142"/>
    <n v="57967615"/>
    <s v="NABIIHAH - May's Shop"/>
    <x v="7"/>
    <d v="2025-09-01T00:00:00"/>
    <n v="100"/>
    <m/>
  </r>
  <r>
    <s v="Soormah Bussooa"/>
    <s v="Petite Pointe Aux Piment"/>
    <s v="North"/>
    <x v="143"/>
    <n v="57489546"/>
    <s v="OKASINA"/>
    <x v="41"/>
    <d v="2025-06-16T00:00:00"/>
    <n v="150"/>
    <d v="2025-07-02T00:00:00"/>
  </r>
  <r>
    <s v="Bibi Zaheerah Banu Toorabally"/>
    <s v="Royal Road, Petite Riviere"/>
    <s v="Petite Riviere"/>
    <x v="144"/>
    <n v="55071312"/>
    <s v="Nab-Makeup"/>
    <x v="3"/>
    <d v="2025-07-21T00:00:00"/>
    <n v="150"/>
    <d v="2025-08-01T00:00:00"/>
  </r>
  <r>
    <s v="Bibi Zaheerah Banu Toorabally"/>
    <s v="Petite Riviere"/>
    <s v="Petite Riviere"/>
    <x v="144"/>
    <n v="55071312"/>
    <s v="Nab-Makeup"/>
    <x v="44"/>
    <d v="2025-08-05T00:00:00"/>
    <n v="150"/>
    <m/>
  </r>
  <r>
    <s v="Samiyah Burkutally"/>
    <s v="Anwar E Qouba Mosque Rd, Camp Fouquereaux, Phoenix"/>
    <s v="Central"/>
    <x v="145"/>
    <n v="59272041"/>
    <s v="Nab-Makeup"/>
    <x v="46"/>
    <d v="2025-04-14T00:00:00"/>
    <n v="150"/>
    <d v="2025-05-04T00:00:00"/>
  </r>
  <r>
    <s v="Sharlyn Tang Ying Yuen"/>
    <s v="Jumbo Phoenix Mall (Near MCB ATM)"/>
    <s v="Central"/>
    <x v="145"/>
    <n v="57881293"/>
    <s v="Nab-Makeup"/>
    <x v="18"/>
    <d v="2025-04-17T00:00:00"/>
    <n v="150"/>
    <d v="2025-05-04T00:00:00"/>
  </r>
  <r>
    <s v="Meeajane Mukoon Bibi Shaaheenah"/>
    <s v="Ally Lane, Mesnil"/>
    <s v="Central"/>
    <x v="145"/>
    <n v="57863178"/>
    <s v="Nab-Makeup"/>
    <x v="18"/>
    <d v="2025-04-17T00:00:00"/>
    <n v="150"/>
    <d v="2025-05-04T00:00:00"/>
  </r>
  <r>
    <s v="Jeetoo Maleehah Bibi"/>
    <s v="40C Parisot Road, Mesnil"/>
    <s v="Central"/>
    <x v="145"/>
    <n v="58084303"/>
    <s v="Nab-Makeup"/>
    <x v="26"/>
    <d v="2025-04-24T00:00:00"/>
    <n v="150"/>
    <d v="2025-05-04T00:00:00"/>
  </r>
  <r>
    <s v="Areefah Peerun"/>
    <s v="120B Royal Road, Phoenix"/>
    <s v="Central"/>
    <x v="145"/>
    <n v="57624316"/>
    <s v="Nab-Makeup"/>
    <x v="40"/>
    <d v="2025-04-28T00:00:00"/>
    <n v="150"/>
    <d v="2025-05-04T00:00:00"/>
  </r>
  <r>
    <s v="Rakshiny Peerthee"/>
    <s v="Camp Fouquereaux Phoenix"/>
    <s v="Plaines Wilhems"/>
    <x v="145"/>
    <n v="58295729"/>
    <s v="Nab-Makeup"/>
    <x v="8"/>
    <d v="2025-05-03T00:00:00"/>
    <n v="150"/>
    <d v="2025-05-04T00:00:00"/>
  </r>
  <r>
    <s v="Bibi Aisha Rujbally"/>
    <s v="Remy Oillier Avenue, Phoenix"/>
    <s v="Plaines Wilhems"/>
    <x v="145"/>
    <n v="54952189"/>
    <s v="Nab-Makeup"/>
    <x v="8"/>
    <d v="2025-05-01T00:00:00"/>
    <n v="150"/>
    <d v="2025-05-04T00:00:00"/>
  </r>
  <r>
    <s v="Hossain Bibi Saib Narmeen"/>
    <s v="Hermitage, Phoenix"/>
    <s v="Central"/>
    <x v="145"/>
    <n v="57658964"/>
    <s v="Nab-Makeup"/>
    <x v="28"/>
    <d v="2025-05-03T00:00:00"/>
    <n v="150"/>
    <d v="2025-05-04T00:00:00"/>
  </r>
  <r>
    <s v="Bibi Anbar Fadiilah Hosanee"/>
    <s v="Mosque Rd, Highlands, Phoenix"/>
    <s v="Central"/>
    <x v="145"/>
    <n v="58137551"/>
    <s v="Nab-Makeup"/>
    <x v="9"/>
    <d v="2025-05-05T00:00:00"/>
    <n v="150"/>
    <d v="2025-06-01T00:00:00"/>
  </r>
  <r>
    <s v="Peerthee Yorita"/>
    <s v="Camp-Fauquereaux, Phoenix, Mauritius"/>
    <s v="Central"/>
    <x v="145"/>
    <n v="59158296"/>
    <s v="Nab-Makeup"/>
    <x v="9"/>
    <d v="2025-05-05T00:00:00"/>
    <n v="150"/>
    <d v="2025-06-01T00:00:00"/>
  </r>
  <r>
    <s v="Aarti Joyram"/>
    <s v="Morc Koenig, Phoenix"/>
    <s v="Plaines Wilhems"/>
    <x v="145"/>
    <n v="57663201"/>
    <s v="Nab-Makeup"/>
    <x v="50"/>
    <d v="2025-05-15T00:00:00"/>
    <n v="150"/>
    <d v="2025-06-01T00:00:00"/>
  </r>
  <r>
    <s v="Rakesh Raggoo"/>
    <s v="Phoenix, Industrial Zone, Valentina, Ex Sonia Wear Building"/>
    <s v="Phoenix"/>
    <x v="145"/>
    <n v="59498751"/>
    <s v="OKASINA"/>
    <x v="30"/>
    <d v="2025-05-19T00:00:00"/>
    <n v="150"/>
    <d v="2025-06-01T00:00:00"/>
  </r>
  <r>
    <s v="Ms. Munjoolah Budloo"/>
    <s v="SOCOTA Phoenicia, Phoenix"/>
    <s v="Central"/>
    <x v="145"/>
    <n v="57990392"/>
    <s v="OKASINA"/>
    <x v="23"/>
    <d v="2025-05-22T00:00:00"/>
    <n v="150"/>
    <d v="2025-06-01T00:00:00"/>
  </r>
  <r>
    <s v="Beebee Husna Banu Jumun"/>
    <s v="Hermitage, Phoenix"/>
    <s v="Plaines Wilhems"/>
    <x v="145"/>
    <n v="57544290"/>
    <s v="Nab-Makeup"/>
    <x v="19"/>
    <d v="2025-06-02T00:00:00"/>
    <n v="150"/>
    <d v="2025-07-02T00:00:00"/>
  </r>
  <r>
    <s v="Shabneez Tuhaloo"/>
    <s v="Parisot Road, Galea 2 Mesnil, Phoenix"/>
    <s v="Plaines Wilhems"/>
    <x v="145"/>
    <n v="58007660"/>
    <s v="Nab-Makeup"/>
    <x v="19"/>
    <d v="2025-06-02T00:00:00"/>
    <n v="150"/>
    <d v="2025-07-02T00:00:00"/>
  </r>
  <r>
    <s v="Musheerah Ammeer"/>
    <s v="Hermitage Road, Camp Fouquereaux, Phoenix"/>
    <s v="Plaines Wilhems"/>
    <x v="145"/>
    <n v="58178429"/>
    <s v="Nab-Makeup"/>
    <x v="13"/>
    <d v="2025-06-05T00:00:00"/>
    <n v="150"/>
    <d v="2025-07-02T00:00:00"/>
  </r>
  <r>
    <s v="Rukshar Shamutally"/>
    <s v="Beekawoo Lane, Phoenix"/>
    <s v="Plaines Wilhems"/>
    <x v="145"/>
    <n v="58046068"/>
    <s v="Nab-Makeup"/>
    <x v="1"/>
    <d v="2025-06-09T00:00:00"/>
    <n v="150"/>
    <d v="2025-07-02T00:00:00"/>
  </r>
  <r>
    <s v="Sharlyn Tang Ying Yuen"/>
    <s v="Phoenix Mall Jumbo"/>
    <s v="Plaines Wilhems"/>
    <x v="145"/>
    <n v="57881293"/>
    <s v="Nab-Makeup"/>
    <x v="14"/>
    <d v="2025-06-12T00:00:00"/>
    <n v="150"/>
    <d v="2025-07-02T00:00:00"/>
  </r>
  <r>
    <s v="Priya Jhugroo"/>
    <s v="Terre Rouge Road, Camp Fouquereaux, Phoenix"/>
    <s v="Plaines Wilhems"/>
    <x v="145"/>
    <n v="57673520"/>
    <s v="Nab-Makeup"/>
    <x v="14"/>
    <d v="2025-06-12T00:00:00"/>
    <n v="150"/>
    <d v="2025-07-02T00:00:00"/>
  </r>
  <r>
    <s v="Mohisha Choytah"/>
    <s v="Hermitage Branch Road, Camp Fouquereaux, Phoenix"/>
    <s v="Plaines Wilhems"/>
    <x v="145"/>
    <n v="57510048"/>
    <s v="Nab-Makeup"/>
    <x v="15"/>
    <d v="2025-06-20T00:00:00"/>
    <n v="150"/>
    <d v="2025-07-02T00:00:00"/>
  </r>
  <r>
    <s v="Zarine Raja"/>
    <s v="Mauritius Telecom, Phoenix Mall"/>
    <s v="Plaines Wilhems"/>
    <x v="145"/>
    <n v="57777866"/>
    <s v="Nab-Makeup"/>
    <x v="15"/>
    <d v="2025-06-20T00:00:00"/>
    <n v="150"/>
    <d v="2025-07-02T00:00:00"/>
  </r>
  <r>
    <s v="Bhavna Boudou"/>
    <s v="Hospital Road, Highlands, Phoenix"/>
    <s v="Highlands"/>
    <x v="145"/>
    <n v="57976043"/>
    <s v="Nab-Makeup"/>
    <x v="10"/>
    <d v="2025-06-23T00:00:00"/>
    <n v="150"/>
    <d v="2025-07-02T00:00:00"/>
  </r>
  <r>
    <s v="Lazinah Bibi Swadeka Bundhoo"/>
    <s v="50 Mohammad Iqbal Avenue, Phoenix"/>
    <s v="50 Mohammad Iqbal Avenue"/>
    <x v="145"/>
    <n v="59489795"/>
    <s v="Nab-Makeup"/>
    <x v="10"/>
    <d v="2025-06-23T00:00:00"/>
    <n v="150"/>
    <d v="2025-07-02T00:00:00"/>
  </r>
  <r>
    <s v="Mohisha Choytah"/>
    <s v="Hermitage Branch Road"/>
    <s v="Camp Fouquereaux"/>
    <x v="145"/>
    <n v="57510048"/>
    <s v="Nab-Makeup"/>
    <x v="47"/>
    <d v="2025-06-26T00:00:00"/>
    <n v="150"/>
    <d v="2025-07-02T00:00:00"/>
  </r>
  <r>
    <s v="Enakshee Charitar"/>
    <s v="CIDP, BioPark Mauritius, SOCOTA Phoenicia, Sayed Hossen Road"/>
    <s v="Phoenix"/>
    <x v="145"/>
    <n v="58247812"/>
    <s v="Nab-Makeup"/>
    <x v="47"/>
    <s v="Cancelled"/>
    <n v="150"/>
    <d v="2025-07-02T00:00:00"/>
  </r>
  <r>
    <s v="Wadiyyah Ajubtally"/>
    <s v="Moncellement Blue Print, Highlands, Phoenix"/>
    <s v="Plaines Wilhems"/>
    <x v="145"/>
    <n v="58047892"/>
    <s v="Nab-Makeup"/>
    <x v="11"/>
    <d v="2025-06-30T00:00:00"/>
    <n v="150"/>
    <d v="2025-07-02T00:00:00"/>
  </r>
  <r>
    <s v="Shahana Meerun"/>
    <s v="Motorway M1, Highlands, Phoenix"/>
    <s v="Plaines Wilhems"/>
    <x v="145"/>
    <n v="57750960"/>
    <s v="Nab-Makeup"/>
    <x v="11"/>
    <d v="2025-06-30T00:00:00"/>
    <n v="150"/>
    <d v="2025-07-02T00:00:00"/>
  </r>
  <r>
    <s v="Laetitia Baho"/>
    <s v="Clairfonds No. 1, Phoenix, Ramputh Lane"/>
    <s v="Plaines Wilhems"/>
    <x v="145"/>
    <n v="59800504"/>
    <s v="Nab-Makeup"/>
    <x v="11"/>
    <d v="2025-06-30T00:00:00"/>
    <n v="150"/>
    <d v="2025-07-02T00:00:00"/>
  </r>
  <r>
    <s v="Aarti Joyram"/>
    <s v="Morc Koenig, Phoenix"/>
    <s v="Phoenix"/>
    <x v="145"/>
    <n v="57663201"/>
    <s v="Nab-Makeup"/>
    <x v="31"/>
    <d v="2025-07-03T00:00:00"/>
    <n v="150"/>
    <d v="2025-08-01T00:00:00"/>
  </r>
  <r>
    <s v="Miss fowdar"/>
    <s v="National Women Entrepreneur, Phoenix"/>
    <s v="Phoenix"/>
    <x v="145"/>
    <n v="57537084"/>
    <s v="OKASINA"/>
    <x v="2"/>
    <d v="2025-07-07T00:00:00"/>
    <n v="150"/>
    <d v="2025-08-01T00:00:00"/>
  </r>
  <r>
    <s v="Rukshar Shamutally"/>
    <s v="Beekawoo Lane, Phoenix"/>
    <s v="Phoenix"/>
    <x v="145"/>
    <n v="58046068"/>
    <s v="Nab-Makeup"/>
    <x v="2"/>
    <d v="2025-07-07T00:00:00"/>
    <n v="150"/>
    <d v="2025-08-01T00:00:00"/>
  </r>
  <r>
    <s v="Naweeda Suhotoo"/>
    <s v="Phoenix, Robinson Lane 1"/>
    <s v="Phoenix"/>
    <x v="145"/>
    <n v="59283704"/>
    <s v="Nab-Makeup"/>
    <x v="24"/>
    <d v="2025-07-10T00:00:00"/>
    <n v="150"/>
    <d v="2025-08-01T00:00:00"/>
  </r>
  <r>
    <s v="Roshnee Dowlut"/>
    <s v="St Antoine Road, Camp Fouquereaux, Phoenix"/>
    <s v="Phoenix"/>
    <x v="145"/>
    <s v="+230 59071004"/>
    <s v="Nab-Makeup"/>
    <x v="21"/>
    <d v="2025-07-14T00:00:00"/>
    <n v="150"/>
    <d v="2025-08-01T00:00:00"/>
  </r>
  <r>
    <s v="Tanzila Lalmahomed"/>
    <s v="225 Royal Road, Phoenix"/>
    <s v="Phoenix"/>
    <x v="145"/>
    <n v="59497159"/>
    <s v="Nab-Makeup"/>
    <x v="21"/>
    <d v="2025-07-14T00:00:00"/>
    <n v="150"/>
    <d v="2025-08-01T00:00:00"/>
  </r>
  <r>
    <s v="Narmeen Dulloo"/>
    <s v="Hassen Raffa Avenue, Phoenix"/>
    <s v="Phoenix"/>
    <x v="145"/>
    <n v="57107147"/>
    <s v="Nab-Makeup"/>
    <x v="39"/>
    <d v="2025-07-17T00:00:00"/>
    <n v="150"/>
    <d v="2025-08-01T00:00:00"/>
  </r>
  <r>
    <s v="Faheka Joomabocus"/>
    <s v="Riverside, Phoenix"/>
    <s v="Phoenix"/>
    <x v="145"/>
    <n v="52551116"/>
    <s v="Nab-Makeup"/>
    <x v="3"/>
    <d v="2025-07-21T00:00:00"/>
    <n v="150"/>
    <d v="2025-08-01T00:00:00"/>
  </r>
  <r>
    <s v="Naweeda Suhotoo"/>
    <s v="1, Phoenix Robinson Lane"/>
    <s v="Phoenix"/>
    <x v="145"/>
    <n v="59283704"/>
    <s v="Nab-Makeup"/>
    <x v="3"/>
    <d v="2025-07-21T00:00:00"/>
    <n v="150"/>
    <d v="2025-08-01T00:00:00"/>
  </r>
  <r>
    <s v="Samiyah Burkutally"/>
    <s v="Le Valentina Mall, Shop, Phoenix"/>
    <s v="Phoenix"/>
    <x v="145"/>
    <n v="59272041"/>
    <s v="Nab-Makeup"/>
    <x v="3"/>
    <d v="2025-07-21T00:00:00"/>
    <n v="150"/>
    <d v="2025-08-01T00:00:00"/>
  </r>
  <r>
    <s v="Nushruth Gokhool"/>
    <s v="Beekawoo Lane, Phoenix"/>
    <s v="Phoenix"/>
    <x v="145"/>
    <n v="58139815"/>
    <s v="Nab-Makeup"/>
    <x v="0"/>
    <d v="2025-07-31T00:00:00"/>
    <n v="150"/>
    <d v="2025-08-01T00:00:00"/>
  </r>
  <r>
    <s v="Emma Taikie"/>
    <s v="Gaz Carbonique, 4 Willoughby Road, Phoenix"/>
    <s v="4 Willoughby Road"/>
    <x v="145"/>
    <n v="54210250"/>
    <s v="Nab-Makeup"/>
    <x v="22"/>
    <d v="2025-08-07T00:00:00"/>
    <n v="150"/>
    <m/>
  </r>
  <r>
    <s v="Udhin Tashveena"/>
    <s v="5C, Avenue Mahant Kabir, Phoenix"/>
    <s v="Avenue Mahant Kabir"/>
    <x v="145"/>
    <n v="57758694"/>
    <s v="Nab-Makeup"/>
    <x v="22"/>
    <d v="2025-08-07T00:00:00"/>
    <n v="150"/>
    <m/>
  </r>
  <r>
    <s v="Kendy Ng"/>
    <s v="Closel Road, Emirates Swimming, Phoenix, Mauritius"/>
    <s v="Phoenix"/>
    <x v="145"/>
    <n v="58147235"/>
    <s v="Nab-Makeup"/>
    <x v="22"/>
    <d v="2025-08-07T00:00:00"/>
    <n v="150"/>
    <m/>
  </r>
  <r>
    <s v="Nazaahah Oozeer"/>
    <s v="101, Morc Lenoir, Petit Camp, Phoenix"/>
    <s v="Phoenix"/>
    <x v="145"/>
    <n v="57987775"/>
    <s v="Nab-Makeup"/>
    <x v="5"/>
    <d v="2025-08-12T00:00:00"/>
    <n v="150"/>
    <m/>
  </r>
  <r>
    <s v="Noosayah Joomun"/>
    <s v="Highlands Road, Phoenix"/>
    <s v="Plaines Wilhems"/>
    <x v="145"/>
    <n v="58030976"/>
    <s v="Nab-Makeup"/>
    <x v="34"/>
    <d v="2025-08-15T00:00:00"/>
    <n v="150"/>
    <m/>
  </r>
  <r>
    <s v="Zakiyyah Doomun Khan"/>
    <s v="26 A Remy Ollier, Phoenix"/>
    <s v="Plaines Wilhems"/>
    <x v="145"/>
    <n v="59107630"/>
    <s v="Nab-Makeup"/>
    <x v="34"/>
    <d v="2025-08-15T00:00:00"/>
    <n v="150"/>
    <m/>
  </r>
  <r>
    <s v="Samiyah Burkutally"/>
    <s v="Anwar E Qouba Mosque Rd, Camp Fouquereaux, Phoenix, Mauritius"/>
    <s v="Central"/>
    <x v="145"/>
    <s v="5927 2041"/>
    <s v="Nab-Makeup"/>
    <x v="27"/>
    <d v="2025-08-19T00:00:00"/>
    <n v="150"/>
    <m/>
  </r>
  <r>
    <s v="Naseelah Hossen"/>
    <s v="St Antoine Camp Fouquereaux, C/O H Dursun Store, Phoenix"/>
    <s v="Centre"/>
    <x v="145"/>
    <n v="59774022"/>
    <s v="Nab-Makeup"/>
    <x v="35"/>
    <d v="2025-08-29T00:00:00"/>
    <n v="150"/>
    <m/>
  </r>
  <r>
    <s v="Roushmine Auckburally"/>
    <s v="26, Koenig Lane, Phoenix"/>
    <s v="Centre"/>
    <x v="145"/>
    <n v="57620728"/>
    <s v="Nab-Makeup"/>
    <x v="35"/>
    <d v="2025-09-01T00:00:00"/>
    <n v="150"/>
    <m/>
  </r>
  <r>
    <s v="Neeshma Ballgobin Chengee"/>
    <s v="Royal Road, l'Esperence, Piton"/>
    <s v="Rivière du Rempart"/>
    <x v="146"/>
    <n v="59124845"/>
    <s v="Nab-Makeup"/>
    <x v="29"/>
    <d v="2025-05-12T00:00:00"/>
    <n v="150"/>
    <d v="2025-06-01T00:00:00"/>
  </r>
  <r>
    <s v="Sheena Auckloo"/>
    <s v="44 Quartier de la Fontaine, Domaine de Bon Espoir, Piton"/>
    <s v="Rivière du Rempart"/>
    <x v="146"/>
    <n v="57043495"/>
    <s v="Nab-Makeup"/>
    <x v="23"/>
    <d v="2025-05-22T00:00:00"/>
    <n v="150"/>
    <d v="2025-06-01T00:00:00"/>
  </r>
  <r>
    <s v="Zafirah Syed"/>
    <s v="Royal Road"/>
    <s v="L'Esperance Piton, Piton, Mauritius"/>
    <x v="146"/>
    <n v="57855458"/>
    <s v="Nab-Makeup"/>
    <x v="33"/>
    <d v="2025-07-28T00:00:00"/>
    <n v="150"/>
    <d v="2025-08-01T00:00:00"/>
  </r>
  <r>
    <s v="Nailah Khodabukus"/>
    <s v="Middle Road, Plaine des Papayes"/>
    <s v="Pamplemousses"/>
    <x v="147"/>
    <n v="57193112"/>
    <s v="Nab-Makeup"/>
    <x v="13"/>
    <d v="2025-06-05T00:00:00"/>
    <n v="150"/>
    <d v="2025-07-02T00:00:00"/>
  </r>
  <r>
    <s v="Dhanista Dookhoa"/>
    <s v="Plot 8, Morcellement Konjoo, Plaine des Papayes"/>
    <s v="Pamplemousses"/>
    <x v="147"/>
    <n v="58101958"/>
    <s v="Nab-Makeup"/>
    <x v="15"/>
    <d v="2025-06-20T00:00:00"/>
    <n v="150"/>
    <d v="2025-07-02T00:00:00"/>
  </r>
  <r>
    <s v="Vanisha"/>
    <s v="Plaine des Papayes"/>
    <s v="Plaine des Papayes"/>
    <x v="147"/>
    <n v="58084430"/>
    <s v="Little Star Boutique"/>
    <x v="68"/>
    <d v="2025-08-12T00:00:00"/>
    <n v="150"/>
    <m/>
  </r>
  <r>
    <s v="JESS JESS - NABIIHAH - May's Shop"/>
    <s v="PLAINE DES PAPAYES, Mauritius"/>
    <s v="PLAINE DES PAPAYES, Mauritius"/>
    <x v="147"/>
    <n v="54751291"/>
    <s v="NABIIHAH - May's Shop"/>
    <x v="7"/>
    <d v="2025-09-01T00:00:00"/>
    <n v="100"/>
    <m/>
  </r>
  <r>
    <s v="Shaima Earally"/>
    <s v="Mosque Road"/>
    <s v="South-East"/>
    <x v="148"/>
    <n v="57996909"/>
    <s v="Nab-Makeup"/>
    <x v="18"/>
    <d v="2025-04-18T00:00:00"/>
    <n v="150"/>
    <d v="2025-05-04T00:00:00"/>
  </r>
  <r>
    <s v="Nancy Edibrasse"/>
    <s v="Lot 66 morcellement desplaces"/>
    <s v="South-East"/>
    <x v="148"/>
    <n v="57333585"/>
    <s v="Nab-Makeup"/>
    <x v="18"/>
    <d v="2025-04-18T00:00:00"/>
    <n v="150"/>
    <d v="2025-05-04T00:00:00"/>
  </r>
  <r>
    <s v="Muhammad Azhar Earally"/>
    <s v="Mosque Road, Plaine Magnien, Mauritius"/>
    <s v="South"/>
    <x v="148"/>
    <n v="58245547"/>
    <s v="Nab-Makeup"/>
    <x v="8"/>
    <d v="2025-04-30T00:00:00"/>
    <n v="150"/>
    <d v="2025-05-04T00:00:00"/>
  </r>
  <r>
    <s v="Soobug Vidoushi"/>
    <s v="Carreau Esnouf, Plaine Magnien"/>
    <s v="Grand Port"/>
    <x v="148"/>
    <n v="59189038"/>
    <s v="Nab-Makeup"/>
    <x v="49"/>
    <d v="2025-05-03T00:00:00"/>
    <n v="150"/>
    <d v="2025-06-01T00:00:00"/>
  </r>
  <r>
    <s v="Nouzhah Jeeroo"/>
    <s v="Gilbert Road, Plaine Magnien"/>
    <s v="East"/>
    <x v="148"/>
    <n v="59153043"/>
    <s v="Nab-Makeup"/>
    <x v="9"/>
    <d v="2025-05-05T00:00:00"/>
    <n v="150"/>
    <d v="2025-06-01T00:00:00"/>
  </r>
  <r>
    <s v="Soobug Vidoushi"/>
    <s v="Carreau Esnouf, Plaine Magnien"/>
    <s v="Grand Port"/>
    <x v="148"/>
    <n v="59189038"/>
    <s v="Nab-Makeup"/>
    <x v="29"/>
    <d v="2025-05-12T00:00:00"/>
    <n v="150"/>
    <d v="2025-06-01T00:00:00"/>
  </r>
  <r>
    <s v="Nariman Kayamdy"/>
    <s v="Royal road plaine magnien - C/o southern sun boutic - Vis a vis shivala"/>
    <s v="Grand Port"/>
    <x v="148"/>
    <n v="57164343"/>
    <s v="OKASINA"/>
    <x v="71"/>
    <d v="2025-05-26T00:00:00"/>
    <n v="150"/>
    <d v="2025-06-01T00:00:00"/>
  </r>
  <r>
    <s v="Gungaram Drishtee Sing"/>
    <s v="Mosque Road, Plaine Magnien"/>
    <s v="Grand Port"/>
    <x v="148"/>
    <n v="58373568"/>
    <s v="Nab-Makeup"/>
    <x v="20"/>
    <d v="2025-05-29T00:00:00"/>
    <n v="150"/>
    <d v="2025-06-01T00:00:00"/>
  </r>
  <r>
    <s v="Zohra Fateemah"/>
    <s v="BEFORE 4  PATS RD PALINE MAGNIEN  AFTER 4....CHEMIN BOIS D'OISEAU PLAINE MAGNIEN"/>
    <s v="Plaine Magnien"/>
    <x v="148"/>
    <n v="59106944"/>
    <s v="OKASINA"/>
    <x v="19"/>
    <d v="2025-06-02T00:00:00"/>
    <n v="150"/>
    <d v="2025-07-02T00:00:00"/>
  </r>
  <r>
    <s v="Vidusha Kesri Singh"/>
    <s v="Lot 106, Morcellement Blue Print, Plaine Magnien"/>
    <s v="Grand Port"/>
    <x v="148"/>
    <n v="58138137"/>
    <s v="Nab-Makeup"/>
    <x v="14"/>
    <d v="2025-06-12T00:00:00"/>
    <n v="150"/>
    <d v="2025-07-02T00:00:00"/>
  </r>
  <r>
    <s v="Jaabir Jumeen"/>
    <s v="Cemetery Road, Plaine Magnien"/>
    <s v="Grand Port"/>
    <x v="148"/>
    <n v="54732553"/>
    <s v="Nab-Makeup"/>
    <x v="41"/>
    <d v="2025-06-16T00:00:00"/>
    <n v="150"/>
    <d v="2025-07-02T00:00:00"/>
  </r>
  <r>
    <s v="Neha Gajadhur"/>
    <s v="Mon Desert Road, Plaine Magnien"/>
    <s v="Plaine Magnien"/>
    <x v="148"/>
    <n v="58396220"/>
    <s v="Nab-Makeup"/>
    <x v="31"/>
    <d v="2025-07-03T00:00:00"/>
    <n v="150"/>
    <d v="2025-08-01T00:00:00"/>
  </r>
  <r>
    <s v="Shameenaz Ismael"/>
    <s v="Lamusse Road, Plaine Magnien"/>
    <s v="Plaine Magnien"/>
    <x v="148"/>
    <n v="57720608"/>
    <s v="Nab-Makeup"/>
    <x v="2"/>
    <d v="2025-07-07T00:00:00"/>
    <n v="150"/>
    <d v="2025-08-01T00:00:00"/>
  </r>
  <r>
    <s v="Dishaa Mulliah"/>
    <s v="7 Aves des Anthuriums, Burrenchobay H E, Plaine Magnien"/>
    <s v="Plaine Magnien"/>
    <x v="148"/>
    <n v="59187728"/>
    <s v="Nab-Makeup"/>
    <x v="2"/>
    <d v="2025-07-07T00:00:00"/>
    <n v="150"/>
    <d v="2025-08-01T00:00:00"/>
  </r>
  <r>
    <s v="Sameerah Bassa"/>
    <s v="Church lane, Plaine Magnien"/>
    <s v="Plaine Magnien"/>
    <x v="148"/>
    <n v="58134647"/>
    <s v="Nab-Makeup"/>
    <x v="21"/>
    <d v="2025-07-17T00:00:00"/>
    <n v="150"/>
    <d v="2025-08-01T00:00:00"/>
  </r>
  <r>
    <s v="Reeshika Ramsurun"/>
    <s v="Biswa Lane, Plaine Magnien"/>
    <s v="Plaine Magnien"/>
    <x v="148"/>
    <n v="58255724"/>
    <s v="Nab-Makeup"/>
    <x v="32"/>
    <d v="2025-07-24T00:00:00"/>
    <n v="150"/>
    <d v="2025-08-01T00:00:00"/>
  </r>
  <r>
    <s v="Amira Mungroo (Deliver to Shaad Jeetoo)"/>
    <s v="Mamoo Lane, Plaine Magnien"/>
    <s v="Plaine Magnien"/>
    <x v="148"/>
    <n v="57617158"/>
    <s v="Nab-Makeup"/>
    <x v="6"/>
    <d v="2025-08-04T00:00:00"/>
    <n v="150"/>
    <m/>
  </r>
  <r>
    <s v="Alfa Kadarkhan"/>
    <s v="Shivalah Rd, Plaine Magnien"/>
    <s v="Plaine Magnien"/>
    <x v="148"/>
    <n v="58171322"/>
    <s v="Nab-Makeup"/>
    <x v="6"/>
    <d v="2025-08-04T00:00:00"/>
    <n v="150"/>
    <m/>
  </r>
  <r>
    <s v="Shanyah Nunkoo"/>
    <s v="Bois D'Oiseau Road, Plaine Magnien"/>
    <s v="Bois D'Oiseau Road"/>
    <x v="148"/>
    <n v="54946450"/>
    <s v="Nab-Makeup"/>
    <x v="22"/>
    <d v="2025-08-12T00:00:00"/>
    <n v="150"/>
    <m/>
  </r>
  <r>
    <s v="Wardah Jumun"/>
    <s v="Bijouterie Etoile Dor, Royal Road, Plaine Magnien"/>
    <s v="Grand Port"/>
    <x v="148"/>
    <n v="57976877"/>
    <s v="Nab-Makeup"/>
    <x v="34"/>
    <d v="2025-08-15T00:00:00"/>
    <n v="150"/>
    <m/>
  </r>
  <r>
    <s v="Hadiyah Santoo"/>
    <s v="Lotus Street, Plaine Magnien"/>
    <s v="Grand Port"/>
    <x v="148"/>
    <n v="59260341"/>
    <s v="Nab-Makeup"/>
    <x v="34"/>
    <d v="2025-08-15T00:00:00"/>
    <n v="150"/>
    <m/>
  </r>
  <r>
    <s v="Nasseeda Soreefan"/>
    <s v="Balance Road, Plaine Magnien"/>
    <s v="South"/>
    <x v="148"/>
    <n v="57765108"/>
    <s v="Nab-Makeup"/>
    <x v="35"/>
    <d v="2025-08-29T00:00:00"/>
    <n v="150"/>
    <m/>
  </r>
  <r>
    <s v="ASH - NABIIHAH - May's Shop"/>
    <s v="PLAINE MAGNIEN, Mauritius"/>
    <s v="PLAINE MAGNIEN, Mauritius"/>
    <x v="148"/>
    <n v="57991850"/>
    <s v="NABIIHAH - May's Shop"/>
    <x v="7"/>
    <d v="2025-08-29T00:00:00"/>
    <n v="100"/>
    <m/>
  </r>
  <r>
    <s v="ALYAA - NABIIHAH - May's Shop"/>
    <s v="PLAINE MAGNIEN, Mauritius"/>
    <s v="PLAINE MAGNIEN, Mauritius"/>
    <x v="148"/>
    <n v="57760368"/>
    <s v="NABIIHAH - May's Shop"/>
    <x v="7"/>
    <d v="2025-08-29T00:00:00"/>
    <n v="100"/>
    <m/>
  </r>
  <r>
    <s v="Ruksar Dilmahomed"/>
    <s v="Seebundhun Road, Plaines des Papayes"/>
    <s v="North"/>
    <x v="149"/>
    <n v="54802997"/>
    <s v="Nab-Makeup"/>
    <x v="46"/>
    <d v="2025-04-17T00:00:00"/>
    <n v="150"/>
    <d v="2025-05-04T00:00:00"/>
  </r>
  <r>
    <s v="Mrs Joomun Dahoo"/>
    <s v="Shakespere Lane, Plaine Des Papayes"/>
    <s v="North"/>
    <x v="149"/>
    <n v="57555242"/>
    <s v="OKASINA"/>
    <x v="26"/>
    <d v="2025-04-24T00:00:00"/>
    <n v="150"/>
    <d v="2025-05-04T00:00:00"/>
  </r>
  <r>
    <s v="Mrs Buldawoo"/>
    <s v="Middle Rd, Plaines Des Papayes"/>
    <s v="North"/>
    <x v="149"/>
    <n v="58139242"/>
    <s v="OKASINA"/>
    <x v="30"/>
    <d v="2025-05-19T00:00:00"/>
    <n v="150"/>
    <d v="2025-06-01T00:00:00"/>
  </r>
  <r>
    <s v="Vanisha"/>
    <s v="Plaines Des Papayes"/>
    <s v="North"/>
    <x v="149"/>
    <n v="58084430"/>
    <s v="Little Star Boutique"/>
    <x v="65"/>
    <d v="2025-06-02T00:00:00"/>
    <n v="75"/>
    <d v="2025-07-02T00:00:00"/>
  </r>
  <r>
    <s v="Moksheeta Jebodh"/>
    <s v="Morcellement Ramphaul, Bois Mangues, Plaines des Papayes"/>
    <s v="Plaines des Papayes"/>
    <x v="149"/>
    <n v="58306538"/>
    <s v="Nab-Makeup"/>
    <x v="21"/>
    <d v="2025-07-14T00:00:00"/>
    <n v="150"/>
    <d v="2025-08-01T00:00:00"/>
  </r>
  <r>
    <s v="Harshini Nursing"/>
    <s v="Royal Road, Plaine des Roches"/>
    <s v="Rivière du Rempart"/>
    <x v="150"/>
    <n v="58004246"/>
    <s v="Nab-Makeup"/>
    <x v="29"/>
    <d v="2025-05-12T00:00:00"/>
    <n v="150"/>
    <d v="2025-06-01T00:00:00"/>
  </r>
  <r>
    <s v="Zarinah"/>
    <s v="Plaines des Roches"/>
    <s v="Plaines des Roches"/>
    <x v="150"/>
    <n v="59264995"/>
    <s v="Glow And Aura"/>
    <x v="51"/>
    <d v="2025-06-30T00:00:00"/>
    <n v="150"/>
    <d v="2025-07-02T00:00:00"/>
  </r>
  <r>
    <s v="Auleear Bibi Aisha"/>
    <s v="Jaguessur Lane, Plaine des Roches"/>
    <s v="Plaine des Roches"/>
    <x v="150"/>
    <n v="57692517"/>
    <s v="Nab-Makeup"/>
    <x v="32"/>
    <d v="2025-07-24T00:00:00"/>
    <n v="150"/>
    <d v="2025-08-01T00:00:00"/>
  </r>
  <r>
    <s v="Seeam"/>
    <s v="Pleine Des Roches"/>
    <s v="Pleine Des Roches"/>
    <x v="150"/>
    <n v="57886638"/>
    <s v="Vibezone Boutik"/>
    <x v="4"/>
    <d v="2025-07-31T00:00:00"/>
    <n v="150"/>
    <d v="2025-08-01T00:00:00"/>
  </r>
  <r>
    <s v="Parvinita Sharma Joottun"/>
    <s v="Royal Road, Plaine des Roches"/>
    <s v="Plaine des Roches"/>
    <x v="150"/>
    <n v="59083167"/>
    <s v="Nab-Makeup"/>
    <x v="5"/>
    <d v="2025-08-12T00:00:00"/>
    <n v="150"/>
    <m/>
  </r>
  <r>
    <s v="Sia Chayetun"/>
    <s v="Subhash Chandra Bose Street, Pointe Aux Piments"/>
    <s v="Pamplemousses"/>
    <x v="151"/>
    <n v="58182223"/>
    <s v="Nab-Makeup"/>
    <x v="12"/>
    <d v="2025-05-08T00:00:00"/>
    <n v="150"/>
    <d v="2025-06-01T00:00:00"/>
  </r>
  <r>
    <s v="Nathalie Ramsaran"/>
    <s v="Royal Road, Grand Pointe aux Piments"/>
    <s v="Pamplemousses"/>
    <x v="151"/>
    <n v="58101472"/>
    <s v="Nab-Makeup"/>
    <x v="19"/>
    <d v="2025-06-02T00:00:00"/>
    <n v="150"/>
    <d v="2025-07-02T00:00:00"/>
  </r>
  <r>
    <s v="Shannon Payen"/>
    <s v="Morcellement Siren View, Pointe aux Piments"/>
    <s v="Pamplemousses"/>
    <x v="151"/>
    <n v="58394232"/>
    <s v="Nab-Makeup"/>
    <x v="19"/>
    <d v="2025-06-02T00:00:00"/>
    <n v="150"/>
    <d v="2025-07-02T00:00:00"/>
  </r>
  <r>
    <s v="Nathalie Ramsaran"/>
    <s v="Royal Road, Grand Pointe aux Piments"/>
    <s v="Pamplemousses"/>
    <x v="151"/>
    <n v="58101472"/>
    <s v="Nab-Makeup"/>
    <x v="15"/>
    <d v="2025-06-20T00:00:00"/>
    <n v="150"/>
    <d v="2025-07-02T00:00:00"/>
  </r>
  <r>
    <s v="Nathalie Ramsaran"/>
    <s v="Royal Road, Grand Pointe aux Piments, Mauritius"/>
    <s v="Pamplemousses"/>
    <x v="151"/>
    <n v="58101472"/>
    <s v="Nab-Makeup"/>
    <x v="11"/>
    <d v="2025-06-30T00:00:00"/>
    <n v="150"/>
    <d v="2025-07-02T00:00:00"/>
  </r>
  <r>
    <s v="Tahrimah Muslum"/>
    <s v="A25 empereur Debarcadere"/>
    <s v="West"/>
    <x v="152"/>
    <n v="59463202"/>
    <s v="Nab-Makeup"/>
    <x v="18"/>
    <d v="2025-04-17T00:00:00"/>
    <n v="150"/>
    <d v="2025-05-04T00:00:00"/>
  </r>
  <r>
    <s v="Laure Martin"/>
    <s v="11 Rue Camelia Terrasson Pointe Aux Sables"/>
    <s v="West"/>
    <x v="152"/>
    <n v="54932287"/>
    <s v="Nab-Makeup"/>
    <x v="8"/>
    <d v="2025-05-01T00:00:00"/>
    <n v="150"/>
    <d v="2025-05-04T00:00:00"/>
  </r>
  <r>
    <s v="Micheline Rangasamy"/>
    <s v="Pointe Aux Sables"/>
    <s v="Pointe Aux Sables"/>
    <x v="152"/>
    <n v="57735892"/>
    <s v="Glow And Aura"/>
    <x v="16"/>
    <d v="2025-07-14T00:00:00"/>
    <n v="150"/>
    <d v="2025-08-01T00:00:00"/>
  </r>
  <r>
    <s v="Sophie Herbu"/>
    <s v="Lot 39 Morcellement Jardin De Bougainvilliers, Pointe Aux Sables, Mauritius"/>
    <s v="Pointe Aux Sables"/>
    <x v="152"/>
    <n v="54949449"/>
    <s v="Nab-Makeup"/>
    <x v="22"/>
    <d v="2025-08-07T00:00:00"/>
    <n v="150"/>
    <m/>
  </r>
  <r>
    <s v="SHARMILA - NABIIHAH - May's Shop"/>
    <s v="POINTE AUX SABLES, Mauritius"/>
    <s v="POINTE AUX SABLES, Mauritius"/>
    <x v="152"/>
    <n v="57670359"/>
    <s v="NABIIHAH - May's Shop"/>
    <x v="7"/>
    <d v="2025-09-01T00:00:00"/>
    <n v="100"/>
    <m/>
  </r>
  <r>
    <s v="Laurena Madanamoothoo"/>
    <s v="21 Gaston Martin Street, Tranquebar, Port Louis"/>
    <s v="North-West"/>
    <x v="153"/>
    <s v="59385363 / 59384536"/>
    <s v="Nab-Makeup"/>
    <x v="46"/>
    <d v="2025-04-14T00:00:00"/>
    <n v="150"/>
    <d v="2025-05-04T00:00:00"/>
  </r>
  <r>
    <s v="Razinah Ghoora"/>
    <s v="R6 Inkerman Street, Vallee-Pitot, Port Louis"/>
    <s v="North-West"/>
    <x v="153"/>
    <n v="58341044"/>
    <s v="Nab-Makeup"/>
    <x v="46"/>
    <d v="2025-04-14T00:00:00"/>
    <n v="150"/>
    <d v="2025-05-04T00:00:00"/>
  </r>
  <r>
    <s v="Shaheerah Sooboa"/>
    <s v="53 Abdool Razack Mohamed, Port Louis"/>
    <s v="North-West"/>
    <x v="153"/>
    <n v="59019359"/>
    <s v="Nab-Makeup"/>
    <x v="46"/>
    <d v="2025-04-14T00:00:00"/>
    <n v="150"/>
    <d v="2025-05-04T00:00:00"/>
  </r>
  <r>
    <s v="Gunowry Menasha"/>
    <s v="12 Hesketh Bell, Tranquebar, Port Louis"/>
    <s v="North-West"/>
    <x v="153"/>
    <n v="57095855"/>
    <s v="Nab-Makeup"/>
    <x v="46"/>
    <d v="2025-04-14T00:00:00"/>
    <n v="150"/>
    <d v="2025-05-04T00:00:00"/>
  </r>
  <r>
    <s v="Shahana Ruhomaun"/>
    <s v="14A Bait ul noor Vallée des prêtres, Port Louis"/>
    <s v="North-West"/>
    <x v="153"/>
    <n v="58307630"/>
    <s v="Nab-Makeup"/>
    <x v="46"/>
    <d v="2025-04-14T00:00:00"/>
    <n v="150"/>
    <d v="2025-05-04T00:00:00"/>
  </r>
  <r>
    <s v="Yusrah Issimdar"/>
    <s v="Monday to friday 9am till 4pm at Rue Louis Pasteur wan building, Port Louis"/>
    <s v="North-West"/>
    <x v="153"/>
    <n v="57955535"/>
    <s v="Nab-Makeup"/>
    <x v="46"/>
    <d v="2025-04-14T00:00:00"/>
    <n v="150"/>
    <d v="2025-05-04T00:00:00"/>
  </r>
  <r>
    <s v="Tagally Narmeen"/>
    <s v="Sir Virgil Naz Street (Near Citadelle Mall)"/>
    <s v="North-West"/>
    <x v="153"/>
    <n v="59006601"/>
    <s v="Nab-Makeup"/>
    <x v="18"/>
    <d v="2025-04-17T00:00:00"/>
    <n v="150"/>
    <d v="2025-05-04T00:00:00"/>
  </r>
  <r>
    <s v="Ruttun Widaad"/>
    <s v="Victoria House, St Louis Street"/>
    <s v="North-West"/>
    <x v="153"/>
    <n v="59201416"/>
    <s v="Nab-Makeup"/>
    <x v="18"/>
    <d v="2025-04-18T00:00:00"/>
    <n v="150"/>
    <d v="2025-05-04T00:00:00"/>
  </r>
  <r>
    <s v="Walliyah Ghanchee"/>
    <s v="R10 Inkerman - Vallee Pitot"/>
    <s v="North-West"/>
    <x v="153"/>
    <n v="57103915"/>
    <s v="Nab-Makeup"/>
    <x v="18"/>
    <d v="2025-04-17T00:00:00"/>
    <n v="150"/>
    <d v="2025-05-04T00:00:00"/>
  </r>
  <r>
    <s v="Bholah Pratisha"/>
    <s v="P.Louis Edith Cavell,"/>
    <s v="North-West"/>
    <x v="153"/>
    <n v="59288347"/>
    <s v="Nab-Makeup"/>
    <x v="37"/>
    <d v="2025-04-21T00:00:00"/>
    <n v="150"/>
    <d v="2025-05-04T00:00:00"/>
  </r>
  <r>
    <s v="Hadiyyah Atchia"/>
    <s v="43 Eugene Laurent Street, Port Louis"/>
    <s v="North-West"/>
    <x v="153"/>
    <n v="59292398"/>
    <s v="Nab-Makeup"/>
    <x v="25"/>
    <d v="2025-04-21T00:00:00"/>
    <n v="150"/>
    <d v="2025-05-04T00:00:00"/>
  </r>
  <r>
    <s v="Roodeetah Mungur"/>
    <s v="Swan, Port Louis"/>
    <s v="North-West"/>
    <x v="153"/>
    <n v="59759450"/>
    <s v="Nab-Makeup"/>
    <x v="25"/>
    <d v="2025-04-24T00:00:00"/>
    <n v="150"/>
    <d v="2025-05-04T00:00:00"/>
  </r>
  <r>
    <s v="Chayaa Sobhee"/>
    <s v="Accuvise Administrators Limited, 7A Mayer Street, Behind Radio Plus, Port Louis"/>
    <s v="North-West"/>
    <x v="153"/>
    <n v="59157334"/>
    <s v="Nab-Makeup"/>
    <x v="26"/>
    <d v="2025-04-24T00:00:00"/>
    <n v="150"/>
    <d v="2025-05-04T00:00:00"/>
  </r>
  <r>
    <s v="Shaliha Oumé Baichoo"/>
    <s v="21, Ail Doré, Plaine Verte, Port Louis"/>
    <s v="North-West"/>
    <x v="153"/>
    <n v="59262648"/>
    <s v="Nab-Makeup"/>
    <x v="26"/>
    <d v="2025-04-24T00:00:00"/>
    <n v="150"/>
    <d v="2025-05-04T00:00:00"/>
  </r>
  <r>
    <s v="Nabeehah Nuthay"/>
    <s v="76, Etienne Pelereau, Port-Louis"/>
    <s v="North-West"/>
    <x v="153"/>
    <n v="57525551"/>
    <s v="Nab-Makeup"/>
    <x v="40"/>
    <d v="2025-04-28T00:00:00"/>
    <n v="150"/>
    <d v="2025-05-04T00:00:00"/>
  </r>
  <r>
    <s v="Preeyankha Gunputh"/>
    <s v="Bank of Baroda"/>
    <s v="North-West"/>
    <x v="153"/>
    <n v="57556989"/>
    <s v="Nab-Makeup"/>
    <x v="40"/>
    <d v="2025-04-28T00:00:00"/>
    <n v="150"/>
    <d v="2025-05-04T00:00:00"/>
  </r>
  <r>
    <s v="Tasneem Beeharry"/>
    <s v="81 Raoul Rivet Port Louis"/>
    <s v="Port Louis"/>
    <x v="153"/>
    <n v="58106092"/>
    <s v="Nab-Makeup"/>
    <x v="8"/>
    <d v="2025-05-01T00:00:00"/>
    <n v="150"/>
    <d v="2025-05-04T00:00:00"/>
  </r>
  <r>
    <s v="Keerty Chummah"/>
    <s v="ABC Banking Corporation, Place D’Armes, Port Louis"/>
    <s v="Port Louis"/>
    <x v="153"/>
    <n v="59461866"/>
    <s v="Nab-Makeup"/>
    <x v="8"/>
    <d v="2025-05-01T00:00:00"/>
    <n v="150"/>
    <d v="2025-05-04T00:00:00"/>
  </r>
  <r>
    <s v="Dusmahomed Mushirah"/>
    <s v="21 Chalet St, Vallee Pitot, Port Louis"/>
    <s v="North-East"/>
    <x v="153"/>
    <n v="57913184"/>
    <s v="Nab-Makeup"/>
    <x v="49"/>
    <d v="2025-05-05T00:00:00"/>
    <n v="150"/>
    <d v="2025-06-01T00:00:00"/>
  </r>
  <r>
    <s v="Surayyah Meeakhan"/>
    <s v="41, Paul Taureau, Port Louis"/>
    <s v="North-West"/>
    <x v="153"/>
    <n v="57400812"/>
    <s v="Nab-Makeup"/>
    <x v="9"/>
    <d v="2025-05-05T00:00:00"/>
    <n v="150"/>
    <d v="2025-06-01T00:00:00"/>
  </r>
  <r>
    <s v="Pooniavadee Parasuramen"/>
    <s v="MCB Port Louis"/>
    <s v="North-West"/>
    <x v="153"/>
    <n v="57313330"/>
    <s v="Nab-Makeup"/>
    <x v="9"/>
    <d v="2025-05-05T00:00:00"/>
    <n v="150"/>
    <d v="2025-06-01T00:00:00"/>
  </r>
  <r>
    <s v="Roukhaiya Horinaiko"/>
    <s v="C/o Mr Yousouf Ramjan, 4 Diego Garcia, Port Louis"/>
    <s v="Port Louis"/>
    <x v="153"/>
    <n v="54952355"/>
    <s v="Nab-Makeup"/>
    <x v="12"/>
    <d v="2025-05-08T00:00:00"/>
    <n v="150"/>
    <d v="2025-06-01T00:00:00"/>
  </r>
  <r>
    <s v="Shabneez Hosenbocus"/>
    <s v="The Docks, Port-Louis"/>
    <s v="Port Louis"/>
    <x v="153"/>
    <n v="57054932"/>
    <s v="Nab-Makeup"/>
    <x v="12"/>
    <d v="2025-05-08T00:00:00"/>
    <n v="150"/>
    <d v="2025-06-01T00:00:00"/>
  </r>
  <r>
    <s v="Nazneen Gheesah"/>
    <s v="5 Maurice Poupard Street, Port Louis"/>
    <s v="Port Louis"/>
    <x v="153"/>
    <n v="59790984"/>
    <s v="Nab-Makeup"/>
    <x v="12"/>
    <d v="2025-05-08T00:00:00"/>
    <n v="150"/>
    <d v="2025-06-01T00:00:00"/>
  </r>
  <r>
    <s v="Anusha"/>
    <s v="Nab Make-UP, Port Louis"/>
    <s v="Port Louis"/>
    <x v="153"/>
    <n v="57084302"/>
    <s v="OKASINA"/>
    <x v="12"/>
    <d v="2025-05-08T00:00:00"/>
    <n v="150"/>
    <d v="2025-06-01T00:00:00"/>
  </r>
  <r>
    <s v="Surayyah Meeakhan"/>
    <s v="41, Paul Taureau, Port Louis"/>
    <s v="Port Louis"/>
    <x v="153"/>
    <n v="57400812"/>
    <s v="Nab-Makeup"/>
    <x v="29"/>
    <d v="2025-05-12T00:00:00"/>
    <n v="150"/>
    <d v="2025-06-01T00:00:00"/>
  </r>
  <r>
    <s v="Mrs Boodhoo"/>
    <s v="Jeeto Hospital, Port Louis"/>
    <s v="Port Louis"/>
    <x v="153"/>
    <n v="57881628"/>
    <s v="OKASINA"/>
    <x v="50"/>
    <d v="2025-05-15T00:00:00"/>
    <n v="150"/>
    <d v="2025-06-01T00:00:00"/>
  </r>
  <r>
    <s v="Zakiya Sobratee"/>
    <s v="Citadelle Mall"/>
    <s v="Port Louis"/>
    <x v="153"/>
    <n v="57371530"/>
    <s v="OKASINA"/>
    <x v="50"/>
    <d v="2025-05-15T00:00:00"/>
    <n v="150"/>
    <d v="2025-06-01T00:00:00"/>
  </r>
  <r>
    <s v="Lubnaa Codabaccus"/>
    <s v="22 Serang, Port Louis"/>
    <s v="Port Louis"/>
    <x v="153"/>
    <n v="58249157"/>
    <s v="Nab-Makeup"/>
    <x v="30"/>
    <d v="2025-05-19T00:00:00"/>
    <n v="150"/>
    <d v="2025-06-01T00:00:00"/>
  </r>
  <r>
    <s v="Ophelie Pigeot"/>
    <s v="Saint Louis Business Centre"/>
    <s v="Port Louis"/>
    <x v="153"/>
    <n v="59474962"/>
    <s v="Nab-Makeup"/>
    <x v="30"/>
    <d v="2025-05-19T00:00:00"/>
    <n v="150"/>
    <d v="2025-06-01T00:00:00"/>
  </r>
  <r>
    <s v="Subratty Zafiirah"/>
    <s v="Vallee Pitot"/>
    <s v="Port Louis"/>
    <x v="153"/>
    <n v="59818744"/>
    <s v="Glow And Aura"/>
    <x v="61"/>
    <d v="2025-05-26T00:00:00"/>
    <n v="75"/>
    <d v="2025-06-01T00:00:00"/>
  </r>
  <r>
    <s v="Subratty Zafiirah"/>
    <s v="Vallee Pitot, Port Louis"/>
    <s v="Port Louis"/>
    <x v="153"/>
    <n v="59818744"/>
    <s v="Glow And Aura"/>
    <x v="20"/>
    <d v="2025-05-29T00:00:00"/>
    <n v="75"/>
    <d v="2025-06-01T00:00:00"/>
  </r>
  <r>
    <s v="Mrs Dowlat"/>
    <s v="Gmg Atchia, Champ Des Mars, Port Louis"/>
    <s v="Port Louis"/>
    <x v="153"/>
    <n v="54830680"/>
    <s v="OKASINA"/>
    <x v="20"/>
    <d v="2025-05-29T00:00:00"/>
    <n v="150"/>
    <d v="2025-06-01T00:00:00"/>
  </r>
  <r>
    <s v="Zahrah Soobhan"/>
    <s v="Edith Cavell Street, Maison Coco, Edith Cavell Mall"/>
    <s v="Port Louis"/>
    <x v="153"/>
    <n v="52592727"/>
    <s v="Nab-Makeup"/>
    <x v="20"/>
    <d v="2025-05-29T00:00:00"/>
    <n v="150"/>
    <d v="2025-06-01T00:00:00"/>
  </r>
  <r>
    <s v="Janvi "/>
    <s v="St Georges Road Behind Hospital Jeetoo "/>
    <s v="Port Louis"/>
    <x v="153"/>
    <n v="55063920"/>
    <s v="Timeless Trends"/>
    <x v="64"/>
    <d v="2025-05-29T00:00:00"/>
    <n v="75"/>
    <d v="2025-06-01T00:00:00"/>
  </r>
  <r>
    <s v="Ruwayda"/>
    <s v="Port Louis"/>
    <s v="Port Louis"/>
    <x v="153"/>
    <n v="57255363"/>
    <s v="Little Star Boutique"/>
    <x v="65"/>
    <d v="2025-06-02T00:00:00"/>
    <n v="75"/>
    <d v="2025-07-02T00:00:00"/>
  </r>
  <r>
    <s v="Sabeehah Jowaheer"/>
    <s v="252 royal road, Vallees Des Pretes"/>
    <s v="Port louis"/>
    <x v="153"/>
    <n v="57059733"/>
    <s v="OKASINA"/>
    <x v="19"/>
    <d v="2025-06-02T00:00:00"/>
    <n v="150"/>
    <d v="2025-07-02T00:00:00"/>
  </r>
  <r>
    <s v="Hadiyyah Lallmahomed"/>
    <s v="41 Dr Hassen Sakir, Port Louis (near Magasin Populaire)"/>
    <s v="Port Louis"/>
    <x v="153"/>
    <n v="57618728"/>
    <s v="Nab-Makeup"/>
    <x v="19"/>
    <d v="2025-06-02T00:00:00"/>
    <n v="150"/>
    <d v="2025-07-02T00:00:00"/>
  </r>
  <r>
    <s v="Mr Ahmad Dowlut"/>
    <s v="Mauritius Housing Company, next to Air Mauritius Building, Port Louis"/>
    <s v="Port Louis"/>
    <x v="153"/>
    <n v="58251317"/>
    <s v="Nab-Makeup"/>
    <x v="19"/>
    <d v="2025-06-02T00:00:00"/>
    <n v="150"/>
    <d v="2025-07-02T00:00:00"/>
  </r>
  <r>
    <s v="Sharfaa Bahadoor"/>
    <s v="Jeetoo Hospital, Port Louis"/>
    <s v="Port Louis"/>
    <x v="153"/>
    <n v="52778745"/>
    <s v="Nab-Makeup"/>
    <x v="19"/>
    <d v="2025-06-02T00:00:00"/>
    <n v="150"/>
    <d v="2025-07-02T00:00:00"/>
  </r>
  <r>
    <s v="Zafeerah"/>
    <s v="MRA building, Port Louis"/>
    <s v="Port Louis"/>
    <x v="153"/>
    <n v="58038537"/>
    <s v="Little Star Boutique"/>
    <x v="65"/>
    <d v="2025-06-02T00:00:00"/>
    <n v="75"/>
    <d v="2025-07-02T00:00:00"/>
  </r>
  <r>
    <s v="Shalini Ramburn"/>
    <s v="Victoria House, Port Louis"/>
    <s v="Port Louis"/>
    <x v="153"/>
    <n v="57779044"/>
    <s v="OKASINA"/>
    <x v="13"/>
    <d v="2025-06-05T00:00:00"/>
    <n v="150"/>
    <d v="2025-07-02T00:00:00"/>
  </r>
  <r>
    <s v="Nush Maghoo"/>
    <s v="5, Royal Road, Unicorn House Building, Port Louis "/>
    <s v="Port Louis "/>
    <x v="153"/>
    <n v="57613687"/>
    <s v="Nab-Makeup"/>
    <x v="13"/>
    <d v="2025-06-05T00:00:00"/>
    <n v="150"/>
    <d v="2025-07-02T00:00:00"/>
  </r>
  <r>
    <s v="Kenza Boolakee"/>
    <s v="17 St François Xavier, Port Louis"/>
    <s v="Port Louis"/>
    <x v="153"/>
    <n v="58039455"/>
    <s v="Nab-Makeup"/>
    <x v="1"/>
    <d v="2025-06-12T00:00:00"/>
    <n v="150"/>
    <d v="2025-07-02T00:00:00"/>
  </r>
  <r>
    <s v="Nadia Chotoye"/>
    <s v="15 Aleppo Street, Port Louis"/>
    <s v="Port Louis"/>
    <x v="153"/>
    <n v="57987550"/>
    <s v="Nab-Makeup"/>
    <x v="14"/>
    <d v="2025-06-12T00:00:00"/>
    <n v="150"/>
    <d v="2025-07-02T00:00:00"/>
  </r>
  <r>
    <s v="Ummay Rumaanah Mohungoo-Bhukoo"/>
    <s v="Victoria House, near PKL, Port Louis"/>
    <s v="Port Louis"/>
    <x v="153"/>
    <n v="57170110"/>
    <s v="Nab-Makeup"/>
    <x v="14"/>
    <d v="2025-06-12T00:00:00"/>
    <n v="150"/>
    <d v="2025-07-02T00:00:00"/>
  </r>
  <r>
    <s v="Sneha Seeboruth"/>
    <s v="Central Market, Port Louis, near MCB"/>
    <s v="Port Louis"/>
    <x v="153"/>
    <n v="58227543"/>
    <s v="Nab-Makeup"/>
    <x v="14"/>
    <d v="2025-06-12T00:00:00"/>
    <n v="150"/>
    <d v="2025-07-02T00:00:00"/>
  </r>
  <r>
    <s v="Hullodhur Tushar"/>
    <s v="27 Ave. L’unité l’impasse Monté S, Camp Benoit"/>
    <s v="Camp Benoit"/>
    <x v="153"/>
    <n v="58222230"/>
    <s v="Nab-Makeup"/>
    <x v="14"/>
    <d v="2025-06-12T00:00:00"/>
    <n v="150"/>
    <d v="2025-07-02T00:00:00"/>
  </r>
  <r>
    <s v="Adiilah Muhammad"/>
    <s v="17, Madura Street, Port Louis"/>
    <s v="Port Louis"/>
    <x v="153"/>
    <n v="59278432"/>
    <s v="OKASINA"/>
    <x v="14"/>
    <d v="2025-06-12T00:00:00"/>
    <n v="150"/>
    <d v="2025-07-02T00:00:00"/>
  </r>
  <r>
    <s v="Noushrine"/>
    <s v="Port-louis"/>
    <s v="Port-louis"/>
    <x v="153"/>
    <n v="59320969"/>
    <s v="Glow And Aura"/>
    <x v="56"/>
    <d v="2025-06-12T00:00:00"/>
    <n v="150"/>
    <d v="2025-07-02T00:00:00"/>
  </r>
  <r>
    <s v="Oozeer Houzaifa"/>
    <s v="31 Mamelon Vert, St Vallee Pitot, Port Louis"/>
    <s v="Port Louis"/>
    <x v="153"/>
    <n v="57534783"/>
    <s v="Nab-Makeup"/>
    <x v="41"/>
    <d v="2025-06-16T00:00:00"/>
    <n v="150"/>
    <d v="2025-07-02T00:00:00"/>
  </r>
  <r>
    <s v="Shazia Sulliman"/>
    <s v="Route Militaire, Port Louis"/>
    <s v="Port Louis"/>
    <x v="153"/>
    <n v="57127869"/>
    <s v="Nab-Makeup"/>
    <x v="41"/>
    <d v="2025-06-16T00:00:00"/>
    <n v="150"/>
    <d v="2025-07-02T00:00:00"/>
  </r>
  <r>
    <s v="Adiilah Muhammad"/>
    <s v="17, Madura Street, Port Louis"/>
    <s v="Port Louis"/>
    <x v="153"/>
    <n v="59278432"/>
    <s v="OKASINA"/>
    <x v="41"/>
    <d v="2025-06-16T00:00:00"/>
    <n v="150"/>
    <d v="2025-07-02T00:00:00"/>
  </r>
  <r>
    <s v="Amish Bhugowandeen"/>
    <s v="4 Bancilhon Street, Port Louis (opposite Radio Plus)"/>
    <s v="Port Louis"/>
    <x v="153"/>
    <n v="58212856"/>
    <s v="Nab-Makeup"/>
    <x v="15"/>
    <d v="2025-06-20T00:00:00"/>
    <n v="150"/>
    <d v="2025-07-02T00:00:00"/>
  </r>
  <r>
    <s v="Beatrice Chan Neng"/>
    <s v="Leoville Lhomme Street, Port Louis (next to Burger King)"/>
    <s v="Port Louis"/>
    <x v="153"/>
    <n v="57030129"/>
    <s v="Nab-Makeup"/>
    <x v="15"/>
    <d v="2025-06-20T00:00:00"/>
    <n v="150"/>
    <d v="2025-07-02T00:00:00"/>
  </r>
  <r>
    <s v="Hadiyyah Khodabocus"/>
    <s v="16 Harris Street, Port Louis"/>
    <s v="Port Louis"/>
    <x v="153"/>
    <n v="58598902"/>
    <s v="Nab-Makeup"/>
    <x v="15"/>
    <d v="2025-06-20T00:00:00"/>
    <n v="150"/>
    <d v="2025-07-02T00:00:00"/>
  </r>
  <r>
    <s v="Hajrah Neeroo"/>
    <s v="41 Paul Taureau, Port Louis"/>
    <s v="Port Louis"/>
    <x v="153"/>
    <n v="59396749"/>
    <s v="Nab-Makeup"/>
    <x v="15"/>
    <d v="2025-06-20T00:00:00"/>
    <n v="150"/>
    <d v="2025-07-02T00:00:00"/>
  </r>
  <r>
    <s v="Wardah"/>
    <s v="La Rue des Forges"/>
    <s v="near Body and Soul"/>
    <x v="153"/>
    <n v="57692760"/>
    <s v="Glow And Aura"/>
    <x v="62"/>
    <d v="2025-06-20T00:00:00"/>
    <n v="150"/>
    <d v="2025-07-02T00:00:00"/>
  </r>
  <r>
    <s v="Sabeeha"/>
    <s v="78, Alma Road"/>
    <s v="Vallee Pitot"/>
    <x v="153"/>
    <n v="57881220"/>
    <s v="Glow And Aura"/>
    <x v="62"/>
    <d v="2025-06-20T00:00:00"/>
    <n v="150"/>
    <d v="2025-07-02T00:00:00"/>
  </r>
  <r>
    <s v="Tahmina Ramjeet "/>
    <s v="Cim Finance Edith Cavelle "/>
    <s v="Port Louis"/>
    <x v="153"/>
    <n v="58358926"/>
    <s v="Luxe Miniatures"/>
    <x v="62"/>
    <d v="2025-06-20T00:00:00"/>
    <n v="150"/>
    <d v="2025-07-02T00:00:00"/>
  </r>
  <r>
    <s v="Zareen Mosafeer / Radiyah"/>
    <s v="Rue Sir Williams Newton Street"/>
    <s v="Port Louis"/>
    <x v="153"/>
    <n v="58126403"/>
    <s v="Nab-Makeup"/>
    <x v="47"/>
    <d v="2025-06-26T00:00:00"/>
    <n v="150"/>
    <d v="2025-07-02T00:00:00"/>
  </r>
  <r>
    <s v="Faridah bibi Tagaully"/>
    <s v="L’habit de l’ile_x000a_74 champville vallee des prete"/>
    <s v="Port Louis"/>
    <x v="153"/>
    <n v="59472630"/>
    <s v="Nab-Makeup"/>
    <x v="47"/>
    <d v="2025-06-26T00:00:00"/>
    <n v="150"/>
    <d v="2025-07-02T00:00:00"/>
  </r>
  <r>
    <s v="Shabnoor Peerbaccus"/>
    <s v="Larue Pagoda"/>
    <s v="Port Louis"/>
    <x v="153"/>
    <n v="59209047"/>
    <s v="Nab-Makeup"/>
    <x v="47"/>
    <d v="2025-06-26T00:00:00"/>
    <n v="150"/>
    <d v="2025-07-02T00:00:00"/>
  </r>
  <r>
    <s v="Noushrine"/>
    <s v="Port Louis"/>
    <s v="Port Louis"/>
    <x v="153"/>
    <n v="59320969"/>
    <s v="Glow And Aura"/>
    <x v="51"/>
    <d v="2025-06-26T00:00:00"/>
    <n v="150"/>
    <d v="2025-07-02T00:00:00"/>
  </r>
  <r>
    <s v="Mrs Nazma Auladin"/>
    <s v="18 Nyon St"/>
    <s v="Port Louis"/>
    <x v="153"/>
    <n v="57115049"/>
    <s v="Timeless Trends"/>
    <x v="51"/>
    <s v="Cancelled"/>
    <n v="0"/>
    <s v="Cancelled"/>
  </r>
  <r>
    <s v="Shabina Khodabux"/>
    <s v="Calcutta Street, Port Louis"/>
    <s v="Port Louis"/>
    <x v="153"/>
    <n v="52500306"/>
    <s v="Nab-Makeup"/>
    <x v="11"/>
    <d v="2025-06-30T00:00:00"/>
    <n v="150"/>
    <d v="2025-07-02T00:00:00"/>
  </r>
  <r>
    <s v="Ayesha Bibi Mustan"/>
    <s v="97, Monsiegnuer Leen Street, Port Louis"/>
    <s v="Port Louis"/>
    <x v="153"/>
    <n v="54729559"/>
    <s v="Nab-Makeup"/>
    <x v="11"/>
    <d v="2025-06-30T00:00:00"/>
    <n v="150"/>
    <d v="2025-07-02T00:00:00"/>
  </r>
  <r>
    <s v="Reva Dinya"/>
    <s v="Vallee Des Pretes"/>
    <s v="Port Louis"/>
    <x v="153"/>
    <n v="58057829"/>
    <s v="Glow And Aura"/>
    <x v="42"/>
    <d v="2025-07-03T00:00:00"/>
    <n v="150"/>
    <d v="2025-08-01T00:00:00"/>
  </r>
  <r>
    <s v="Henna Allybaccus"/>
    <s v="26 Anderson James Forester Port Louis"/>
    <s v="Port Louis"/>
    <x v="153"/>
    <n v="54948815"/>
    <s v="Glow And Aura"/>
    <x v="42"/>
    <d v="2025-07-03T00:00:00"/>
    <n v="150"/>
    <d v="2025-08-01T00:00:00"/>
  </r>
  <r>
    <s v="Shaziah Wozeer"/>
    <s v="95 La Paix Street, Port Louis"/>
    <s v="Port Louis"/>
    <x v="153"/>
    <n v="57349330"/>
    <s v="Nab-Makeup"/>
    <x v="31"/>
    <d v="2025-07-03T00:00:00"/>
    <n v="150"/>
    <d v="2025-08-01T00:00:00"/>
  </r>
  <r>
    <s v="Faezah Bint Tabrez"/>
    <s v="26 impasse gorah issac, Port louis"/>
    <s v="Port louis"/>
    <x v="153"/>
    <n v="58384830"/>
    <s v="OKASINA"/>
    <x v="2"/>
    <d v="2025-07-07T00:00:00"/>
    <n v="150"/>
    <d v="2025-08-01T00:00:00"/>
  </r>
  <r>
    <s v="Bibi Zeenat Bola"/>
    <s v="Princess Ann St, 7th Mile Triolet, Port Louis"/>
    <s v="Port Louis"/>
    <x v="153"/>
    <s v="+230 5782 7279"/>
    <s v="Nab-Makeup"/>
    <x v="2"/>
    <d v="2025-07-07T00:00:00"/>
    <n v="150"/>
    <d v="2025-08-01T00:00:00"/>
  </r>
  <r>
    <s v="Atchia Hadiyyah"/>
    <s v="29 Louis Pasteur Street, Port Louis"/>
    <s v="Port Louis"/>
    <x v="153"/>
    <n v="59292398"/>
    <s v="Nab-Makeup"/>
    <x v="2"/>
    <d v="2025-07-07T00:00:00"/>
    <n v="150"/>
    <d v="2025-08-01T00:00:00"/>
  </r>
  <r>
    <s v="Zarina Bhollah"/>
    <s v="7 Trisnapoly Street, Plain Vert, Port Louis"/>
    <s v="Port Louis"/>
    <x v="153"/>
    <n v="58116574"/>
    <s v="Nab-Makeup"/>
    <x v="2"/>
    <d v="2025-07-07T00:00:00"/>
    <n v="150"/>
    <d v="2025-08-01T00:00:00"/>
  </r>
  <r>
    <s v="Shaheerah Sooboa"/>
    <s v="53 Abdool Razack Mohamed Street, Port Louis"/>
    <s v="Port Louis"/>
    <x v="153"/>
    <n v="59019359"/>
    <s v="Nab-Makeup"/>
    <x v="2"/>
    <d v="2025-07-10T00:00:00"/>
    <n v="150"/>
    <d v="2025-08-01T00:00:00"/>
  </r>
  <r>
    <s v="Nirvana Pemsing"/>
    <s v="34 Dr Henry Seneque, Bell Village, Port Louis"/>
    <s v="Port Louis"/>
    <x v="153"/>
    <n v="57764673"/>
    <s v="Nab-Makeup"/>
    <x v="2"/>
    <d v="2025-07-10T00:00:00"/>
    <n v="150"/>
    <d v="2025-08-01T00:00:00"/>
  </r>
  <r>
    <s v="Muhammud Ali Callachand"/>
    <s v="1, Pont St Louis, Pailles, Port Louis"/>
    <s v="Port Louis"/>
    <x v="153"/>
    <n v="57605755"/>
    <s v="Nab-Makeup"/>
    <x v="2"/>
    <d v="2025-07-07T00:00:00"/>
    <n v="150"/>
    <d v="2025-08-01T00:00:00"/>
  </r>
  <r>
    <s v="Mehediya Furreed"/>
    <s v="21 Aleppo Street, Camp Yoloff, Port Louis"/>
    <s v="Port Louis"/>
    <x v="153"/>
    <n v="57971368"/>
    <s v="Nab-Makeup"/>
    <x v="2"/>
    <d v="2025-07-07T00:00:00"/>
    <n v="150"/>
    <d v="2025-08-01T00:00:00"/>
  </r>
  <r>
    <s v="Taslimah Toorabally"/>
    <s v="No12 Starlane, off Sainte Marie Street, Sainte Croix, Port Louis"/>
    <s v="Port Louis"/>
    <x v="153"/>
    <n v="57547595"/>
    <s v="Nab-Makeup"/>
    <x v="2"/>
    <s v="Cancelled"/>
    <n v="150"/>
    <m/>
  </r>
  <r>
    <s v="Purnima Bowanee"/>
    <s v="19 Diego Garcia Street, Plaine Verte, Port-Louis"/>
    <s v="Plaine Verte"/>
    <x v="153"/>
    <n v="58136570"/>
    <s v="Nab-Makeup"/>
    <x v="24"/>
    <d v="2025-07-10T00:00:00"/>
    <n v="150"/>
    <d v="2025-08-01T00:00:00"/>
  </r>
  <r>
    <s v="Raawiyah Sunkur"/>
    <s v="34 Maharatta Street, Port-Louis"/>
    <s v="Port Louis"/>
    <x v="153"/>
    <n v="58339743"/>
    <s v="Nab-Makeup"/>
    <x v="24"/>
    <d v="2025-07-10T00:00:00"/>
    <n v="150"/>
    <d v="2025-08-01T00:00:00"/>
  </r>
  <r>
    <s v="Reshni Sukkha"/>
    <s v="IQ EQ, 33 Edith Cavell Street, Port Louis"/>
    <s v="Port Louis"/>
    <x v="153"/>
    <n v="59235230"/>
    <s v="Nab-Makeup"/>
    <x v="24"/>
    <d v="2025-07-10T00:00:00"/>
    <n v="150"/>
    <d v="2025-08-01T00:00:00"/>
  </r>
  <r>
    <s v="Ashwini Sohan"/>
    <s v="9 Rubinstein Street, Residences Vallijee, Port Louis"/>
    <s v="Port Louis"/>
    <x v="153"/>
    <n v="57961308"/>
    <s v="Nab-Makeup"/>
    <x v="24"/>
    <d v="2025-07-14T00:00:00"/>
    <n v="150"/>
    <d v="2025-08-01T00:00:00"/>
  </r>
  <r>
    <s v="Nalli Saudhoo"/>
    <s v="Block A1, Indian Lane, Cite Martial, Port Louis"/>
    <s v="Port Louis"/>
    <x v="153"/>
    <n v="57911286"/>
    <s v="Nab-Makeup"/>
    <x v="21"/>
    <d v="2025-07-14T00:00:00"/>
    <n v="150"/>
    <d v="2025-08-01T00:00:00"/>
  </r>
  <r>
    <s v="Farhanaaz Remodkhan"/>
    <s v="22 Edward Street, Valley Pitot, Port Louis"/>
    <s v="Port Louis"/>
    <x v="153"/>
    <n v="57581578"/>
    <s v="Nab-Makeup"/>
    <x v="21"/>
    <d v="2025-07-14T00:00:00"/>
    <n v="150"/>
    <d v="2025-08-01T00:00:00"/>
  </r>
  <r>
    <s v="Shahana Ponnan"/>
    <s v="SBM Tower, Place D'Armes, Port Louis"/>
    <s v="Port Louis"/>
    <x v="153"/>
    <n v="57865159"/>
    <s v="Nab-Makeup"/>
    <x v="3"/>
    <d v="2025-07-21T00:00:00"/>
    <n v="150"/>
    <d v="2025-08-01T00:00:00"/>
  </r>
  <r>
    <s v="Hajrah Neeroo"/>
    <s v="41, Paul Taureau Street, Port Louis"/>
    <s v="Port Louis"/>
    <x v="153"/>
    <n v="59396749"/>
    <s v="Nab-Makeup"/>
    <x v="3"/>
    <d v="2025-07-24T00:00:00"/>
    <n v="150"/>
    <d v="2025-08-01T00:00:00"/>
  </r>
  <r>
    <s v="Vyaporee"/>
    <s v="Vis a vis sbm,Royal Road, Port Louis"/>
    <s v="Port Louis"/>
    <x v="153"/>
    <n v="58255155"/>
    <s v="Little Star Boutique"/>
    <x v="72"/>
    <d v="2025-07-24T00:00:00"/>
    <n v="150"/>
    <d v="2025-08-01T00:00:00"/>
  </r>
  <r>
    <s v="Yusraa Meeajun"/>
    <s v="block s6 - flat, Cite Martial  Port - Louis"/>
    <s v="Port Louis"/>
    <x v="153"/>
    <n v="59751360"/>
    <s v="Luxe Miniatures"/>
    <x v="72"/>
    <d v="2025-07-21T00:00:00"/>
    <n v="150"/>
    <d v="2025-08-01T00:00:00"/>
  </r>
  <r>
    <s v="Fateema Haadiyah Heerah"/>
    <s v="10, Frere Felix de Valois Street, Champ de Mars, ESSAR Building, Port Louis"/>
    <s v="Port Louis"/>
    <x v="153"/>
    <n v="57124722"/>
    <s v="Nab-Makeup"/>
    <x v="32"/>
    <d v="2025-07-24T00:00:00"/>
    <n v="150"/>
    <d v="2025-08-01T00:00:00"/>
  </r>
  <r>
    <s v="Andrew Wan Kut Kai"/>
    <s v="9-15 Sir William Newton Street, 8th Floor, MCB Head Office, Port Louis"/>
    <s v="Port Louis"/>
    <x v="153"/>
    <n v="57671165"/>
    <s v="Nab-Makeup"/>
    <x v="32"/>
    <d v="2025-07-24T00:00:00"/>
    <n v="150"/>
    <d v="2025-08-01T00:00:00"/>
  </r>
  <r>
    <s v="Nadia"/>
    <s v="53 Karikal, Plaine Verte"/>
    <s v="Plaine Verte"/>
    <x v="153"/>
    <n v="59208713"/>
    <s v="Little Star Boutique"/>
    <x v="43"/>
    <d v="2025-07-24T00:00:00"/>
    <n v="150"/>
    <d v="2025-08-01T00:00:00"/>
  </r>
  <r>
    <s v="Raina Lutchman"/>
    <s v="Jeetoo Hospital"/>
    <s v="Port Louis"/>
    <x v="153"/>
    <n v="55003947"/>
    <s v="OKASINA"/>
    <x v="32"/>
    <d v="2025-07-24T00:00:00"/>
    <n v="150"/>
    <d v="2025-08-01T00:00:00"/>
  </r>
  <r>
    <s v="Nazia Shaheen Sumodhee"/>
    <s v="4, Rue Canal"/>
    <s v="Port Louis, Mauritius"/>
    <x v="153"/>
    <n v="58079670"/>
    <s v="Nab-Makeup"/>
    <x v="33"/>
    <d v="2025-07-28T00:00:00"/>
    <n v="150"/>
    <d v="2025-08-01T00:00:00"/>
  </r>
  <r>
    <s v="Naairah Cadersaib"/>
    <s v="76, Arsenal Street"/>
    <s v="Port Louis, Mauritius"/>
    <x v="153"/>
    <n v="59448908"/>
    <s v="Nab-Makeup"/>
    <x v="33"/>
    <d v="2025-07-28T00:00:00"/>
    <n v="150"/>
    <d v="2025-08-01T00:00:00"/>
  </r>
  <r>
    <s v="Koresha Oojageer"/>
    <s v="8 Champ de lort Street, Port Louis"/>
    <s v="Port Louis"/>
    <x v="153"/>
    <n v="57222051"/>
    <s v="Little Star Boutique"/>
    <x v="4"/>
    <d v="2025-07-31T00:00:00"/>
    <n v="150"/>
    <d v="2025-08-01T00:00:00"/>
  </r>
  <r>
    <s v="Seena Seburuth"/>
    <s v="SBM Tower, Place D'Armes, Port Louis"/>
    <s v="Port Louis"/>
    <x v="153"/>
    <n v="57081703"/>
    <s v="Nab-Makeup"/>
    <x v="0"/>
    <d v="2025-07-31T00:00:00"/>
    <n v="150"/>
    <d v="2025-08-01T00:00:00"/>
  </r>
  <r>
    <s v="Preeya Dassaye"/>
    <s v="Victoria House, Port Louis"/>
    <s v="Port Louis"/>
    <x v="153"/>
    <n v="57794769"/>
    <s v="OKASINA"/>
    <x v="0"/>
    <d v="2025-07-31T00:00:00"/>
    <n v="150"/>
    <d v="2025-08-01T00:00:00"/>
  </r>
  <r>
    <s v="Azhar"/>
    <s v="Plaine Verte"/>
    <s v="Port Louis"/>
    <x v="153"/>
    <n v="57380654"/>
    <s v="Glow And Aura"/>
    <x v="4"/>
    <d v="2025-08-05T00:00:00"/>
    <n v="150"/>
    <m/>
  </r>
  <r>
    <s v="Mme Rajabalee"/>
    <s v="4, Paliaca, Port Louis"/>
    <s v="Port Louis"/>
    <x v="153"/>
    <n v="52503432"/>
    <s v="Glow And Aura"/>
    <x v="4"/>
    <d v="2025-07-31T00:00:00"/>
    <n v="150"/>
    <d v="2025-08-01T00:00:00"/>
  </r>
  <r>
    <s v="Britany"/>
    <s v="Rue Bourbon, behind bazar Adamson, Port Louis"/>
    <s v="Port Louis"/>
    <x v="153"/>
    <n v="57996202"/>
    <s v="Nab-Makeup"/>
    <x v="6"/>
    <d v="2025-08-05T00:00:00"/>
    <n v="150"/>
    <m/>
  </r>
  <r>
    <s v="Anishta Doorga"/>
    <s v="3 Prince Alfred Street, Tranquebar"/>
    <s v="Tranquebar"/>
    <x v="153"/>
    <n v="58381496"/>
    <s v="Nab-Makeup"/>
    <x v="6"/>
    <d v="2025-08-05T00:00:00"/>
    <n v="150"/>
    <m/>
  </r>
  <r>
    <s v="Hajrah Neeroo"/>
    <s v="41 Paul Taureau, Port Louis"/>
    <s v="Port Louis"/>
    <x v="153"/>
    <n v="58051075"/>
    <s v="Nab-Makeup"/>
    <x v="6"/>
    <d v="2025-08-05T00:00:00"/>
    <n v="150"/>
    <m/>
  </r>
  <r>
    <s v="RAJINI"/>
    <s v="Vallee Des Pretres"/>
    <s v="Port Louis"/>
    <x v="153"/>
    <n v="57040969"/>
    <s v="Vibezone Boutik"/>
    <x v="44"/>
    <d v="2025-08-05T00:00:00"/>
    <n v="150"/>
    <m/>
  </r>
  <r>
    <s v="Bilkiss Deemahomed"/>
    <s v="Vallee Des Pretres"/>
    <s v="Port Louis"/>
    <x v="153"/>
    <n v="58155863"/>
    <s v="Little Star Boutique"/>
    <x v="44"/>
    <d v="2025-08-05T00:00:00"/>
    <n v="150"/>
    <m/>
  </r>
  <r>
    <s v="Raawiyah Sunkur"/>
    <s v="34 Maharatta Street, Port Louis, Mauritius"/>
    <s v="Port Louis"/>
    <x v="153"/>
    <n v="58339743"/>
    <s v="Nab-Makeup"/>
    <x v="22"/>
    <d v="2025-08-07T00:00:00"/>
    <n v="150"/>
    <m/>
  </r>
  <r>
    <s v="Faezah Nauzeer"/>
    <s v="26, Impasse Gorah Issac, Port Louis"/>
    <s v="Port Louis"/>
    <x v="153"/>
    <n v="58384830"/>
    <s v="OKASINA"/>
    <x v="34"/>
    <d v="2025-08-15T00:00:00"/>
    <n v="150"/>
    <m/>
  </r>
  <r>
    <s v="Mrs Hansa"/>
    <s v="Remy Ollier St. Port Louis (Newton Tower bldg parking side)"/>
    <s v="Port Louis"/>
    <x v="153"/>
    <n v="57751893"/>
    <s v="Timeless Trends"/>
    <x v="48"/>
    <d v="2025-08-22T00:00:00"/>
    <n v="150"/>
    <m/>
  </r>
  <r>
    <s v="Vyaporee"/>
    <s v="Vis a Vis SBM, Port louis"/>
    <s v="Port Louis"/>
    <x v="153"/>
    <n v="58255155"/>
    <s v="Little Star Boutique"/>
    <x v="48"/>
    <d v="2025-08-19T00:00:00"/>
    <n v="150"/>
    <m/>
  </r>
  <r>
    <s v="Sophie Herbu"/>
    <s v="4th Floor, Harbour Front Building, Port Louis, Mauritius"/>
    <s v="North"/>
    <x v="153"/>
    <s v="5494 9449"/>
    <s v="Nab-Makeup"/>
    <x v="27"/>
    <d v="2025-08-19T00:00:00"/>
    <n v="150"/>
    <m/>
  </r>
  <r>
    <s v="Shaziah Wozeer"/>
    <s v="95 La Paix Street, Port Louis"/>
    <s v="Port Louis"/>
    <x v="153"/>
    <n v="57349330"/>
    <s v="Nab-Makeup"/>
    <x v="17"/>
    <d v="2025-08-22T00:00:00"/>
    <n v="150"/>
    <m/>
  </r>
  <r>
    <s v="Ameena Ochatoya"/>
    <s v="B3 Arab Lane, Camp Yoloff, Port Louis"/>
    <s v="Port Louis"/>
    <x v="153"/>
    <n v="58029556"/>
    <s v="Nab-Makeup"/>
    <x v="17"/>
    <d v="2025-08-22T00:00:00"/>
    <n v="150"/>
    <m/>
  </r>
  <r>
    <s v="Chaaya Sobhee"/>
    <s v="7a, Mayer Street, Port Louis"/>
    <s v="Port Louis"/>
    <x v="153"/>
    <n v="59157334"/>
    <s v="Nab-Makeup"/>
    <x v="35"/>
    <d v="2025-09-01T00:00:00"/>
    <n v="150"/>
    <m/>
  </r>
  <r>
    <s v="Faezah Nauzeer"/>
    <s v="26, Impasse Gorah Issac, Port Louis"/>
    <s v="Port Louis"/>
    <x v="153"/>
    <n v="58384830"/>
    <s v="OKASINA"/>
    <x v="45"/>
    <d v="2025-09-01T00:00:00"/>
    <n v="150"/>
    <m/>
  </r>
  <r>
    <s v="Shaheerah Sooboa"/>
    <s v="53 Abdool Razack Mohamed Street, Port Louis"/>
    <s v="Port Louis"/>
    <x v="153"/>
    <n v="59019359"/>
    <s v="Nab-Makeup"/>
    <x v="36"/>
    <d v="2025-08-26T00:00:00"/>
    <n v="150"/>
    <m/>
  </r>
  <r>
    <s v="Wardah Gunnoo"/>
    <s v="60 La Paix Street, Port Louis"/>
    <s v="Port Louis"/>
    <x v="153"/>
    <n v="57845153"/>
    <s v="Nab-Makeup"/>
    <x v="36"/>
    <d v="2025-08-26T00:00:00"/>
    <n v="150"/>
    <m/>
  </r>
  <r>
    <s v="Preety Woosye"/>
    <s v="Dr Edgar Millien Govt School, Souillac Street, La Butte, PL"/>
    <s v="Port Louis"/>
    <x v="153"/>
    <n v="59211851"/>
    <s v="Nab-Makeup"/>
    <x v="36"/>
    <d v="2025-08-26T00:00:00"/>
    <n v="150"/>
    <m/>
  </r>
  <r>
    <s v="Jasbeer Abdool"/>
    <s v="New Trunk Road, Plaine Lauzun, Port Louis"/>
    <s v="Port Louis"/>
    <x v="153"/>
    <n v="58148400"/>
    <s v="OKASINA"/>
    <x v="36"/>
    <d v="2025-08-26T00:00:00"/>
    <n v="150"/>
    <m/>
  </r>
  <r>
    <s v="Amirah Nain"/>
    <s v="Port Louis: Morning – Dispensaire Vallée des Prêtres (until 11:30) Afternoon – Dispensaire Bouloux, Cassis"/>
    <s v="Port Louis / Cassis"/>
    <x v="154"/>
    <n v="57970856"/>
    <s v="Azzah Boutique"/>
    <x v="63"/>
    <d v="2025-08-22T00:00:00"/>
    <n v="150"/>
    <m/>
  </r>
  <r>
    <s v="Wardah Mahomedally"/>
    <s v="37 Abbe Des Rouledes, Plaine-Verte, Port-Louis, Mauritius"/>
    <s v="Port-Louis"/>
    <x v="155"/>
    <n v="58089108"/>
    <s v="Nab-Makeup"/>
    <x v="22"/>
    <d v="2025-08-07T00:00:00"/>
    <n v="150"/>
    <m/>
  </r>
  <r>
    <s v="Manisha Betchoo"/>
    <s v="Camp Accasia Rd, Poste De Flacq"/>
    <s v="Poste De Flacq"/>
    <x v="156"/>
    <n v="57895098"/>
    <s v="OKASINA"/>
    <x v="6"/>
    <d v="2025-08-05T00:00:00"/>
    <n v="150"/>
    <m/>
  </r>
  <r>
    <s v="Shriya Dheereess"/>
    <s v="P 12 B Chemin la Gare, Poste de Flacq"/>
    <s v="Flacq"/>
    <x v="156"/>
    <n v="57722161"/>
    <s v="Nab-Makeup"/>
    <x v="34"/>
    <d v="2025-08-15T00:00:00"/>
    <n v="150"/>
    <m/>
  </r>
  <r>
    <s v="Radhaluxmee Joggessur"/>
    <s v="Poudre D'Or Hamlet Government School"/>
    <s v="Riviere du Rempart"/>
    <x v="157"/>
    <n v="57567891"/>
    <s v="Nab-Makeup"/>
    <x v="12"/>
    <d v="2025-05-08T00:00:00"/>
    <n v="150"/>
    <d v="2025-06-01T00:00:00"/>
  </r>
  <r>
    <s v="Sumesh Dewdanee"/>
    <s v="Subash Road, Poudre D'Or Hamlet"/>
    <s v="Poudre D'Or Hamlet"/>
    <x v="157"/>
    <s v="57770661, 57523370"/>
    <s v="Nab-Makeup"/>
    <x v="2"/>
    <d v="2025-07-07T00:00:00"/>
    <n v="150"/>
    <d v="2025-08-01T00:00:00"/>
  </r>
  <r>
    <s v="Anoushee Chowdry-Naiko"/>
    <s v="Kalimaye Road, Poudre D'or Hamlet"/>
    <s v="Poudre D'or Hamlet"/>
    <x v="157"/>
    <n v="58031381"/>
    <s v="Nab-Makeup"/>
    <x v="39"/>
    <d v="2025-07-17T00:00:00"/>
    <n v="150"/>
    <d v="2025-08-01T00:00:00"/>
  </r>
  <r>
    <s v="NORMELA - NABIIHAH - May's Shop"/>
    <s v="QBORNES, Mauritius"/>
    <s v="QBORNES, Mauritius"/>
    <x v="158"/>
    <n v="59495016"/>
    <s v="NABIIHAH - May's Shop"/>
    <x v="7"/>
    <d v="2025-08-29T00:00:00"/>
    <n v="100"/>
    <m/>
  </r>
  <r>
    <s v="NAWMEE - NABIIHAH - May's Shop"/>
    <s v="QBORNES, Mauritius"/>
    <s v="QBORNES, Mauritius"/>
    <x v="158"/>
    <n v="59230524"/>
    <s v="NABIIHAH - May's Shop"/>
    <x v="7"/>
    <s v="Cancelled"/>
    <n v="100"/>
    <m/>
  </r>
  <r>
    <s v="Bhavisha Padaruth"/>
    <s v="Providence, Quartier Militaire"/>
    <s v="Central"/>
    <x v="159"/>
    <n v="57018245"/>
    <s v="Nab-Makeup"/>
    <x v="46"/>
    <d v="2025-04-14T00:00:00"/>
    <n v="150"/>
    <d v="2025-05-04T00:00:00"/>
  </r>
  <r>
    <s v="Hiswaree Ramloll"/>
    <s v="Paul et Virginie street, Lesperance, Quartier Militaire"/>
    <s v="Central"/>
    <x v="159"/>
    <n v="57743751"/>
    <s v="Nab-Makeup"/>
    <x v="40"/>
    <d v="2025-04-28T00:00:00"/>
    <n v="150"/>
    <d v="2025-05-04T00:00:00"/>
  </r>
  <r>
    <s v="Neha Sohabul"/>
    <s v="Temple Road, Quartier Militaire"/>
    <s v="Central"/>
    <x v="159"/>
    <n v="57771164"/>
    <s v="Nab-Makeup"/>
    <x v="40"/>
    <d v="2025-04-28T00:00:00"/>
    <n v="150"/>
    <d v="2025-05-04T00:00:00"/>
  </r>
  <r>
    <s v="Taniya Ashika Latouche"/>
    <s v="Providence, Quartier Militaire"/>
    <s v="Central"/>
    <x v="159"/>
    <n v="57144639"/>
    <s v="Nab-Makeup"/>
    <x v="40"/>
    <d v="2025-05-01T00:00:00"/>
    <n v="150"/>
    <d v="2025-05-04T00:00:00"/>
  </r>
  <r>
    <s v="Jaya Nunkoo"/>
    <s v="Seesunkur Road, Quartier Militaire"/>
    <s v="Central"/>
    <x v="159"/>
    <n v="57967785"/>
    <s v="OKASINA"/>
    <x v="8"/>
    <d v="2025-05-01T00:00:00"/>
    <n v="150"/>
    <d v="2025-05-04T00:00:00"/>
  </r>
  <r>
    <s v="Hiswaree Ramloll"/>
    <s v="Paul et Virginie Street, L'Esperance, Quartier Militaire"/>
    <s v="Moka"/>
    <x v="159"/>
    <n v="57743751"/>
    <s v="Nab-Makeup"/>
    <x v="12"/>
    <d v="2025-05-08T00:00:00"/>
    <n v="150"/>
    <d v="2025-06-01T00:00:00"/>
  </r>
  <r>
    <s v="Husaifah Bukurally"/>
    <s v="Shivala Road, Providence, Quartier Militaire"/>
    <s v="Moka"/>
    <x v="159"/>
    <n v="58356258"/>
    <s v="Nab-Makeup"/>
    <x v="50"/>
    <d v="2025-05-15T00:00:00"/>
    <n v="150"/>
    <d v="2025-06-01T00:00:00"/>
  </r>
  <r>
    <s v="Cheekhooree Rina"/>
    <s v="RCA Leon, School Lane, Quartier Militaire (Golden Care Home)"/>
    <s v="Moka"/>
    <x v="159"/>
    <n v="57984707"/>
    <s v="Nab-Makeup"/>
    <x v="30"/>
    <d v="2025-05-19T00:00:00"/>
    <n v="150"/>
    <d v="2025-06-01T00:00:00"/>
  </r>
  <r>
    <s v="Husaifah Bukurally"/>
    <s v="Shivala Road, Providence, Quartier Militaire"/>
    <s v="Moka"/>
    <x v="159"/>
    <n v="58356258"/>
    <s v="Nab-Makeup"/>
    <x v="23"/>
    <d v="2025-05-22T00:00:00"/>
    <n v="150"/>
    <d v="2025-06-01T00:00:00"/>
  </r>
  <r>
    <s v="Latouche Cheshta Jessica"/>
    <s v="Temple Road, Providence, Quartier Militaire"/>
    <s v="Moka"/>
    <x v="159"/>
    <s v="58325352 / 57144639"/>
    <s v="Nab-Makeup"/>
    <x v="20"/>
    <d v="2025-05-29T00:00:00"/>
    <n v="150"/>
    <d v="2025-06-01T00:00:00"/>
  </r>
  <r>
    <s v="Neha Sohabul"/>
    <s v="Temple Road, Quartier Militaire"/>
    <s v="Moka"/>
    <x v="159"/>
    <n v="57771164"/>
    <s v="Nab-Makeup"/>
    <x v="20"/>
    <d v="2025-05-29T00:00:00"/>
    <n v="150"/>
    <d v="2025-06-01T00:00:00"/>
  </r>
  <r>
    <s v="Usha"/>
    <s v="Quartiere Militaire"/>
    <s v="Quartiere Militaire"/>
    <x v="159"/>
    <n v="57375387"/>
    <s v="Glow And Aura"/>
    <x v="54"/>
    <d v="2025-06-05T00:00:00"/>
    <n v="75"/>
    <d v="2025-07-02T00:00:00"/>
  </r>
  <r>
    <s v="Taniya Ashika Latouche"/>
    <s v="Temple Road, Providence, Quartier Militaire"/>
    <s v="Quartier Militaire"/>
    <x v="159"/>
    <n v="57144639"/>
    <s v="Nab-Makeup"/>
    <x v="24"/>
    <d v="2025-07-10T00:00:00"/>
    <n v="150"/>
    <d v="2025-08-01T00:00:00"/>
  </r>
  <r>
    <s v="Yeshna Daliah"/>
    <s v="5 Alphonse Ravaton, Quartier Militaire"/>
    <s v="Quartier Militaire"/>
    <x v="159"/>
    <n v="59339423"/>
    <s v="Nab-Makeup"/>
    <x v="24"/>
    <d v="2025-07-10T00:00:00"/>
    <n v="150"/>
    <d v="2025-08-01T00:00:00"/>
  </r>
  <r>
    <s v="Helina Moopliah"/>
    <s v="Bonne Veine Road, Quartier Militaire"/>
    <s v="Quartier Militaire"/>
    <x v="159"/>
    <n v="57933212"/>
    <s v="Nab-Makeup"/>
    <x v="24"/>
    <d v="2025-07-10T00:00:00"/>
    <n v="150"/>
    <d v="2025-08-01T00:00:00"/>
  </r>
  <r>
    <s v="Urvashi Rangan"/>
    <s v="Vela Murugan Avenue, La Source, Quatre-Bornes"/>
    <s v="Quatre-Bornes"/>
    <x v="159"/>
    <n v="57049936"/>
    <s v="Nab-Makeup"/>
    <x v="39"/>
    <d v="2025-07-17T00:00:00"/>
    <n v="150"/>
    <d v="2025-08-01T00:00:00"/>
  </r>
  <r>
    <s v="Anastasia Soobiah"/>
    <s v="B87 RÃ©sidence St-Jean, Quatre-Bornes"/>
    <s v="Quatre-Bornes"/>
    <x v="159"/>
    <n v="57715392"/>
    <s v="Nab-Makeup"/>
    <x v="39"/>
    <d v="2025-07-17T00:00:00"/>
    <n v="150"/>
    <d v="2025-08-01T00:00:00"/>
  </r>
  <r>
    <s v="Natasha Seegobin"/>
    <s v="18 Avenue Malartic, Quatre-Bornes"/>
    <s v="Quatre-Bornes"/>
    <x v="159"/>
    <n v="59081694"/>
    <s v="Nab-Makeup"/>
    <x v="39"/>
    <d v="2025-07-17T00:00:00"/>
    <n v="150"/>
    <d v="2025-08-01T00:00:00"/>
  </r>
  <r>
    <s v="Yashni Beetalah"/>
    <s v="10 Route Bassin, Quatre-Bornes"/>
    <s v="Quatre-Bornes"/>
    <x v="159"/>
    <n v="57850366"/>
    <s v="Nab-Makeup"/>
    <x v="39"/>
    <d v="2025-07-17T00:00:00"/>
    <n v="150"/>
    <d v="2025-08-01T00:00:00"/>
  </r>
  <r>
    <s v="Agathe Annise"/>
    <s v="Gaby Lane, Palma Road, Quatre-Bornes"/>
    <s v="Quatre-Bornes"/>
    <x v="159"/>
    <n v="57455252"/>
    <s v="Nab-Makeup"/>
    <x v="39"/>
    <d v="2025-07-17T00:00:00"/>
    <n v="150"/>
    <d v="2025-08-01T00:00:00"/>
  </r>
  <r>
    <s v="Ravina Bungari"/>
    <s v="22, Palma Road, Quatre-Bornes"/>
    <s v="Quatre-Bornes"/>
    <x v="159"/>
    <n v="59366000"/>
    <s v="Nab-Makeup"/>
    <x v="32"/>
    <d v="2025-07-24T00:00:00"/>
    <n v="150"/>
    <d v="2025-08-01T00:00:00"/>
  </r>
  <r>
    <s v="AFSHA - NABIIHAH - May's Shop"/>
    <s v="QUARTIER MILITAIRE, Mauritius"/>
    <s v="QUARTIER MILITAIRE, Mauritius"/>
    <x v="159"/>
    <n v="57716080"/>
    <s v="NABIIHAH - May's Shop"/>
    <x v="7"/>
    <d v="2025-09-01T00:00:00"/>
    <n v="100"/>
    <m/>
  </r>
  <r>
    <s v="Tanushree Dowlut-Gopaul"/>
    <s v="Sharp Shooter Lane, Mgr Leen Avenue, Bassin"/>
    <s v="Bassin"/>
    <x v="160"/>
    <n v="57041543"/>
    <s v="Nab-Makeup"/>
    <x v="35"/>
    <d v="2025-08-29T00:00:00"/>
    <n v="150"/>
    <m/>
  </r>
  <r>
    <s v="Dharshinee Narayanan"/>
    <s v="17 Belle Rose Avenue, Quatre Bornes"/>
    <s v="Plaines Wilhems"/>
    <x v="160"/>
    <n v="57965413"/>
    <s v="Nab-Makeup"/>
    <x v="46"/>
    <d v="2025-04-14T00:00:00"/>
    <n v="150"/>
    <d v="2025-05-04T00:00:00"/>
  </r>
  <r>
    <s v="Yeshnee Bye Rama Ramchurrun"/>
    <s v="11 Western Boundary, Quatre Bornes"/>
    <s v="Plaines Wilhems"/>
    <x v="160"/>
    <n v="57095798"/>
    <s v="Nab-Makeup"/>
    <x v="46"/>
    <d v="2025-04-14T00:00:00"/>
    <n v="150"/>
    <d v="2025-05-04T00:00:00"/>
  </r>
  <r>
    <s v="Suhailah Mandary"/>
    <s v="50 Avenue Le Conte de Lisle"/>
    <s v="Plaines Wilhems"/>
    <x v="160"/>
    <n v="57816878"/>
    <s v="Nab-Makeup"/>
    <x v="18"/>
    <d v="2025-04-17T00:00:00"/>
    <n v="150"/>
    <d v="2025-05-04T00:00:00"/>
  </r>
  <r>
    <s v="Yana Engutsamy"/>
    <s v="301, avenue ollier"/>
    <s v="Plaines Wilhems"/>
    <x v="160"/>
    <n v="57757310"/>
    <s v="Nab-Makeup"/>
    <x v="18"/>
    <d v="2025-04-17T00:00:00"/>
    <n v="150"/>
    <d v="2025-05-04T00:00:00"/>
  </r>
  <r>
    <s v="Roopashnee Dhotah"/>
    <s v="88, Palma Road Quatre-Bornes"/>
    <s v="Plaines Wilhems"/>
    <x v="160"/>
    <n v="57864289"/>
    <s v="Nab-Makeup"/>
    <x v="25"/>
    <d v="2025-04-21T00:00:00"/>
    <n v="150"/>
    <d v="2025-05-04T00:00:00"/>
  </r>
  <r>
    <s v="Sameea Ghanty"/>
    <s v="Gunny Lane, Avenue Belle Rose, Quatre Bornes"/>
    <s v="Plaines Wilhems"/>
    <x v="160"/>
    <s v="54284665 / 57114550"/>
    <s v="Nab-Makeup"/>
    <x v="25"/>
    <d v="2025-04-21T00:00:00"/>
    <n v="150"/>
    <d v="2025-05-04T00:00:00"/>
  </r>
  <r>
    <s v="Juwayia Peerbux"/>
    <s v="5 Avenue La Louise, Quatre Bornes"/>
    <s v="Plaines Wilhems"/>
    <x v="160"/>
    <n v="57986302"/>
    <s v="Nab-Makeup"/>
    <x v="26"/>
    <d v="2025-04-24T00:00:00"/>
    <n v="150"/>
    <d v="2025-05-04T00:00:00"/>
  </r>
  <r>
    <s v="Neha Beeharry"/>
    <s v="14 Avenue Yang Ylang"/>
    <s v="Plaines Wilhems"/>
    <x v="160"/>
    <n v="59120596"/>
    <s v="OKASINA"/>
    <x v="26"/>
    <d v="2025-04-24T00:00:00"/>
    <n v="150"/>
    <d v="2025-05-04T00:00:00"/>
  </r>
  <r>
    <s v="Yashni Beetalah"/>
    <s v="10 Route Bassin Quatre Bornes"/>
    <s v="Plaines Wilhems"/>
    <x v="160"/>
    <n v="57850366"/>
    <s v="Nab-Makeup"/>
    <x v="8"/>
    <d v="2025-05-01T00:00:00"/>
    <n v="150"/>
    <d v="2025-05-04T00:00:00"/>
  </r>
  <r>
    <s v="Jeshna Ittoo"/>
    <s v="Palma Rd, Quatre-Bornes(Depending On Delivery Day)"/>
    <s v="Plaines Wilhems"/>
    <x v="160"/>
    <n v="59166177"/>
    <s v="Nab-Makeup"/>
    <x v="8"/>
    <d v="2025-05-01T00:00:00"/>
    <n v="150"/>
    <d v="2025-05-04T00:00:00"/>
  </r>
  <r>
    <s v="Appadoo Vanishta"/>
    <s v="48 Avenue Telfair, Quatre Bornes"/>
    <s v="Plaines Wilhems"/>
    <x v="160"/>
    <n v="59038642"/>
    <s v="Nab-Makeup"/>
    <x v="28"/>
    <d v="2025-05-01T00:00:00"/>
    <n v="150"/>
    <d v="2025-05-04T00:00:00"/>
  </r>
  <r>
    <s v="Yashni Beetalah"/>
    <s v="10 Route Bassin, Quatre Bornes"/>
    <s v="Plaines Wilhems"/>
    <x v="160"/>
    <n v="57850366"/>
    <s v="Nab-Makeup"/>
    <x v="49"/>
    <d v="2025-05-05T00:00:00"/>
    <n v="150"/>
    <d v="2025-06-01T00:00:00"/>
  </r>
  <r>
    <s v="Kelly Li Shing Cheong"/>
    <s v="219 Avenue Mgr Leen, Bassin, Quatre Bornes"/>
    <s v="Plaines Wilhems"/>
    <x v="160"/>
    <n v="57018344"/>
    <s v="Nab-Makeup"/>
    <x v="12"/>
    <d v="2025-05-08T00:00:00"/>
    <n v="150"/>
    <d v="2025-06-01T00:00:00"/>
  </r>
  <r>
    <s v="Gajadar Preeshani"/>
    <s v="Avenue la forge, Palma, Quatre Bornes"/>
    <s v="Plaines Wilhems"/>
    <x v="160"/>
    <n v="57536446"/>
    <s v="Nab-Makeup"/>
    <x v="12"/>
    <d v="2025-05-08T00:00:00"/>
    <n v="150"/>
    <d v="2025-06-01T00:00:00"/>
  </r>
  <r>
    <s v="Dhanishta Daliah"/>
    <s v="6, Avenue Doyen, Quatre Bornes"/>
    <s v="Plaines Wilhems"/>
    <x v="160"/>
    <n v="57481259"/>
    <s v="Nab-Makeup"/>
    <x v="12"/>
    <d v="2025-05-08T00:00:00"/>
    <n v="150"/>
    <d v="2025-06-01T00:00:00"/>
  </r>
  <r>
    <s v="Dushina Yelligadu"/>
    <s v="Rotin 2, La Source, Quatre Bornes"/>
    <s v="Plaines Wilhems"/>
    <x v="160"/>
    <n v="58042521"/>
    <s v="OKASINA"/>
    <x v="12"/>
    <d v="2025-05-08T00:00:00"/>
    <n v="150"/>
    <d v="2025-06-01T00:00:00"/>
  </r>
  <r>
    <s v="Nyasha Ngorima"/>
    <s v="104B Avenue Trianon 2, Quatre Bornes"/>
    <s v="Plaines Wilhems"/>
    <x v="160"/>
    <n v="57876037"/>
    <s v="Nab-Makeup"/>
    <x v="29"/>
    <d v="2025-05-12T00:00:00"/>
    <n v="150"/>
    <d v="2025-06-01T00:00:00"/>
  </r>
  <r>
    <s v="Sanjana Ramlugun"/>
    <s v="55 Avenue des Ibis, Sodnac, Quatre-Bornes"/>
    <s v="Plaines Wilhems"/>
    <x v="160"/>
    <n v="59847654"/>
    <s v="Nab-Makeup"/>
    <x v="29"/>
    <d v="2025-05-12T00:00:00"/>
    <n v="150"/>
    <d v="2025-06-01T00:00:00"/>
  </r>
  <r>
    <s v="Darrenee Payen"/>
    <s v="39 Cambridge Lane, Ollier, Quatre Bornes"/>
    <s v="Plaines Wilhems"/>
    <x v="160"/>
    <n v="59847082"/>
    <s v="Nab-Makeup"/>
    <x v="50"/>
    <d v="2025-05-19T00:00:00"/>
    <n v="150"/>
    <d v="2025-06-01T00:00:00"/>
  </r>
  <r>
    <s v="Elisha Dowlutta"/>
    <s v="Bissessur Lane, Palma, Quatre Bornes"/>
    <s v="Plaines Wilhems"/>
    <x v="160"/>
    <n v="58161626"/>
    <s v="Nab-Makeup"/>
    <x v="30"/>
    <d v="2025-05-19T00:00:00"/>
    <n v="150"/>
    <d v="2025-06-01T00:00:00"/>
  </r>
  <r>
    <s v="Aarti Babajee"/>
    <s v="34 Avenue Ylang Ylang, Quatre Bornes"/>
    <s v="Plaines Wilhems"/>
    <x v="160"/>
    <n v="57893397"/>
    <s v="OKASINA"/>
    <x v="38"/>
    <d v="2025-05-26T00:00:00"/>
    <n v="150"/>
    <d v="2025-06-01T00:00:00"/>
  </r>
  <r>
    <s v="Neha Beeharry"/>
    <s v="14 Avenue Yang Ylang"/>
    <s v="Plaines Wilhems"/>
    <x v="160"/>
    <n v="59120596"/>
    <s v="OKASINA"/>
    <x v="38"/>
    <d v="2025-05-26T00:00:00"/>
    <n v="150"/>
    <d v="2025-06-01T00:00:00"/>
  </r>
  <r>
    <s v="Varsha Luchoo"/>
    <s v="Jaylall Lane, Avenue Berthaud, Quatre Bornes"/>
    <s v="Plaines Wilhems"/>
    <x v="160"/>
    <n v="57852775"/>
    <s v="OKASINA"/>
    <x v="38"/>
    <d v="2025-05-26T00:00:00"/>
    <n v="150"/>
    <d v="2025-06-01T00:00:00"/>
  </r>
  <r>
    <s v="Kamila Stesy Arekion"/>
    <s v="216, Avenue Ollier, Quatres Bornes"/>
    <s v="Plaines Wilhems"/>
    <x v="160"/>
    <n v="58195974"/>
    <s v="Timeless Trends"/>
    <x v="61"/>
    <d v="2025-05-26T00:00:00"/>
    <n v="75"/>
    <d v="2025-06-01T00:00:00"/>
  </r>
  <r>
    <s v="Linda Armandine "/>
    <s v="C4, AVENUE DIGNITÉ, RES. KENNEDY, QUATRE BORNES"/>
    <s v="Plaines Wilhems"/>
    <x v="160"/>
    <n v="59053648"/>
    <s v="Timeless Trends"/>
    <x v="61"/>
    <d v="2025-05-29T00:00:00"/>
    <n v="75"/>
    <d v="2025-06-01T00:00:00"/>
  </r>
  <r>
    <s v="Varsha Luchoo"/>
    <s v="Jaylall Lane, Avenue Berthaud, Quatre Bornes"/>
    <s v="Plaines Wilhems"/>
    <x v="160"/>
    <n v="57852775"/>
    <s v="OKASINA"/>
    <x v="20"/>
    <d v="2025-05-29T00:00:00"/>
    <n v="150"/>
    <d v="2025-06-01T00:00:00"/>
  </r>
  <r>
    <s v="Yuktee Gopaul"/>
    <s v="7 Bernardin de St Pierre Avenue, Quatre Bornes 72350"/>
    <s v="Plaines Wilhems"/>
    <x v="160"/>
    <n v="58326513"/>
    <s v="Nab-Makeup"/>
    <x v="13"/>
    <d v="2025-06-05T00:00:00"/>
    <n v="150"/>
    <d v="2025-07-02T00:00:00"/>
  </r>
  <r>
    <s v="Sampreeti Mungur"/>
    <s v="Gaby Lane, Palma, Quatre Bornes"/>
    <s v="Plaines Wilhems"/>
    <x v="160"/>
    <n v="58207040"/>
    <s v="Nab-Makeup"/>
    <x v="13"/>
    <d v="2025-06-05T00:00:00"/>
    <n v="150"/>
    <d v="2025-07-02T00:00:00"/>
  </r>
  <r>
    <s v="Dhunoo Bhagyashree"/>
    <s v="Avenue des Roches, Route Bassin, Quatre Bornes"/>
    <s v="Plaines Wilhems"/>
    <x v="160"/>
    <n v="58222874"/>
    <s v="Nab-Makeup"/>
    <x v="1"/>
    <d v="2025-06-09T00:00:00"/>
    <n v="150"/>
    <d v="2025-07-02T00:00:00"/>
  </r>
  <r>
    <s v="Lotun Shareefah"/>
    <s v="10 Avenue Bernardin de St Pierre, Quatre Bornes"/>
    <s v="Plaines Wilhems"/>
    <x v="160"/>
    <n v="57868386"/>
    <s v="Nab-Makeup"/>
    <x v="1"/>
    <d v="2025-06-09T00:00:00"/>
    <n v="150"/>
    <d v="2025-07-02T00:00:00"/>
  </r>
  <r>
    <s v="Merry Paula Mesghna"/>
    <s v="Koosseal Lane, Bassin Road, Quatre Bornes"/>
    <s v="Plaines Wilhems"/>
    <x v="160"/>
    <n v="58165100"/>
    <s v="Nab-Makeup"/>
    <x v="1"/>
    <d v="2025-06-09T00:00:00"/>
    <n v="150"/>
    <d v="2025-07-02T00:00:00"/>
  </r>
  <r>
    <s v="Varsha Luchoo"/>
    <s v="Jaylall Lane, Avenue Berthaud, Quatre Bornes"/>
    <s v="Quatre Bornes"/>
    <x v="160"/>
    <n v="57852775"/>
    <s v="OKASINA"/>
    <x v="1"/>
    <d v="2025-06-09T00:00:00"/>
    <n v="150"/>
    <d v="2025-07-02T00:00:00"/>
  </r>
  <r>
    <s v="Ravina Bungari"/>
    <s v="22, Palma Road, Quatre Bornes"/>
    <s v="Quatre Bornes"/>
    <x v="160"/>
    <n v="59366000"/>
    <s v="Nab-Makeup"/>
    <x v="1"/>
    <d v="2025-06-09T00:00:00"/>
    <n v="150"/>
    <d v="2025-07-02T00:00:00"/>
  </r>
  <r>
    <s v="Ashley Ration (C/O)"/>
    <s v="Harrow Lane, Avenue Belle Rose, Quatre Bornes"/>
    <s v="Plaines Wilhems"/>
    <x v="160"/>
    <n v="54949449"/>
    <s v="Nab-Makeup"/>
    <x v="14"/>
    <d v="2025-06-12T00:00:00"/>
    <n v="150"/>
    <d v="2025-07-02T00:00:00"/>
  </r>
  <r>
    <s v="Anita Jhugroo"/>
    <s v="190 Avenue Ollier, Quatre Bornes"/>
    <s v="Plaines Wilhems"/>
    <x v="160"/>
    <n v="58044200"/>
    <s v="OKASINA"/>
    <x v="14"/>
    <d v="2025-06-12T00:00:00"/>
    <n v="150"/>
    <d v="2025-07-02T00:00:00"/>
  </r>
  <r>
    <s v="Noor-E Muazzamah Peerboccus"/>
    <s v="79 Avenue Victoria, Quatre Bornes"/>
    <s v="Plaines Wilhems"/>
    <x v="160"/>
    <n v="58025986"/>
    <s v="Nab-Makeup"/>
    <x v="41"/>
    <d v="2025-06-16T00:00:00"/>
    <n v="150"/>
    <d v="2025-07-02T00:00:00"/>
  </r>
  <r>
    <s v="Kelly Li Shing Cheong"/>
    <s v="219 Avenue Mgr Leen, Bassin, Quatre Bornes"/>
    <s v="Plaines Wilhems"/>
    <x v="160"/>
    <n v="57018344"/>
    <s v="Nab-Makeup"/>
    <x v="15"/>
    <d v="2025-06-20T00:00:00"/>
    <n v="150"/>
    <d v="2025-07-02T00:00:00"/>
  </r>
  <r>
    <s v="Pooja Somai"/>
    <s v="Royal Road, Paillote, Quatre Bornes"/>
    <s v="Plaines Wilhems"/>
    <x v="160"/>
    <n v="58141383"/>
    <s v="Nab-Makeup"/>
    <x v="15"/>
    <d v="2025-06-20T00:00:00"/>
    <n v="150"/>
    <d v="2025-07-02T00:00:00"/>
  </r>
  <r>
    <s v="Tanuja Canhye"/>
    <s v="Appadoo Lane, Bassin Road, Quatre Bornes"/>
    <s v="Plaines Wilhems"/>
    <x v="160"/>
    <n v="57925574"/>
    <s v="Nab-Makeup"/>
    <x v="15"/>
    <d v="2025-06-23T00:00:00"/>
    <n v="150"/>
    <d v="2025-07-02T00:00:00"/>
  </r>
  <r>
    <s v="Teejusvi"/>
    <s v="Quatre Bornes"/>
    <s v="Plaines Wilhems"/>
    <x v="160"/>
    <n v="59655883"/>
    <s v="Glow And Aura"/>
    <x v="62"/>
    <d v="2025-06-20T00:00:00"/>
    <n v="150"/>
    <d v="2025-07-02T00:00:00"/>
  </r>
  <r>
    <s v="Sampreeti Mungur"/>
    <s v="Gaby Lane, Palma, Quatre Bornes"/>
    <s v="Palma"/>
    <x v="160"/>
    <n v="58207040"/>
    <s v="Nab-Makeup"/>
    <x v="10"/>
    <d v="2025-06-23T00:00:00"/>
    <n v="150"/>
    <d v="2025-07-02T00:00:00"/>
  </r>
  <r>
    <s v="Selveena Cundasawmy"/>
    <s v="B41 Avenue Du Travail, Résidence Kennedy, Quatre Bornes"/>
    <s v="Résidence Kennedy"/>
    <x v="160"/>
    <n v="59236447"/>
    <s v="Nab-Makeup"/>
    <x v="10"/>
    <d v="2025-06-23T00:00:00"/>
    <n v="150"/>
    <d v="2025-07-02T00:00:00"/>
  </r>
  <r>
    <s v="Kamila Arekion"/>
    <s v="216 Avenue Ollier"/>
    <s v="Quatre Bornes"/>
    <x v="160"/>
    <n v="58195974"/>
    <s v="Nab-Makeup"/>
    <x v="47"/>
    <d v="2025-06-26T00:00:00"/>
    <n v="150"/>
    <d v="2025-07-02T00:00:00"/>
  </r>
  <r>
    <s v="Juwayia Peerbux"/>
    <s v="Logidealsworldlink, La Louise, Quatre Bornes"/>
    <s v="Plaines Wilhems"/>
    <x v="160"/>
    <n v="57986302"/>
    <s v="Nab-Makeup"/>
    <x v="11"/>
    <d v="2025-06-30T00:00:00"/>
    <n v="150"/>
    <d v="2025-07-02T00:00:00"/>
  </r>
  <r>
    <s v="Varsha Luchoo"/>
    <s v="Jaylall Lane, Avenue Berthaud, Quatre Bornes"/>
    <s v="Quatre Bornes"/>
    <x v="160"/>
    <n v="57852775"/>
    <s v="OKASINA"/>
    <x v="31"/>
    <d v="2025-07-03T00:00:00"/>
    <n v="150"/>
    <d v="2025-08-01T00:00:00"/>
  </r>
  <r>
    <s v="Yashni Beetalah"/>
    <s v="10 Route Bassin, Quatre Bornes, Mauritius"/>
    <s v="Quatre Bornes"/>
    <x v="160"/>
    <n v="57850366"/>
    <s v="Nab-Makeup"/>
    <x v="31"/>
    <d v="2025-07-03T00:00:00"/>
    <n v="150"/>
    <d v="2025-08-01T00:00:00"/>
  </r>
  <r>
    <s v="Yuktee Gopaul"/>
    <s v="MU 7, Avenue Bernardin de St Pierre, Quatre Bornes"/>
    <s v="Quatre Bornes"/>
    <x v="160"/>
    <n v="58326513"/>
    <s v="Nab-Makeup"/>
    <x v="31"/>
    <d v="2025-07-03T00:00:00"/>
    <n v="150"/>
    <d v="2025-08-01T00:00:00"/>
  </r>
  <r>
    <s v="Hasnaa Ahmod"/>
    <s v="Kowlessur Lane, Quatre Bornes"/>
    <s v="Quatre Bornes"/>
    <x v="160"/>
    <n v="58218714"/>
    <s v="Nab-Makeup"/>
    <x v="31"/>
    <d v="2025-07-03T00:00:00"/>
    <n v="150"/>
    <d v="2025-08-01T00:00:00"/>
  </r>
  <r>
    <s v="Maeva Laroy"/>
    <s v="E44 Avenue L'esperance, Residence Kennedy, Quatre Bornes"/>
    <s v="Quatre Bornes"/>
    <x v="160"/>
    <n v="57457509"/>
    <s v="Nab-Makeup"/>
    <x v="2"/>
    <d v="2025-07-07T00:00:00"/>
    <n v="150"/>
    <d v="2025-08-01T00:00:00"/>
  </r>
  <r>
    <s v="Yeshnee Bye Rama Ramchurrun"/>
    <s v="11 Western Boundary, Quatre Bornes"/>
    <s v="Quatre Bornes"/>
    <x v="160"/>
    <n v="57095798"/>
    <s v="Nab-Makeup"/>
    <x v="2"/>
    <d v="2025-07-07T00:00:00"/>
    <n v="150"/>
    <d v="2025-08-01T00:00:00"/>
  </r>
  <r>
    <s v="Deepika Sawaram"/>
    <s v="81a Louvet Avenue, Quatre Bornes"/>
    <s v="Quatre Bornes"/>
    <x v="160"/>
    <n v="58139561"/>
    <s v="OKASINA"/>
    <x v="24"/>
    <d v="2025-07-10T00:00:00"/>
    <n v="150"/>
    <d v="2025-08-01T00:00:00"/>
  </r>
  <r>
    <s v="Mrs Appadoo"/>
    <s v="Nothern Boundary, Quatre Bornes"/>
    <s v="Quatre Bornes"/>
    <x v="160"/>
    <n v="57924946"/>
    <s v="Glow And Aura"/>
    <x v="69"/>
    <d v="2025-07-17T00:00:00"/>
    <n v="150"/>
    <d v="2025-08-01T00:00:00"/>
  </r>
  <r>
    <s v="Neha Beeharry"/>
    <s v="14 Avenue Yang Ylang"/>
    <s v="Plaines Wilhems"/>
    <x v="160"/>
    <n v="59120596"/>
    <s v="OKASINA"/>
    <x v="3"/>
    <d v="2025-07-21T00:00:00"/>
    <n v="150"/>
    <d v="2025-08-01T00:00:00"/>
  </r>
  <r>
    <s v="Disha Mungla"/>
    <s v="Avenue Tulips, Quatre Bornes"/>
    <s v="Quatre Bornes"/>
    <x v="160"/>
    <n v="57030579"/>
    <s v="Little Star Boutique"/>
    <x v="43"/>
    <d v="2025-07-24T00:00:00"/>
    <n v="150"/>
    <d v="2025-08-01T00:00:00"/>
  </r>
  <r>
    <s v="Sameea Ghanty"/>
    <s v="Gunny Lane Avenue, Belle Rose, Quatre Bornes"/>
    <s v="Quatre Bornes"/>
    <x v="160"/>
    <n v="54284660"/>
    <s v="Nab-Makeup"/>
    <x v="6"/>
    <d v="2025-08-04T00:00:00"/>
    <n v="150"/>
    <m/>
  </r>
  <r>
    <s v="Vaibhavi Bhudoye Roopam"/>
    <s v="Route Bassin, Jackson Lane, Quatre Bornes"/>
    <s v="Quatre Bornes"/>
    <x v="160"/>
    <n v="58211264"/>
    <s v="Nab-Makeup"/>
    <x v="44"/>
    <d v="2025-08-05T00:00:00"/>
    <n v="150"/>
    <m/>
  </r>
  <r>
    <s v="Yashni Beetalah"/>
    <s v="10 Route Bassin, Quatre Bornes"/>
    <s v="Quatre Bornes"/>
    <x v="160"/>
    <n v="57850366"/>
    <s v="Nab-Makeup"/>
    <x v="5"/>
    <d v="2025-08-12T00:00:00"/>
    <n v="150"/>
    <m/>
  </r>
  <r>
    <s v="Mrs Beeharry"/>
    <s v="Orchard Centre, Quatre Bornes"/>
    <s v="Quatre Bornes"/>
    <x v="160"/>
    <n v="57436998"/>
    <s v="OKASINA"/>
    <x v="17"/>
    <d v="2025-08-22T00:00:00"/>
    <n v="150"/>
    <m/>
  </r>
  <r>
    <s v="Mrs Beeharry"/>
    <s v="Orchard Centre, Quatre Bornes - Pick up"/>
    <s v="Quatre Bornes"/>
    <x v="160"/>
    <n v="57436998"/>
    <s v="OKASINA"/>
    <x v="36"/>
    <d v="2025-08-26T00:00:00"/>
    <n v="150"/>
    <m/>
  </r>
  <r>
    <s v="Mrs Beeharry"/>
    <s v="Orchard Centre, Quatre Bornes - Drop"/>
    <s v="Quatre Bornes"/>
    <x v="160"/>
    <n v="57436998"/>
    <s v="OKASINA"/>
    <x v="36"/>
    <d v="2025-08-26T00:00:00"/>
    <n v="150"/>
    <m/>
  </r>
  <r>
    <s v="Mrs ANOOP PREMA DEVI"/>
    <s v="ROTIN LANE, PALMA ROAD, QUATRE BORNES"/>
    <s v="QUATRE BORNES"/>
    <x v="160"/>
    <n v="59177510"/>
    <s v="OKASINA"/>
    <x v="45"/>
    <d v="2025-09-01T00:00:00"/>
    <n v="150"/>
    <m/>
  </r>
  <r>
    <s v="Zeenat Jahaleea"/>
    <s v="Jahaleea Avenue, Quatre Cocos"/>
    <s v="Flacq"/>
    <x v="161"/>
    <n v="59125807"/>
    <s v="Nab-Makeup"/>
    <x v="12"/>
    <d v="2025-05-08T00:00:00"/>
    <n v="150"/>
    <d v="2025-06-01T00:00:00"/>
  </r>
  <r>
    <s v="Priyanka Baulah"/>
    <s v="Mahatma Gandhi Road, Quatre Cocos"/>
    <s v="Flacq"/>
    <x v="161"/>
    <s v="57018649 / 59212196"/>
    <s v="Nab-Makeup"/>
    <x v="20"/>
    <d v="2025-05-29T00:00:00"/>
    <n v="150"/>
    <d v="2025-06-01T00:00:00"/>
  </r>
  <r>
    <s v="Yashna Sahadew"/>
    <s v="Royal Road Isidore-Rose, Quatre Cocos"/>
    <s v="Flacq"/>
    <x v="161"/>
    <n v="57824254"/>
    <s v="Nab-Makeup"/>
    <x v="34"/>
    <d v="2025-08-15T00:00:00"/>
    <n v="150"/>
    <m/>
  </r>
  <r>
    <s v="Yashni Keesoondoyal"/>
    <s v="Royal Rd, Quatre-Cocos, Flacq"/>
    <s v="East"/>
    <x v="161"/>
    <n v="59451251"/>
    <s v="Nab-Makeup"/>
    <x v="35"/>
    <d v="2025-09-01T00:00:00"/>
    <n v="150"/>
    <m/>
  </r>
  <r>
    <s v="Dushila Prehagg"/>
    <s v="Maurel Road, Rivière du Rempart"/>
    <s v="North"/>
    <x v="162"/>
    <n v="57570693"/>
    <s v="Nab-Makeup"/>
    <x v="35"/>
    <d v="2025-09-01T00:00:00"/>
    <n v="150"/>
    <m/>
  </r>
  <r>
    <s v="Raakshita Sewtohul"/>
    <s v="University of Mauritius near auditorium"/>
    <s v="Central"/>
    <x v="163"/>
    <n v="57265037"/>
    <s v="Nab-Makeup"/>
    <x v="18"/>
    <d v="2025-04-17T00:00:00"/>
    <n v="150"/>
    <d v="2025-05-04T00:00:00"/>
  </r>
  <r>
    <s v="Priya Bundhoo"/>
    <s v="MCIA Head Office, MSIRI Complex, Reduit"/>
    <s v="Central"/>
    <x v="163"/>
    <n v="57954180"/>
    <s v="OKASINA"/>
    <x v="46"/>
    <d v="2025-04-14T00:00:00"/>
    <n v="150"/>
    <d v="2025-05-04T00:00:00"/>
  </r>
  <r>
    <s v="Priya Bundhoo"/>
    <s v="MCIA Head Office, MSIRI Complex, Reduit"/>
    <s v="Central"/>
    <x v="163"/>
    <n v="57954180"/>
    <s v="OKASINA"/>
    <x v="40"/>
    <d v="2025-04-28T00:00:00"/>
    <n v="150"/>
    <d v="2025-05-04T00:00:00"/>
  </r>
  <r>
    <s v="Priya Bundhoo"/>
    <s v="MCIA Head Office, MSIRI Complex, Reduit"/>
    <s v="Central"/>
    <x v="163"/>
    <n v="57954180"/>
    <s v="OKASINA"/>
    <x v="8"/>
    <d v="2025-05-05T00:00:00"/>
    <n v="150"/>
    <d v="2025-06-01T00:00:00"/>
  </r>
  <r>
    <s v="Shalini Curpen"/>
    <s v="A11, Ebene Sugar Estate, Reduit"/>
    <s v="Reduit"/>
    <x v="163"/>
    <n v="57390990"/>
    <s v="Nab-Makeup"/>
    <x v="24"/>
    <d v="2025-07-10T00:00:00"/>
    <n v="150"/>
    <d v="2025-08-01T00:00:00"/>
  </r>
  <r>
    <s v="Murdhen Indranee"/>
    <s v="Avenue Soobiah, Reduit, Near Tamil League"/>
    <s v="Reduit"/>
    <x v="163"/>
    <n v="59149219"/>
    <s v="OKASINA"/>
    <x v="5"/>
    <d v="2025-08-12T00:00:00"/>
    <n v="150"/>
    <m/>
  </r>
  <r>
    <s v="Priya Bundhoo"/>
    <s v="MCIA Head Office, MSIRI Complex, Reduit"/>
    <s v="Reduit"/>
    <x v="163"/>
    <n v="57954180"/>
    <s v="OKASINA"/>
    <x v="5"/>
    <d v="2025-08-12T00:00:00"/>
    <n v="150"/>
    <m/>
  </r>
  <r>
    <s v="SHALINI - NABIIHAH - May's Shop"/>
    <s v="REDUIT, Mauritius"/>
    <s v="REDUIT, Mauritius"/>
    <x v="163"/>
    <n v="57565859"/>
    <s v="NABIIHAH - May's Shop"/>
    <x v="7"/>
    <d v="2025-09-01T00:00:00"/>
    <n v="100"/>
    <m/>
  </r>
  <r>
    <s v="Davisha Thandan"/>
    <s v="Avenue Soobiah, Réduit"/>
    <s v="Moka"/>
    <x v="164"/>
    <n v="54931174"/>
    <s v="Nab-Makeup"/>
    <x v="38"/>
    <d v="2025-05-29T00:00:00"/>
    <n v="150"/>
    <d v="2025-06-01T00:00:00"/>
  </r>
  <r>
    <s v="Lovena Veerapin"/>
    <s v="Boulet Rouge, Centre de Flacq, Shivala Road, Riche Mare"/>
    <s v="Shivala Road"/>
    <x v="165"/>
    <n v="58196379"/>
    <s v="Nab-Makeup"/>
    <x v="10"/>
    <d v="2025-06-23T00:00:00"/>
    <n v="150"/>
    <d v="2025-07-02T00:00:00"/>
  </r>
  <r>
    <s v="Nitisha Doobaly"/>
    <s v="Cemetery Road, Riche Mare, Flacq"/>
    <s v="Flacq"/>
    <x v="165"/>
    <n v="58338087"/>
    <s v="Nab-Makeup"/>
    <x v="11"/>
    <d v="2025-06-30T00:00:00"/>
    <n v="150"/>
    <d v="2025-07-02T00:00:00"/>
  </r>
  <r>
    <s v="Shiya"/>
    <s v="Body and soul"/>
    <s v="Riche Terre Mall"/>
    <x v="166"/>
    <n v="58108447"/>
    <s v="Glow And Aura"/>
    <x v="62"/>
    <d v="2025-06-20T00:00:00"/>
    <n v="150"/>
    <d v="2025-07-02T00:00:00"/>
  </r>
  <r>
    <s v="Bheemuch Chitrakshi Devi"/>
    <s v="Royal Road, Riche Terre"/>
    <s v="Riche Terre"/>
    <x v="166"/>
    <n v="57739362"/>
    <s v="Nab-Makeup"/>
    <x v="5"/>
    <d v="2025-08-12T00:00:00"/>
    <n v="150"/>
    <m/>
  </r>
  <r>
    <s v="Avneet Kaur Mothoree"/>
    <s v="Ripailles, L'Escalier Branch Rd"/>
    <s v="Ripailles"/>
    <x v="167"/>
    <n v="52705016"/>
    <s v="Nab-Makeup"/>
    <x v="6"/>
    <d v="2025-08-04T00:00:00"/>
    <n v="150"/>
    <m/>
  </r>
  <r>
    <s v="CR - NABIIHAH - May's Shop"/>
    <s v="RIV DES ANGUILLES, Mauritius"/>
    <s v="RIV DES ANGUILLES, Mauritius"/>
    <x v="168"/>
    <n v="57665656"/>
    <s v="NABIIHAH - May's Shop"/>
    <x v="7"/>
    <d v="2025-08-29T00:00:00"/>
    <n v="100"/>
    <m/>
  </r>
  <r>
    <s v="MALINI - NABIIHAH - May's Shop"/>
    <s v="RIV DU REMPART, Mauritius"/>
    <s v="RIV DU REMPART, Mauritius"/>
    <x v="169"/>
    <n v="57979108"/>
    <s v="NABIIHAH - May's Shop"/>
    <x v="7"/>
    <d v="2025-09-01T00:00:00"/>
    <n v="100"/>
    <m/>
  </r>
  <r>
    <s v="BHAVNA - NABIIHAH - May's Shop"/>
    <s v="RIV DU REMPART, Mauritius"/>
    <s v="RIV DU REMPART, Mauritius"/>
    <x v="169"/>
    <n v="57098642"/>
    <s v="NABIIHAH - May's Shop"/>
    <x v="7"/>
    <d v="2025-09-01T00:00:00"/>
    <n v="100"/>
    <m/>
  </r>
  <r>
    <s v="Asha Mokoonlall"/>
    <s v="Railway Rd, opposite CAB office, Riviere des Anguilles"/>
    <s v="Riviere des Anguilles"/>
    <x v="170"/>
    <n v="57803800"/>
    <s v="Nab-Makeup"/>
    <x v="31"/>
    <d v="2025-07-03T00:00:00"/>
    <n v="150"/>
    <d v="2025-08-01T00:00:00"/>
  </r>
  <r>
    <s v="Mamta Bauljeewon"/>
    <s v="Royal Road, Riviere des Anguilles"/>
    <s v="Riviere des Anguilles"/>
    <x v="170"/>
    <n v="58619536"/>
    <s v="Nab-Makeup"/>
    <x v="31"/>
    <d v="2025-07-03T00:00:00"/>
    <n v="150"/>
    <d v="2025-08-01T00:00:00"/>
  </r>
  <r>
    <s v="Adil Beeharry"/>
    <s v="Prud'homme Street, Riviere des Anguilles"/>
    <s v="Riviere des Anguilles"/>
    <x v="170"/>
    <n v="57986280"/>
    <s v="Nab-Makeup"/>
    <x v="31"/>
    <d v="2025-07-03T00:00:00"/>
    <n v="150"/>
    <d v="2025-08-01T00:00:00"/>
  </r>
  <r>
    <s v="Mamta Bauljeewon"/>
    <s v="Royal Road, Riviere des Anguilles"/>
    <s v="Riviere des Anguilles"/>
    <x v="170"/>
    <n v="58619536"/>
    <s v="Nab-Makeup"/>
    <x v="6"/>
    <d v="2025-08-04T00:00:00"/>
    <n v="150"/>
    <m/>
  </r>
  <r>
    <s v="Ramduth Hemanshi"/>
    <s v="70 Morc VRS, La Barrack Road, Riviere Des Anguilles"/>
    <s v="Riviere Des Anguilles"/>
    <x v="170"/>
    <n v="58412036"/>
    <s v="Nab-Makeup"/>
    <x v="6"/>
    <d v="2025-08-04T00:00:00"/>
    <n v="150"/>
    <m/>
  </r>
  <r>
    <s v="Mamta Bauljeewon"/>
    <s v="Royal Road, Riviere Des Anguilles"/>
    <s v="Royal Road"/>
    <x v="170"/>
    <n v="58619536"/>
    <s v="Nab-Makeup"/>
    <x v="22"/>
    <d v="2025-08-07T00:00:00"/>
    <n v="150"/>
    <m/>
  </r>
  <r>
    <s v="Adil Beeharry"/>
    <s v="Prud'homme Street, Riviere des Anguilles"/>
    <s v="Riviere des Anguilles"/>
    <x v="170"/>
    <n v="57986280"/>
    <s v="Nab-Makeup"/>
    <x v="5"/>
    <d v="2025-08-12T00:00:00"/>
    <n v="150"/>
    <m/>
  </r>
  <r>
    <s v="Soodhakar Meetun"/>
    <s v="Royal Road, Riviere Des Anguilles"/>
    <s v="Riviere Des Anguilles"/>
    <x v="170"/>
    <n v="59608817"/>
    <s v="Nab-Makeup"/>
    <x v="36"/>
    <d v="2025-08-26T00:00:00"/>
    <n v="150"/>
    <m/>
  </r>
  <r>
    <s v="Nawsheen Emambacus"/>
    <s v="Prud'homme Street, Rivière des Anguilles"/>
    <s v="Savanne"/>
    <x v="171"/>
    <n v="57775600"/>
    <s v="Nab-Makeup"/>
    <x v="14"/>
    <d v="2025-06-12T00:00:00"/>
    <n v="150"/>
    <d v="2025-07-02T00:00:00"/>
  </r>
  <r>
    <s v="Keshini Polegadoo"/>
    <s v="Orchidée Street, Chateau Benares"/>
    <s v="Savanne"/>
    <x v="171"/>
    <n v="57491001"/>
    <s v="Nab-Makeup"/>
    <x v="41"/>
    <d v="2025-06-16T00:00:00"/>
    <n v="150"/>
    <d v="2025-07-02T00:00:00"/>
  </r>
  <r>
    <s v="Pritee Buleeram"/>
    <s v="Bon Espoir Road, Rivière des Créoles"/>
    <s v="Grand Port"/>
    <x v="172"/>
    <n v="57965628"/>
    <s v="Nab-Makeup"/>
    <x v="41"/>
    <d v="2025-06-16T00:00:00"/>
    <n v="150"/>
    <d v="2025-07-02T00:00:00"/>
  </r>
  <r>
    <s v="Roumisha Joyram"/>
    <s v="Royal Road Esperance Piton, 2nd House Behind Village Hall, Riviere Du Rempart"/>
    <s v="North-East"/>
    <x v="173"/>
    <n v="59137561"/>
    <s v="Nab-Makeup"/>
    <x v="46"/>
    <d v="2025-04-14T00:00:00"/>
    <n v="150"/>
    <d v="2025-05-04T00:00:00"/>
  </r>
  <r>
    <s v="Keshnee Keenoo"/>
    <s v="Royal Road, Rivere du Poste"/>
    <s v="Savanne"/>
    <x v="173"/>
    <n v="58155058"/>
    <s v="Nab-Makeup"/>
    <x v="49"/>
    <d v="2025-05-05T00:00:00"/>
    <n v="150"/>
    <d v="2025-06-01T00:00:00"/>
  </r>
  <r>
    <s v="Ayesha Heetun Aumeerbocus"/>
    <s v="Schoenfeld Road, First Lane, Rivière Du Rempart"/>
    <s v="Rivière Du Rempart"/>
    <x v="173"/>
    <n v="58031553"/>
    <s v="Nab-Makeup"/>
    <x v="20"/>
    <d v="2025-05-29T00:00:00"/>
    <n v="150"/>
    <d v="2025-06-01T00:00:00"/>
  </r>
  <r>
    <s v="Prakash Goomany"/>
    <s v="Cremation Street, Riviere Du Poste"/>
    <s v="Savanne"/>
    <x v="173"/>
    <n v="58211997"/>
    <s v="Nab-Makeup"/>
    <x v="19"/>
    <d v="2025-06-02T00:00:00"/>
    <n v="150"/>
    <d v="2025-07-02T00:00:00"/>
  </r>
  <r>
    <s v="Shéléna Sauhoboa"/>
    <s v="Résidence CIM No. 24, Rivière du Rempart"/>
    <s v="Rivière du Rempart"/>
    <x v="173"/>
    <n v="58083400"/>
    <s v="Nab-Makeup"/>
    <x v="13"/>
    <d v="2025-06-05T00:00:00"/>
    <n v="150"/>
    <d v="2025-07-02T00:00:00"/>
  </r>
  <r>
    <s v="Kavya Chendradoo"/>
    <s v="Subash Chandra Bose Street, Rivière du Rempart"/>
    <s v="Rivière du Rempart"/>
    <x v="173"/>
    <n v="58146306"/>
    <s v="Nab-Makeup"/>
    <x v="13"/>
    <d v="2025-06-05T00:00:00"/>
    <n v="150"/>
    <d v="2025-07-02T00:00:00"/>
  </r>
  <r>
    <s v="Boodhoo Pallavi"/>
    <s v="Old Market Road, Riviere du Rempart, near Courts Mammouth"/>
    <s v="Riviere du Rempart"/>
    <x v="173"/>
    <n v="58854006"/>
    <s v="Nab-Makeup"/>
    <x v="11"/>
    <d v="2025-06-30T00:00:00"/>
    <n v="150"/>
    <d v="2025-07-02T00:00:00"/>
  </r>
  <r>
    <s v="Inderjeet Verma"/>
    <s v="Simadree Virahsawmy, SSS, Royal Road, Riv du rempart"/>
    <s v="Riviere du Rempart"/>
    <x v="173"/>
    <n v="57363679"/>
    <s v="OKASINA"/>
    <x v="52"/>
    <d v="2025-06-30T00:00:00"/>
    <n v="150"/>
    <d v="2025-07-02T00:00:00"/>
  </r>
  <r>
    <s v="Jotee Seetohul"/>
    <s v="Schoenfield Riviere Du Rempart"/>
    <s v="Riviere Du Rempart"/>
    <x v="173"/>
    <s v="5923-5710"/>
    <s v="Glow And Aura"/>
    <x v="59"/>
    <d v="2025-07-21T00:00:00"/>
    <n v="150"/>
    <d v="2025-08-01T00:00:00"/>
  </r>
  <r>
    <s v="Kavya Chendradoo"/>
    <s v="Subash Chandra Bose Street, La Clemence, Riviere Du Rempart"/>
    <s v="Riviere Du Rempart"/>
    <x v="173"/>
    <n v="58146306"/>
    <s v="Nab-Makeup"/>
    <x v="3"/>
    <d v="2025-07-21T00:00:00"/>
    <n v="150"/>
    <d v="2025-08-01T00:00:00"/>
  </r>
  <r>
    <s v="Seedhi Bhantoo"/>
    <s v="Pave Road"/>
    <s v="Riviere du Rempart, Mauritius"/>
    <x v="173"/>
    <n v="59264738"/>
    <s v="Nab-Makeup"/>
    <x v="33"/>
    <d v="2025-07-28T00:00:00"/>
    <n v="150"/>
    <d v="2025-08-01T00:00:00"/>
  </r>
  <r>
    <s v="Richa Gokhoola"/>
    <s v="Ramnath Mandir Lane, Schoenfeld Road"/>
    <s v="Riviere Du Rempart"/>
    <x v="173"/>
    <n v="57565575"/>
    <s v="Nab-Makeup"/>
    <x v="33"/>
    <d v="2025-07-28T00:00:00"/>
    <n v="150"/>
    <d v="2025-08-01T00:00:00"/>
  </r>
  <r>
    <s v="Narvish"/>
    <s v="Riviere Du Rempart"/>
    <s v="Riviere Du Rempart"/>
    <x v="173"/>
    <n v="57097181"/>
    <s v="Vibezone Boutik"/>
    <x v="53"/>
    <d v="2025-07-28T00:00:00"/>
    <n v="150"/>
    <d v="2025-08-01T00:00:00"/>
  </r>
  <r>
    <s v="Christophe"/>
    <s v="Riviere Du Rampart"/>
    <s v="Riviere Du Rampart"/>
    <x v="173"/>
    <n v="54950540"/>
    <s v="Vibezone Boutik"/>
    <x v="4"/>
    <s v="Cancelled"/>
    <n v="150"/>
    <m/>
  </r>
  <r>
    <s v="Boodhoo Pallavi"/>
    <s v="Old Market Road, Rivière du Rempart (near Courts Mammouth)"/>
    <s v="Riviere du Rempart"/>
    <x v="173"/>
    <n v="58854006"/>
    <s v="Nab-Makeup"/>
    <x v="34"/>
    <d v="2025-08-15T00:00:00"/>
    <n v="150"/>
    <m/>
  </r>
  <r>
    <s v="Shadeeda Beebeejaun"/>
    <s v="Royal Road, Riviere Du Rampart"/>
    <s v="Riviere Du Rampart"/>
    <x v="174"/>
    <n v="59186330"/>
    <s v="Nab-Makeup"/>
    <x v="6"/>
    <d v="2025-08-05T00:00:00"/>
    <n v="150"/>
    <m/>
  </r>
  <r>
    <s v="BAL - NABIIHAH - May's Shop"/>
    <s v="RIVIERE NOIRE ROYAL RD, Mauritius"/>
    <s v="RIVIERE NOIRE ROYAL RD, Mauritius"/>
    <x v="175"/>
    <n v="57853135"/>
    <s v="NABIIHAH - May's Shop"/>
    <x v="7"/>
    <d v="2025-09-01T00:00:00"/>
    <n v="300"/>
    <m/>
  </r>
  <r>
    <s v="Pritee Buleeram"/>
    <s v="Bon Espoir Road"/>
    <s v="South"/>
    <x v="176"/>
    <n v="57965628"/>
    <s v="Nab-Makeup"/>
    <x v="18"/>
    <d v="2025-04-18T00:00:00"/>
    <n v="150"/>
    <d v="2025-05-04T00:00:00"/>
  </r>
  <r>
    <s v="Bhavishnee Luckhun"/>
    <s v="School Lane, Rivières des Créoles"/>
    <s v="Grand Port"/>
    <x v="176"/>
    <n v="58156468"/>
    <s v="Nab-Makeup"/>
    <x v="1"/>
    <d v="2025-06-09T00:00:00"/>
    <n v="150"/>
    <d v="2025-07-02T00:00:00"/>
  </r>
  <r>
    <s v="Teesha Imrit"/>
    <s v="23 Baxipeea Street Roche Bois Port Louis"/>
    <s v="Port Louis"/>
    <x v="177"/>
    <n v="54875885"/>
    <s v="Nab-Makeup"/>
    <x v="8"/>
    <d v="2025-05-01T00:00:00"/>
    <n v="150"/>
    <d v="2025-05-04T00:00:00"/>
  </r>
  <r>
    <s v="Julliette Sarah Leticha Manuellita"/>
    <s v="Sir Edgar Laurent, Roche Terre"/>
    <s v="Port Louis"/>
    <x v="178"/>
    <n v="57389210"/>
    <s v="Nab-Makeup"/>
    <x v="8"/>
    <d v="2025-05-01T00:00:00"/>
    <n v="150"/>
    <d v="2025-05-04T00:00:00"/>
  </r>
  <r>
    <s v="Karishma Mungur"/>
    <s v="Royal Road, Roche Terre, Grand Gaube"/>
    <s v="Rivière du Rempart"/>
    <x v="178"/>
    <n v="57011275"/>
    <s v="Nab-Makeup"/>
    <x v="41"/>
    <d v="2025-06-16T00:00:00"/>
    <n v="150"/>
    <d v="2025-07-02T00:00:00"/>
  </r>
  <r>
    <s v="Haurdhan Kavish"/>
    <s v="Bathoolaul St, Roche-Terre"/>
    <s v="Roche-Terre"/>
    <x v="178"/>
    <n v="59246179"/>
    <s v="Nab-Makeup"/>
    <x v="2"/>
    <d v="2025-07-07T00:00:00"/>
    <n v="150"/>
    <d v="2025-08-01T00:00:00"/>
  </r>
  <r>
    <s v="Bibi Zaynab Mooradally"/>
    <s v="Halley Avenue, Morc New Town, Roches Brunes, Rose Hill"/>
    <s v="Central-West"/>
    <x v="179"/>
    <n v="58467424"/>
    <s v="Nab-Makeup"/>
    <x v="18"/>
    <d v="2025-04-17T00:00:00"/>
    <n v="150"/>
    <d v="2025-05-04T00:00:00"/>
  </r>
  <r>
    <s v="Rumaisa Alladin"/>
    <s v="16 Ave Fregatte, Mont St Daniel"/>
    <s v="Central-West"/>
    <x v="179"/>
    <n v="57385701"/>
    <s v="Nab-Makeup"/>
    <x v="18"/>
    <d v="2025-04-17T00:00:00"/>
    <n v="150"/>
    <d v="2025-05-04T00:00:00"/>
  </r>
  <r>
    <s v="Annaelle St Cyr"/>
    <s v="8G Mere Theresa Street, Roches Brunes"/>
    <s v="Plaines Wilhems"/>
    <x v="179"/>
    <n v="59331930"/>
    <s v="Nab-Makeup"/>
    <x v="49"/>
    <d v="2025-05-05T00:00:00"/>
    <n v="150"/>
    <d v="2025-06-01T00:00:00"/>
  </r>
  <r>
    <s v="Noemie Berthelot"/>
    <s v="9 Rue Balgobin, Roches Brunes"/>
    <s v="Plaines Wilhems"/>
    <x v="179"/>
    <n v="54522991"/>
    <s v="Nab-Makeup"/>
    <x v="15"/>
    <d v="2025-06-20T00:00:00"/>
    <n v="150"/>
    <d v="2025-07-02T00:00:00"/>
  </r>
  <r>
    <s v="Sharonne Philips Berardi"/>
    <s v="38 Avenue Halley, Morc New Town"/>
    <s v="Roches Brunes"/>
    <x v="179"/>
    <n v="52569697"/>
    <s v="Nab-Makeup"/>
    <x v="47"/>
    <d v="2025-06-26T00:00:00"/>
    <n v="150"/>
    <d v="2025-07-02T00:00:00"/>
  </r>
  <r>
    <s v="Geeta Devi Mattapullut"/>
    <s v="Royal Road, Roches Noires"/>
    <s v="East"/>
    <x v="180"/>
    <n v="58620675"/>
    <s v="Nab-Makeup"/>
    <x v="46"/>
    <d v="2025-04-14T00:00:00"/>
    <n v="150"/>
    <d v="2025-05-04T00:00:00"/>
  </r>
  <r>
    <s v="Tanisha Ramsurn"/>
    <s v="Royal Road, Roches Noires"/>
    <s v="Riviere du Rempart"/>
    <x v="180"/>
    <n v="58051240"/>
    <s v="Nab-Makeup"/>
    <x v="12"/>
    <d v="2025-05-08T00:00:00"/>
    <n v="150"/>
    <d v="2025-06-01T00:00:00"/>
  </r>
  <r>
    <s v="Darsinee Aubeeluck"/>
    <s v="Filao Road, Roche Noires"/>
    <s v="Rivière du Rempart"/>
    <x v="180"/>
    <n v="58114207"/>
    <s v="Nab-Makeup"/>
    <x v="13"/>
    <d v="2025-06-05T00:00:00"/>
    <n v="150"/>
    <d v="2025-07-02T00:00:00"/>
  </r>
  <r>
    <s v="Diksha Neermaull"/>
    <s v="Rungoo Road, Roches Noires, Red Mango Shop"/>
    <s v="Roches Noires"/>
    <x v="180"/>
    <n v="59029211"/>
    <s v="OKASINA"/>
    <x v="31"/>
    <d v="2025-07-03T00:00:00"/>
    <n v="150"/>
    <d v="2025-08-01T00:00:00"/>
  </r>
  <r>
    <s v="Catherine Bestel"/>
    <s v="31, Domaine Du Levant, Roches Noires"/>
    <s v="Roches Noires"/>
    <x v="180"/>
    <n v="52562551"/>
    <s v="Nab-Makeup"/>
    <x v="2"/>
    <d v="2025-07-07T00:00:00"/>
    <n v="150"/>
    <d v="2025-08-01T00:00:00"/>
  </r>
  <r>
    <s v="Avima Hurloll"/>
    <s v="New Road, Roches Noires"/>
    <s v="Roches Noires"/>
    <x v="180"/>
    <n v="57852027"/>
    <s v="Nab-Makeup"/>
    <x v="32"/>
    <d v="2025-07-24T00:00:00"/>
    <n v="150"/>
    <d v="2025-08-01T00:00:00"/>
  </r>
  <r>
    <s v="Karishma Lall"/>
    <s v="Tagore Lane, Roches Noires"/>
    <s v="Roches Noires"/>
    <x v="180"/>
    <n v="59470778"/>
    <s v="Nab-Makeup"/>
    <x v="44"/>
    <d v="2025-08-05T00:00:00"/>
    <n v="150"/>
    <m/>
  </r>
  <r>
    <s v="Catherine Bestel"/>
    <s v="31, Domaine Du Levant, Roches Noires, Mauritius"/>
    <s v="Roches Noires"/>
    <x v="180"/>
    <n v="52562551"/>
    <s v="Nab-Makeup"/>
    <x v="22"/>
    <d v="2025-08-07T00:00:00"/>
    <n v="150"/>
    <m/>
  </r>
  <r>
    <s v="Yeshna Sookun"/>
    <s v="Gandhi Bhawan Street, Roches Noires"/>
    <s v="North"/>
    <x v="180"/>
    <n v="58172285"/>
    <s v="Nab-Makeup"/>
    <x v="35"/>
    <d v="2025-09-01T00:00:00"/>
    <n v="150"/>
    <m/>
  </r>
  <r>
    <s v="Marie Benjamine Grancourt"/>
    <s v="Mt. Cabris Citron, Rodrigues"/>
    <s v="Rodrigues"/>
    <x v="181"/>
    <n v="58510450"/>
    <s v="Nab-Makeup"/>
    <x v="29"/>
    <d v="2025-05-14T00:00:00"/>
    <n v="39"/>
    <d v="2025-06-01T00:00:00"/>
  </r>
  <r>
    <s v="Potiron Marie Annety"/>
    <s v="MHC Building, Camp Au Roi, Rodrigues, Port Mathurin"/>
    <s v="Rodrigues"/>
    <x v="181"/>
    <n v="57116047"/>
    <s v="Nab-Makeup"/>
    <x v="29"/>
    <d v="2025-05-14T00:00:00"/>
    <n v="39"/>
    <d v="2025-06-01T00:00:00"/>
  </r>
  <r>
    <s v="Sheelanah Balloo"/>
    <s v="Madame Lolo Road, Rose Belle"/>
    <s v="South"/>
    <x v="182"/>
    <n v="57796610"/>
    <s v="Nab-Makeup"/>
    <x v="9"/>
    <d v="2025-05-05T00:00:00"/>
    <n v="150"/>
    <d v="2025-06-01T00:00:00"/>
  </r>
  <r>
    <s v="Karishma Bhujun"/>
    <s v="Plot 129, Morcellement Orchidee, Rose Belle"/>
    <s v="Grand Port"/>
    <x v="182"/>
    <n v="58282698"/>
    <s v="Nab-Makeup"/>
    <x v="23"/>
    <d v="2025-05-22T00:00:00"/>
    <n v="150"/>
    <d v="2025-06-01T00:00:00"/>
  </r>
  <r>
    <s v="Nuzhar Noorbux"/>
    <s v="Lalljee Lane, Marie Jeannie, Rose Belle"/>
    <s v="Grand Port"/>
    <x v="182"/>
    <n v="58139885"/>
    <s v="Nab-Makeup"/>
    <x v="1"/>
    <d v="2025-06-09T00:00:00"/>
    <n v="150"/>
    <d v="2025-07-02T00:00:00"/>
  </r>
  <r>
    <s v="Maneisha Manda Appadoo"/>
    <s v="Mosque Road, Rose-Belle"/>
    <s v="Grand Port"/>
    <x v="182"/>
    <n v="58141471"/>
    <s v="Nab-Makeup"/>
    <x v="14"/>
    <d v="2025-06-12T00:00:00"/>
    <n v="150"/>
    <d v="2025-07-02T00:00:00"/>
  </r>
  <r>
    <s v="Moorlie Farhaan"/>
    <s v="Montcellement S.I.T"/>
    <s v="Rose Belle"/>
    <x v="182"/>
    <n v="58073995"/>
    <s v="Nab-Makeup"/>
    <x v="47"/>
    <d v="2025-06-26T00:00:00"/>
    <n v="150"/>
    <d v="2025-07-02T00:00:00"/>
  </r>
  <r>
    <s v="Maryam Mungroo"/>
    <s v="Market Lane, Rose Belle"/>
    <s v="Rose Belle"/>
    <x v="182"/>
    <n v="59283079"/>
    <s v="Nab-Makeup"/>
    <x v="31"/>
    <d v="2025-07-03T00:00:00"/>
    <n v="150"/>
    <d v="2025-08-01T00:00:00"/>
  </r>
  <r>
    <s v="Shivani Sookta"/>
    <s v="Nanuck Lane, Baramia, Rose-Belle"/>
    <s v="Rose-Belle"/>
    <x v="182"/>
    <n v="57965953"/>
    <s v="Nab-Makeup"/>
    <x v="2"/>
    <d v="2025-07-07T00:00:00"/>
    <n v="150"/>
    <d v="2025-08-01T00:00:00"/>
  </r>
  <r>
    <s v="Mohammad Umar Ibne Nageeb Cader"/>
    <s v="Royal Road, Rose-Belle / Lespoir road Calebasses (if tomorrow)"/>
    <s v="Rose-Belle / Calebasses"/>
    <x v="182"/>
    <n v="58072559"/>
    <s v="Nab-Makeup"/>
    <x v="39"/>
    <d v="2025-07-17T00:00:00"/>
    <n v="150"/>
    <d v="2025-08-01T00:00:00"/>
  </r>
  <r>
    <s v="Melani"/>
    <s v="Rose Belle"/>
    <s v="Rose Belle"/>
    <x v="182"/>
    <n v="59235763"/>
    <s v="Vibezone Boutik"/>
    <x v="53"/>
    <d v="2025-07-28T00:00:00"/>
    <n v="150"/>
    <d v="2025-08-01T00:00:00"/>
  </r>
  <r>
    <s v="Maryam Mungroo"/>
    <s v="Market Lane, Rose Belle, Mauritius"/>
    <s v="South"/>
    <x v="182"/>
    <s v="5928 3079"/>
    <s v="Nab-Makeup"/>
    <x v="27"/>
    <d v="2025-08-19T00:00:00"/>
    <n v="150"/>
    <m/>
  </r>
  <r>
    <s v="Kriti Moorgawa"/>
    <s v="Shivala Lane, Rose Belle"/>
    <s v="Rose Belle"/>
    <x v="182"/>
    <n v="58384617"/>
    <s v="Nab-Makeup"/>
    <x v="36"/>
    <d v="2025-08-26T00:00:00"/>
    <n v="150"/>
    <m/>
  </r>
  <r>
    <s v="Shabneez Nubee"/>
    <s v="Avenue Berthaud stanley, Rose Hill"/>
    <s v="Plaines Wilhems"/>
    <x v="183"/>
    <s v="55363005 / 58626067"/>
    <s v="Nab-Makeup"/>
    <x v="46"/>
    <d v="2025-04-14T00:00:00"/>
    <n v="150"/>
    <d v="2025-05-04T00:00:00"/>
  </r>
  <r>
    <s v="Nusaybah Jawaheerkhan"/>
    <s v="Avenue Dr Jeetoo, Boundary"/>
    <s v="Plaines Wilhems"/>
    <x v="183"/>
    <n v="57672694"/>
    <s v="Nab-Makeup"/>
    <x v="18"/>
    <d v="2025-04-17T00:00:00"/>
    <n v="150"/>
    <d v="2025-05-04T00:00:00"/>
  </r>
  <r>
    <s v="Juliana Clement"/>
    <s v="G29 Residence Geranium, NHDC Camp Levieux, Rose Hill"/>
    <s v="Plaines Wilhems"/>
    <x v="183"/>
    <n v="57495193"/>
    <s v="Nab-Makeup"/>
    <x v="26"/>
    <d v="2025-04-28T00:00:00"/>
    <n v="150"/>
    <d v="2025-05-04T00:00:00"/>
  </r>
  <r>
    <s v="Hayfa Sundhoo"/>
    <s v="218 Pagoda Street Stanley Rosehill"/>
    <s v="Plaines Wilhems"/>
    <x v="183"/>
    <n v="58098404"/>
    <s v="Nab-Makeup"/>
    <x v="8"/>
    <d v="2025-05-01T00:00:00"/>
    <n v="150"/>
    <d v="2025-05-04T00:00:00"/>
  </r>
  <r>
    <s v="Mushiirah Lallmahomed"/>
    <s v="Stanley, Rose Hill"/>
    <s v="Plaines Wilhems"/>
    <x v="183"/>
    <n v="57896692"/>
    <s v="Nab-Makeup"/>
    <x v="49"/>
    <d v="2025-05-05T00:00:00"/>
    <n v="150"/>
    <d v="2025-06-01T00:00:00"/>
  </r>
  <r>
    <s v="Nundlall Vedita"/>
    <s v="Health Centre, Mohit Road, L'avenir, Rose Hill"/>
    <s v="Plaines Wilhems"/>
    <x v="183"/>
    <n v="57324285"/>
    <s v="Nab-Makeup"/>
    <x v="49"/>
    <d v="2025-05-05T00:00:00"/>
    <n v="150"/>
    <d v="2025-06-01T00:00:00"/>
  </r>
  <r>
    <s v="Milene Bien Aimé"/>
    <s v="Rose Hill Police Station, Royal Road, Rose Hill"/>
    <s v="Plaines Wilhems"/>
    <x v="183"/>
    <n v="57449964"/>
    <s v="Nab-Makeup"/>
    <x v="49"/>
    <d v="2025-05-05T00:00:00"/>
    <n v="150"/>
    <d v="2025-06-01T00:00:00"/>
  </r>
  <r>
    <s v="Adillah Aisha Toraubally"/>
    <s v="227 Boundary Rose, Muslun Lane No.2, Rose Hill"/>
    <s v="Plaines Wilhems"/>
    <x v="183"/>
    <n v="59895059"/>
    <s v="Nab-Makeup"/>
    <x v="9"/>
    <d v="2025-05-05T00:00:00"/>
    <n v="150"/>
    <d v="2025-06-01T00:00:00"/>
  </r>
  <r>
    <s v="Darseeny Mootoosamy"/>
    <s v="Camp Le Vieux, Rose Hill"/>
    <s v="Plaines Wilhems"/>
    <x v="183"/>
    <n v="59292128"/>
    <s v="Nab-Makeup"/>
    <x v="9"/>
    <d v="2025-05-05T00:00:00"/>
    <n v="150"/>
    <d v="2025-06-01T00:00:00"/>
  </r>
  <r>
    <s v="Terry-Ann Appadoo"/>
    <s v="F12 NHDC La Concorde, Camp-Levieux, Rose-Hill 71255"/>
    <s v="Plaines Wilhems"/>
    <x v="183"/>
    <n v="57359491"/>
    <s v="Nab-Makeup"/>
    <x v="12"/>
    <d v="2025-05-08T00:00:00"/>
    <n v="150"/>
    <d v="2025-06-01T00:00:00"/>
  </r>
  <r>
    <s v="Tylamma Mary Natasha"/>
    <s v="Apartment 60, Domaine de L’Intendance, Pere Laval Street, Rose-Hill"/>
    <s v="Plaines Wilhems"/>
    <x v="183"/>
    <s v="55060626 / 54842733"/>
    <s v="Nab-Makeup"/>
    <x v="12"/>
    <d v="2025-05-12T00:00:00"/>
    <n v="150"/>
    <d v="2025-06-01T00:00:00"/>
  </r>
  <r>
    <s v="Zoya Dowlut"/>
    <s v="07 Inkerman Street, Rose Hill (Near GFA Building)"/>
    <s v="Plaines Wilhems"/>
    <x v="183"/>
    <n v="59138037"/>
    <s v="Nab-Makeup"/>
    <x v="50"/>
    <d v="2025-05-15T00:00:00"/>
    <n v="150"/>
    <d v="2025-06-01T00:00:00"/>
  </r>
  <r>
    <s v="Miniopoo Karishma"/>
    <s v="Avenue Longane, Stanley, Rose-Hill"/>
    <s v="Plaines Wilhems"/>
    <x v="183"/>
    <n v="57539651"/>
    <s v="Nab-Makeup"/>
    <x v="30"/>
    <d v="2025-05-19T00:00:00"/>
    <n v="150"/>
    <d v="2025-06-01T00:00:00"/>
  </r>
  <r>
    <s v="Dilshad Badaloo"/>
    <s v="26A Captain Bruce Street, Rose Hill"/>
    <s v="Plaines Wilhems"/>
    <x v="183"/>
    <n v="57010100"/>
    <s v="Nab-Makeup"/>
    <x v="38"/>
    <d v="2025-05-26T00:00:00"/>
    <n v="150"/>
    <d v="2025-06-01T00:00:00"/>
  </r>
  <r>
    <s v="Gabriella Batour"/>
    <s v="62,Firmin Street, Camp-Levieux, Rose-Hill"/>
    <s v="Plaines Wilhems"/>
    <x v="183"/>
    <n v="54905493"/>
    <s v="Timeless Trends"/>
    <x v="61"/>
    <d v="2025-05-26T00:00:00"/>
    <n v="75"/>
    <d v="2025-06-01T00:00:00"/>
  </r>
  <r>
    <s v="Waliyya Sundhoo"/>
    <s v="5 Dr Bour Street, Rose-Hill"/>
    <s v="Plaines Wilhems"/>
    <x v="183"/>
    <n v="58002834"/>
    <s v="Nab-Makeup"/>
    <x v="20"/>
    <d v="2025-05-29T00:00:00"/>
    <n v="150"/>
    <d v="2025-06-01T00:00:00"/>
  </r>
  <r>
    <s v="Norah Jowaheer"/>
    <s v="16, Léoville L'Homme St, Rosehill"/>
    <s v="Plaines Wilhems"/>
    <x v="183"/>
    <n v="54938560"/>
    <s v="OKASINA"/>
    <x v="20"/>
    <d v="2025-05-29T00:00:00"/>
    <n v="150"/>
    <d v="2025-06-01T00:00:00"/>
  </r>
  <r>
    <s v="Hayfa Sundhoo"/>
    <s v="218 Pagoda Street, Stanley, Rose Hill"/>
    <s v="Plaines Wilhems"/>
    <x v="183"/>
    <n v="58098404"/>
    <s v="Nab-Makeup"/>
    <x v="19"/>
    <d v="2025-06-02T00:00:00"/>
    <n v="150"/>
    <d v="2025-07-02T00:00:00"/>
  </r>
  <r>
    <s v="Kim Khoodoruth"/>
    <s v="Canda Lane, Boundary Lane, Rose Hill"/>
    <s v="Rose Hill"/>
    <x v="183"/>
    <n v="52547810"/>
    <s v="OKASINA"/>
    <x v="13"/>
    <d v="2025-06-05T00:00:00"/>
    <n v="150"/>
    <d v="2025-07-02T00:00:00"/>
  </r>
  <r>
    <s v="Mrs Banymandhub"/>
    <s v="Royal Rd, Rose Hill"/>
    <s v="Rose Hill"/>
    <x v="183"/>
    <s v="4546796 / 57041434"/>
    <s v="OKASINA"/>
    <x v="1"/>
    <d v="2025-06-09T00:00:00"/>
    <n v="150"/>
    <d v="2025-07-02T00:00:00"/>
  </r>
  <r>
    <s v="Gabriella Batour"/>
    <s v="Plaza, Rose Hill"/>
    <s v="Plaines Wilhems"/>
    <x v="183"/>
    <n v="54905493"/>
    <s v="Timeless Trends"/>
    <x v="66"/>
    <d v="2025-06-09T00:00:00"/>
    <n v="150"/>
    <d v="2025-07-02T00:00:00"/>
  </r>
  <r>
    <s v="Karen Triton"/>
    <s v="55 Ave Dr PIARROUX, Camp-Levieux, Rose Hill"/>
    <s v="Plaines Wilhems"/>
    <x v="183"/>
    <n v="57426350"/>
    <s v="Nab-Makeup"/>
    <x v="14"/>
    <d v="2025-06-12T00:00:00"/>
    <n v="150"/>
    <d v="2025-07-02T00:00:00"/>
  </r>
  <r>
    <s v="Mariam Bhoyro"/>
    <s v="5 Avenue Cretin Lane, Camp-Levieux, Rose-Hill"/>
    <s v="Plaines Wilhems"/>
    <x v="183"/>
    <n v="58112505"/>
    <s v="Nab-Makeup"/>
    <x v="41"/>
    <d v="2025-06-23T00:00:00"/>
    <n v="150"/>
    <d v="2025-07-02T00:00:00"/>
  </r>
  <r>
    <s v="Haajerah Imrit"/>
    <s v="113 Avenue Ollier, Rose Hill"/>
    <s v="Plaines Wilhems"/>
    <x v="183"/>
    <s v="59225275 / 52505311"/>
    <s v="Nab-Makeup"/>
    <x v="41"/>
    <d v="2025-06-16T00:00:00"/>
    <n v="150"/>
    <d v="2025-07-02T00:00:00"/>
  </r>
  <r>
    <s v="Preety Roy"/>
    <s v="Avenue Panchoo, Rose Hill"/>
    <s v="Plaines Wilhems"/>
    <x v="183"/>
    <n v="57750086"/>
    <s v="Nab-Makeup"/>
    <x v="15"/>
    <d v="2025-06-20T00:00:00"/>
    <n v="150"/>
    <d v="2025-07-02T00:00:00"/>
  </r>
  <r>
    <s v="Preety Roy"/>
    <s v="Avenue Panchoo, Rose Hill"/>
    <s v="Avenue Panchoo"/>
    <x v="183"/>
    <n v="57750086"/>
    <s v="Nab-Makeup"/>
    <x v="10"/>
    <d v="2025-06-23T00:00:00"/>
    <n v="150"/>
    <d v="2025-07-02T00:00:00"/>
  </r>
  <r>
    <s v="Umairah Mandary"/>
    <s v="50, C Canda Lane Stanley"/>
    <s v="Rose Hill"/>
    <x v="183"/>
    <n v="58253335"/>
    <s v="Nab-Makeup"/>
    <x v="47"/>
    <d v="2025-06-26T00:00:00"/>
    <n v="150"/>
    <d v="2025-07-02T00:00:00"/>
  </r>
  <r>
    <s v="Waliyya Sundhoo"/>
    <s v="5 Dr Bour Street"/>
    <s v="Rose-Hill"/>
    <x v="183"/>
    <n v="58002834"/>
    <s v="Nab-Makeup"/>
    <x v="47"/>
    <d v="2025-06-26T00:00:00"/>
    <n v="150"/>
    <d v="2025-07-02T00:00:00"/>
  </r>
  <r>
    <s v="Nundlall Vedita"/>
    <s v="Health Centre, Mohit Road, L'avenir, Rose Hill"/>
    <s v="Plaines Wilhems"/>
    <x v="183"/>
    <n v="57324285"/>
    <s v="Nab-Makeup"/>
    <x v="51"/>
    <d v="2025-06-26T00:00:00"/>
    <n v="150"/>
    <d v="2025-07-02T00:00:00"/>
  </r>
  <r>
    <s v="Boodhoo Nuzhah"/>
    <s v="Tamarin Lane, Camp-Levieux, Rose-Hill"/>
    <s v="Plaines Wilhems"/>
    <x v="183"/>
    <n v="58264924"/>
    <s v="Nab-Makeup"/>
    <x v="11"/>
    <d v="2025-06-30T00:00:00"/>
    <n v="150"/>
    <d v="2025-07-02T00:00:00"/>
  </r>
  <r>
    <s v="Mohamad Sadek Hosany"/>
    <s v="89 Boundary, Rose Hill"/>
    <s v="Plaines Wilhems"/>
    <x v="183"/>
    <n v="57610640"/>
    <s v="Nab-Makeup"/>
    <x v="11"/>
    <d v="2025-06-30T00:00:00"/>
    <n v="150"/>
    <d v="2025-07-02T00:00:00"/>
  </r>
  <r>
    <s v="Lakshana Sesmun"/>
    <s v="47, Queen Victoria Street, Rose Hill"/>
    <s v="Rose Hill"/>
    <x v="183"/>
    <n v="52505541"/>
    <s v="Nab-Makeup"/>
    <x v="31"/>
    <d v="2025-07-03T00:00:00"/>
    <n v="150"/>
    <d v="2025-08-01T00:00:00"/>
  </r>
  <r>
    <s v="Aisha Cader"/>
    <s v="Telecom Rosehill"/>
    <s v="Rosehill"/>
    <x v="183"/>
    <n v="59449445"/>
    <s v="Nab-Makeup"/>
    <x v="2"/>
    <d v="2025-07-07T00:00:00"/>
    <n v="150"/>
    <d v="2025-08-01T00:00:00"/>
  </r>
  <r>
    <s v="Vanina Veerasamy"/>
    <s v="Rose Hill (Bon Pasteur &amp; Coromandel)"/>
    <s v="Rose Hill / Coromandel"/>
    <x v="183"/>
    <n v="57388692"/>
    <s v="Nab-Makeup"/>
    <x v="2"/>
    <d v="2025-07-07T00:00:00"/>
    <n v="150"/>
    <d v="2025-08-01T00:00:00"/>
  </r>
  <r>
    <s v="Nushreena Mungur"/>
    <s v="Emtel, Rose Hill"/>
    <s v="Rose Hill"/>
    <x v="183"/>
    <n v="58264125"/>
    <s v="Nab-Makeup"/>
    <x v="24"/>
    <d v="2025-07-10T00:00:00"/>
    <n v="150"/>
    <d v="2025-08-01T00:00:00"/>
  </r>
  <r>
    <s v="Tauhid Goomany"/>
    <s v="43 Blondeau Street, Rose Hill"/>
    <s v="Rose Hill"/>
    <x v="183"/>
    <s v="57872640 or 59792547"/>
    <s v="Nab-Makeup"/>
    <x v="21"/>
    <d v="2025-07-14T00:00:00"/>
    <n v="150"/>
    <d v="2025-08-01T00:00:00"/>
  </r>
  <r>
    <s v="MinioPoo Karishma"/>
    <s v="Avenue Longane, Stanley, Rose-Hill"/>
    <s v="Rose Hill"/>
    <x v="183"/>
    <n v="57539651"/>
    <s v="Nab-Makeup"/>
    <x v="21"/>
    <d v="2025-07-14T00:00:00"/>
    <n v="150"/>
    <d v="2025-08-01T00:00:00"/>
  </r>
  <r>
    <s v="Haadiyah Yusrah Moolkeea"/>
    <s v="Dahlia D21, Camp Levieux, Rose-Hill"/>
    <s v="Rose-Hill"/>
    <x v="183"/>
    <n v="55185471"/>
    <s v="Nab-Makeup"/>
    <x v="39"/>
    <d v="2025-07-17T00:00:00"/>
    <n v="150"/>
    <d v="2025-08-01T00:00:00"/>
  </r>
  <r>
    <s v="Mohamad Sadek Hosany"/>
    <s v="89 Boundary, Rose Hill"/>
    <s v="Rose Hill"/>
    <x v="183"/>
    <n v="57610640"/>
    <s v="Nab-Makeup"/>
    <x v="3"/>
    <d v="2025-07-21T00:00:00"/>
    <n v="150"/>
    <d v="2025-08-01T00:00:00"/>
  </r>
  <r>
    <s v="Tasnim Chady"/>
    <s v="11, Avenue Ollier, Rose-Hill"/>
    <s v="Rose-Hill"/>
    <x v="183"/>
    <n v="57826178"/>
    <s v="Nab-Makeup"/>
    <x v="32"/>
    <d v="2025-07-24T00:00:00"/>
    <n v="150"/>
    <d v="2025-08-01T00:00:00"/>
  </r>
  <r>
    <s v="Adillah Aisha Toraubally"/>
    <s v="227 boundary road muslun lane no2, Rose Hill"/>
    <s v="Rose Hill"/>
    <x v="183"/>
    <n v="59895059"/>
    <s v="Nab-Makeup"/>
    <x v="6"/>
    <d v="2025-08-04T00:00:00"/>
    <n v="150"/>
    <m/>
  </r>
  <r>
    <s v="Haajerah Imrit"/>
    <s v="113, Avenue Ollier, Rose Hill"/>
    <s v="Avenue Ollier"/>
    <x v="183"/>
    <n v="59225275"/>
    <s v="Nab-Makeup"/>
    <x v="22"/>
    <d v="2025-08-07T00:00:00"/>
    <n v="150"/>
    <m/>
  </r>
  <r>
    <s v="Nundlall Vedita"/>
    <s v="Rose Hill"/>
    <s v="Plaines Wilhems"/>
    <x v="183"/>
    <n v="57324285"/>
    <s v="Nab-Makeup"/>
    <x v="34"/>
    <d v="2025-08-15T00:00:00"/>
    <n v="150"/>
    <m/>
  </r>
  <r>
    <s v="Amina Saadia Toraubally"/>
    <s v="119 Ave Ollier, Rose Hill"/>
    <s v="Rose Hill"/>
    <x v="183"/>
    <n v="52574839"/>
    <s v="Nab-Makeup"/>
    <x v="36"/>
    <d v="2025-08-26T00:00:00"/>
    <n v="150"/>
    <m/>
  </r>
  <r>
    <s v="Farhana"/>
    <s v="Buckingham vis-à-vis SBM, Rose Hill"/>
    <s v="Rose Hill"/>
    <x v="183"/>
    <n v="57782811"/>
    <s v="Nab-Makeup"/>
    <x v="36"/>
    <d v="2025-08-26T00:00:00"/>
    <n v="150"/>
    <m/>
  </r>
  <r>
    <s v="Mrs Rajhub Azhaar"/>
    <s v="Boodhun Street, Rose Hill"/>
    <s v="Rose Hill"/>
    <x v="183"/>
    <n v="57755077"/>
    <s v="Nab-Makeup"/>
    <x v="36"/>
    <d v="2025-08-26T00:00:00"/>
    <n v="150"/>
    <m/>
  </r>
  <r>
    <s v="Medha Bismohun "/>
    <s v="3rd Lane, Lalljee Street, Rosebelle, Mauritius"/>
    <s v="Rosebelle"/>
    <x v="184"/>
    <n v="57624823"/>
    <s v="OKASINA"/>
    <x v="36"/>
    <d v="2025-08-26T00:00:00"/>
    <n v="150"/>
    <m/>
  </r>
  <r>
    <s v="ROUGE  - NABIIHAH - May's Shop"/>
    <s v="ROSEBELLE, Mauritius"/>
    <s v="ROSEBELLE, Mauritius"/>
    <x v="184"/>
    <n v="57884969"/>
    <s v="NABIIHAH - May's Shop"/>
    <x v="7"/>
    <d v="2025-08-29T00:00:00"/>
    <n v="100"/>
    <m/>
  </r>
  <r>
    <s v="Maneisha Manda Appadoo"/>
    <s v="Mosque Road, Rose-Belle"/>
    <s v="Rose-Belle"/>
    <x v="185"/>
    <n v="58141471"/>
    <s v="Nab-Makeup"/>
    <x v="31"/>
    <d v="2025-07-03T00:00:00"/>
    <n v="150"/>
    <d v="2025-08-01T00:00:00"/>
  </r>
  <r>
    <s v="Maneisha Appadoo"/>
    <s v="Mosque Road, Rose-Belle, Mauritius"/>
    <s v="Rose-Belle"/>
    <x v="185"/>
    <n v="58141471"/>
    <s v="Nab-Makeup"/>
    <x v="22"/>
    <d v="2025-08-07T00:00:00"/>
    <n v="150"/>
    <m/>
  </r>
  <r>
    <s v="NH SNACKS - NABIIHAH - May's Shop"/>
    <s v="ROSEHILL, Mauritius"/>
    <s v="ROSEHILL, Mauritius"/>
    <x v="186"/>
    <n v="59181873"/>
    <s v="NABIIHAH - May's Shop"/>
    <x v="7"/>
    <d v="2025-09-01T00:00:00"/>
    <n v="100"/>
    <m/>
  </r>
  <r>
    <s v="CRESTA - NABIIHAH - May's Shop"/>
    <s v="ROSEHILL, Mauritius"/>
    <s v="ROSEHILL, Mauritius"/>
    <x v="186"/>
    <n v="59217901"/>
    <s v="NABIIHAH - May's Shop"/>
    <x v="7"/>
    <d v="2025-09-01T00:00:00"/>
    <n v="100"/>
    <m/>
  </r>
  <r>
    <s v="Waliyya Sundhoo"/>
    <s v="5 Dr Bour Street, Rose-Hill"/>
    <s v="Rose-Hill"/>
    <x v="187"/>
    <n v="58002834"/>
    <s v="Nab-Makeup"/>
    <x v="31"/>
    <d v="2025-07-03T00:00:00"/>
    <n v="150"/>
    <d v="2025-08-01T00:00:00"/>
  </r>
  <r>
    <s v="Waliyya Sundhoo"/>
    <s v="5 Dr Bour Street, Rose-Hill, Mauritius"/>
    <s v="Central"/>
    <x v="187"/>
    <s v="5800 2834"/>
    <s v="Nab-Makeup"/>
    <x v="27"/>
    <d v="2025-08-19T00:00:00"/>
    <n v="150"/>
    <m/>
  </r>
  <r>
    <s v="PRIYA DALLENA - NABIIHAH - May's Shop"/>
    <s v="ROSEHILL, 529 SEENEEVASEN AVE TREFLES ROSEHILL, Mauritius"/>
    <s v="ROSEHILL, 529 SEENEEVASEN AVE TREFLES ROSEHILL, Mauritius"/>
    <x v="188"/>
    <n v="54814669"/>
    <s v="NABIIHAH - May's Shop"/>
    <x v="7"/>
    <d v="2025-09-01T00:00:00"/>
    <n v="100"/>
    <m/>
  </r>
  <r>
    <s v="Vasthi Callachand"/>
    <s v="Saint Hubert / Riche En Eau"/>
    <s v="South"/>
    <x v="189"/>
    <n v="57825226"/>
    <s v="Nab-Makeup"/>
    <x v="40"/>
    <d v="2025-04-28T00:00:00"/>
    <n v="150"/>
    <d v="2025-05-04T00:00:00"/>
  </r>
  <r>
    <s v="Benazir Mamdeen"/>
    <s v="Royal Road, Saint Julien Village"/>
    <s v="Flacq"/>
    <x v="190"/>
    <n v="52504968"/>
    <s v="Nab-Makeup"/>
    <x v="1"/>
    <d v="2025-06-09T00:00:00"/>
    <n v="150"/>
    <d v="2025-07-02T00:00:00"/>
  </r>
  <r>
    <s v="Reshma Bhayraw"/>
    <s v="Royal Road, Saint Julien D'Hotman"/>
    <s v="Saint Julien D'Hotman"/>
    <x v="191"/>
    <s v="59847853 or 52902775"/>
    <s v="Timeless Trends"/>
    <x v="69"/>
    <d v="2025-07-10T00:00:00"/>
    <n v="150"/>
    <d v="2025-08-01T00:00:00"/>
  </r>
  <r>
    <s v="Mitali Mourugan"/>
    <s v="Vivea Business Park"/>
    <s v="Saint Piere"/>
    <x v="192"/>
    <n v="52692008"/>
    <s v="Timeless Trends"/>
    <x v="44"/>
    <d v="2025-08-05T00:00:00"/>
    <n v="150"/>
    <m/>
  </r>
  <r>
    <s v="Adil Gumbheer"/>
    <s v="Petit Verger, Roselyne Cottage, Saint Pierre"/>
    <s v="Central"/>
    <x v="193"/>
    <s v="59660404 / 58589624"/>
    <s v="Nab-Makeup"/>
    <x v="18"/>
    <d v="2025-04-17T00:00:00"/>
    <n v="150"/>
    <d v="2025-05-04T00:00:00"/>
  </r>
  <r>
    <s v="Lalita Ubheemun"/>
    <s v="Nissan Road Circonstance St Pierre"/>
    <s v="Central"/>
    <x v="193"/>
    <n v="57082569"/>
    <s v="Nab-Makeup"/>
    <x v="25"/>
    <d v="2025-04-21T00:00:00"/>
    <n v="150"/>
    <d v="2025-05-04T00:00:00"/>
  </r>
  <r>
    <s v="Arzinah Ajaree"/>
    <s v="Royal Road, Nouvelle Decouverte"/>
    <s v="Central"/>
    <x v="193"/>
    <n v="57864343"/>
    <s v="Nab-Makeup"/>
    <x v="26"/>
    <d v="2025-04-24T00:00:00"/>
    <n v="150"/>
    <d v="2025-05-04T00:00:00"/>
  </r>
  <r>
    <s v="Melina Juggapah"/>
    <s v="3, Cemetry Road, Circonstance, St Pierre"/>
    <s v="South"/>
    <x v="193"/>
    <n v="57081283"/>
    <s v="Nab-Makeup"/>
    <x v="9"/>
    <d v="2025-05-05T00:00:00"/>
    <n v="150"/>
    <d v="2025-06-01T00:00:00"/>
  </r>
  <r>
    <s v="Saba Khayrattee"/>
    <s v="Durgahee Lane, L’Avenir"/>
    <s v="Moka"/>
    <x v="193"/>
    <n v="57143835"/>
    <s v="Nab-Makeup"/>
    <x v="50"/>
    <d v="2025-05-15T00:00:00"/>
    <n v="150"/>
    <d v="2025-06-01T00:00:00"/>
  </r>
  <r>
    <s v="Shalini Hawoldar"/>
    <s v="3Rd Floor, The Hybrid, 634 La Promenade, Telfair, Moka"/>
    <s v="Moka"/>
    <x v="193"/>
    <n v="57187715"/>
    <s v="OKASINA"/>
    <x v="30"/>
    <d v="2025-05-19T00:00:00"/>
    <n v="150"/>
    <d v="2025-06-01T00:00:00"/>
  </r>
  <r>
    <s v="Jenna Camille"/>
    <s v="Nicoliere Road, Block D2, Saint Pierre"/>
    <s v="Moka"/>
    <x v="193"/>
    <n v="52587154"/>
    <s v="Nab-Makeup"/>
    <x v="15"/>
    <d v="2025-06-20T00:00:00"/>
    <n v="150"/>
    <d v="2025-07-02T00:00:00"/>
  </r>
  <r>
    <s v="Graziella Hippolyte"/>
    <s v="Morcellement Desmarais, Saint Pierre"/>
    <s v="Saint Pierre"/>
    <x v="193"/>
    <n v="59379345"/>
    <s v="Nab-Makeup"/>
    <x v="39"/>
    <d v="2025-07-17T00:00:00"/>
    <n v="150"/>
    <d v="2025-08-01T00:00:00"/>
  </r>
  <r>
    <s v="Saadiyah Boolaky"/>
    <s v="Morcellement Traffic Centre, Saint Pierre"/>
    <s v="Saint Pierre"/>
    <x v="193"/>
    <n v="57226761"/>
    <s v="Nab-Makeup"/>
    <x v="32"/>
    <d v="2025-07-24T00:00:00"/>
    <n v="150"/>
    <d v="2025-08-01T00:00:00"/>
  </r>
  <r>
    <s v="Saadiyah Boolaky"/>
    <s v="Morcellement Traffic Centre, Saint Pierre"/>
    <s v="Morcellement Traffic Centre"/>
    <x v="193"/>
    <n v="57225676"/>
    <s v="Nab-Makeup"/>
    <x v="22"/>
    <d v="2025-08-07T00:00:00"/>
    <n v="150"/>
    <m/>
  </r>
  <r>
    <s v="Samiksha Khurug"/>
    <s v="129, Canal Bathurst Street, Sainte Croix, Port Louis"/>
    <s v="Port Louis"/>
    <x v="194"/>
    <n v="57704496"/>
    <s v="Nab-Makeup"/>
    <x v="29"/>
    <d v="2025-05-12T00:00:00"/>
    <n v="150"/>
    <d v="2025-06-01T00:00:00"/>
  </r>
  <r>
    <s v="Aneerah Ramatoolall"/>
    <s v="Le Cornu, Sainte Croix"/>
    <s v="Port Louis"/>
    <x v="194"/>
    <n v="57078879"/>
    <s v="Nab-Makeup"/>
    <x v="1"/>
    <d v="2025-06-09T00:00:00"/>
    <n v="150"/>
    <d v="2025-07-02T00:00:00"/>
  </r>
  <r>
    <s v="Shahana Shibchurn"/>
    <s v="Morc La Vallee, Le Cornu, St Croix, Port Louis"/>
    <s v="St Croix"/>
    <x v="194"/>
    <n v="57588028"/>
    <s v="Nab-Makeup"/>
    <x v="32"/>
    <d v="2025-07-24T00:00:00"/>
    <n v="150"/>
    <d v="2025-08-01T00:00:00"/>
  </r>
  <r>
    <s v="Vidoushi Jaddoo"/>
    <s v="Camp Mumbai, Sebastopol"/>
    <s v="Moka"/>
    <x v="195"/>
    <n v="59249794"/>
    <s v="OKASINA"/>
    <x v="50"/>
    <d v="2025-05-15T00:00:00"/>
    <n v="150"/>
    <d v="2025-06-01T00:00:00"/>
  </r>
  <r>
    <s v="Ghoree Baubooa"/>
    <s v="Royal Road, Sebastopol"/>
    <s v="Flacq"/>
    <x v="195"/>
    <n v="57733258"/>
    <s v="Nab-Makeup"/>
    <x v="11"/>
    <d v="2025-07-03T00:00:00"/>
    <n v="150"/>
    <d v="2025-08-01T00:00:00"/>
  </r>
  <r>
    <s v="Samiirah Dowlut"/>
    <s v="Royal Road Sebastopol, Sebastopol"/>
    <s v="Sebastopol"/>
    <x v="195"/>
    <n v="58239481"/>
    <s v="Nab-Makeup"/>
    <x v="2"/>
    <d v="2025-07-07T00:00:00"/>
    <n v="150"/>
    <d v="2025-08-01T00:00:00"/>
  </r>
  <r>
    <s v="Rookmah Ounissa Mohit"/>
    <s v="Morcellement VRS Lot 363, Diamond Street, Souillac"/>
    <s v="Savanne"/>
    <x v="196"/>
    <n v="58153713"/>
    <s v="Nab-Makeup"/>
    <x v="41"/>
    <d v="2025-06-16T00:00:00"/>
    <n v="150"/>
    <d v="2025-07-02T00:00:00"/>
  </r>
  <r>
    <s v="Adam"/>
    <s v="Souillac"/>
    <s v="Savanne"/>
    <x v="196"/>
    <n v="54566417"/>
    <s v="May's Shop"/>
    <x v="67"/>
    <d v="2025-06-16T00:00:00"/>
    <n v="150"/>
    <d v="2025-07-02T00:00:00"/>
  </r>
  <r>
    <s v="Sharfaa Auhammud"/>
    <s v="Camishi Lane, Camp Fouquereaux, St Antoine, Mauritius"/>
    <s v="Central"/>
    <x v="197"/>
    <s v="5829 8331"/>
    <s v="Nab-Makeup"/>
    <x v="27"/>
    <d v="2025-08-19T00:00:00"/>
    <n v="150"/>
    <m/>
  </r>
  <r>
    <s v="Sadiyah Sarvar"/>
    <s v="Morcellement St Aubin No 100"/>
    <s v="Savanne"/>
    <x v="198"/>
    <n v="58150895"/>
    <s v="Nab-Makeup"/>
    <x v="49"/>
    <d v="2025-05-05T00:00:00"/>
    <n v="150"/>
    <d v="2025-06-01T00:00:00"/>
  </r>
  <r>
    <s v="Sadiyah Sarvar"/>
    <s v="Morcellement St Aubin No. 100"/>
    <s v="Savanne"/>
    <x v="198"/>
    <n v="58150895"/>
    <s v="Nab-Makeup"/>
    <x v="14"/>
    <d v="2025-06-12T00:00:00"/>
    <n v="150"/>
    <d v="2025-07-02T00:00:00"/>
  </r>
  <r>
    <s v="Sadiyah Sarvar"/>
    <s v="Morcellement St Aubin No 100"/>
    <s v="St Aubin"/>
    <x v="198"/>
    <n v="58150895"/>
    <s v="Nab-Makeup"/>
    <x v="31"/>
    <d v="2025-07-03T00:00:00"/>
    <n v="150"/>
    <d v="2025-08-01T00:00:00"/>
  </r>
  <r>
    <s v="Sadiyah Sarvar"/>
    <s v="Morcellement St Aubin No 100"/>
    <s v="St Aubin "/>
    <x v="198"/>
    <n v="58150895"/>
    <s v="Nab-Makeup"/>
    <x v="2"/>
    <d v="2025-07-07T00:00:00"/>
    <n v="150"/>
    <d v="2025-08-01T00:00:00"/>
  </r>
  <r>
    <s v="Bibi Sahanah Shibchurn"/>
    <s v="51 Roshan Lane, Morcellement La Vallée, Le Cornu, St Croix, Port Louis"/>
    <s v="North"/>
    <x v="199"/>
    <s v="5758 8028"/>
    <s v="Nab-Makeup"/>
    <x v="27"/>
    <d v="2025-08-19T00:00:00"/>
    <n v="150"/>
    <m/>
  </r>
  <r>
    <s v="Karishma Omaree"/>
    <s v="Doya Street, Cent Gaulettes, St Hilaire"/>
    <s v="Grand Port"/>
    <x v="200"/>
    <n v="57704232"/>
    <s v="Nab-Makeup"/>
    <x v="14"/>
    <d v="2025-06-12T00:00:00"/>
    <n v="150"/>
    <d v="2025-07-02T00:00:00"/>
  </r>
  <r>
    <s v="Sanya Gaungoo"/>
    <s v="Royal Road, St Hubert, Ramrachia Lane"/>
    <s v="Royal Road"/>
    <x v="201"/>
    <s v="57937961 / 57685749"/>
    <s v="Nab-Makeup"/>
    <x v="31"/>
    <d v="2025-07-03T00:00:00"/>
    <n v="150"/>
    <d v="2025-08-01T00:00:00"/>
  </r>
  <r>
    <s v="Vanisha Conjamalay"/>
    <s v="Dodo Lane, St Julien d’Hotman"/>
    <s v="Dodo Lane"/>
    <x v="202"/>
    <n v="57941096"/>
    <s v="Nab-Makeup"/>
    <x v="10"/>
    <d v="2025-06-23T00:00:00"/>
    <n v="150"/>
    <d v="2025-07-02T00:00:00"/>
  </r>
  <r>
    <s v="Heerah Ashilya"/>
    <s v="Canal Lane, St Julien d’Hotman"/>
    <s v="East"/>
    <x v="203"/>
    <n v="58275693"/>
    <s v="Nab-Makeup"/>
    <x v="40"/>
    <d v="2025-04-28T00:00:00"/>
    <n v="150"/>
    <d v="2025-05-04T00:00:00"/>
  </r>
  <r>
    <s v="Varuna Ramburrun"/>
    <s v="Royal Road, St Julien D'Hotman"/>
    <s v="East"/>
    <x v="203"/>
    <n v="52526373"/>
    <s v="OKASINA"/>
    <x v="26"/>
    <d v="2025-04-24T00:00:00"/>
    <n v="150"/>
    <d v="2025-05-04T00:00:00"/>
  </r>
  <r>
    <s v="Varuna Ramburrun"/>
    <s v="Royal Road, St Julien D'Hotman"/>
    <s v="East"/>
    <x v="203"/>
    <n v="52526373"/>
    <s v="OKASINA"/>
    <x v="40"/>
    <d v="2025-04-28T00:00:00"/>
    <n v="150"/>
    <d v="2025-05-04T00:00:00"/>
  </r>
  <r>
    <s v="Vanessa Nagamootoo"/>
    <s v="Sir Emile Series Lane, St Julien Dhotman"/>
    <s v="East"/>
    <x v="203"/>
    <n v="58408662"/>
    <s v="Nab-Makeup"/>
    <x v="12"/>
    <d v="2025-05-08T00:00:00"/>
    <n v="150"/>
    <d v="2025-06-01T00:00:00"/>
  </r>
  <r>
    <s v="Sounita Naiko"/>
    <s v="St. Julien D'Hotman"/>
    <s v="East"/>
    <x v="203"/>
    <n v="57170672"/>
    <s v="OKASINA"/>
    <x v="71"/>
    <d v="2025-05-22T00:00:00"/>
    <n v="150"/>
    <d v="2025-06-01T00:00:00"/>
  </r>
  <r>
    <s v="Varuna Ramburrun"/>
    <s v="Royal Road, St Julien D'Hotman"/>
    <s v="East"/>
    <x v="203"/>
    <n v="52526373"/>
    <s v="OKASINA"/>
    <x v="23"/>
    <d v="2025-05-22T00:00:00"/>
    <n v="150"/>
    <d v="2025-06-01T00:00:00"/>
  </r>
  <r>
    <s v="Varuna Ramburrun"/>
    <s v="Royal Road, St Julien D'Hotman"/>
    <s v="East"/>
    <x v="203"/>
    <n v="52526373"/>
    <s v="OKASINA"/>
    <x v="19"/>
    <d v="2025-06-05T00:00:00"/>
    <n v="150"/>
    <d v="2025-07-02T00:00:00"/>
  </r>
  <r>
    <s v="Varuna Ramburrun"/>
    <s v="Royal Road, St Julien D'Hotman"/>
    <s v="East"/>
    <x v="203"/>
    <n v="52526373"/>
    <s v="OKASINA"/>
    <x v="11"/>
    <d v="2025-06-30T00:00:00"/>
    <n v="150"/>
    <d v="2025-07-02T00:00:00"/>
  </r>
  <r>
    <s v="Varuna Ramburrun"/>
    <s v="Royal Road, St Julien D'Hotman"/>
    <s v="East"/>
    <x v="203"/>
    <n v="52526373"/>
    <s v="OKASINA"/>
    <x v="2"/>
    <d v="2025-07-07T00:00:00"/>
    <n v="150"/>
    <d v="2025-08-01T00:00:00"/>
  </r>
  <r>
    <s v="Varuna Ramburrun"/>
    <s v="Royal Road, St Julien D'Hotman"/>
    <s v="East"/>
    <x v="203"/>
    <n v="52526373"/>
    <s v="OKASINA"/>
    <x v="3"/>
    <d v="2025-07-21T00:00:00"/>
    <n v="150"/>
    <d v="2025-08-01T00:00:00"/>
  </r>
  <r>
    <s v="Varuna Ramburrun"/>
    <s v="Royal Road, St Julien D'Hotman"/>
    <s v="East"/>
    <x v="203"/>
    <n v="52526373"/>
    <s v="OKASINA"/>
    <x v="33"/>
    <d v="2025-07-28T00:00:00"/>
    <n v="150"/>
    <d v="2025-08-01T00:00:00"/>
  </r>
  <r>
    <s v="Varuna Ramburrun"/>
    <s v="Royal Road, St Julien D'Hotman"/>
    <s v="East"/>
    <x v="203"/>
    <n v="52526373"/>
    <s v="OKASINA"/>
    <x v="27"/>
    <d v="2025-08-19T00:00:00"/>
    <n v="150"/>
    <m/>
  </r>
  <r>
    <s v="Vada Reetoo"/>
    <s v="Royal Road (Nr Chez Manuel Restaurant), St Julien Village"/>
    <s v="North"/>
    <x v="204"/>
    <n v="57694424"/>
    <s v="OKASINA"/>
    <x v="19"/>
    <d v="2025-06-05T00:00:00"/>
    <n v="150"/>
    <d v="2025-07-02T00:00:00"/>
  </r>
  <r>
    <s v="Shakeela Rawah"/>
    <s v="Kendra Mall, St Pierre"/>
    <s v="Moka"/>
    <x v="205"/>
    <n v="58092563"/>
    <s v="Nab-Makeup"/>
    <x v="29"/>
    <d v="2025-05-12T00:00:00"/>
    <n v="150"/>
    <d v="2025-06-01T00:00:00"/>
  </r>
  <r>
    <s v="Rubina Cateau"/>
    <s v="204 Morcellement VRS 2, L’Avenir, St Pierre"/>
    <s v="Moka"/>
    <x v="205"/>
    <n v="57225307"/>
    <s v="Nab-Makeup"/>
    <x v="50"/>
    <s v="Cancelled"/>
    <n v="0"/>
    <s v="Cancelled"/>
  </r>
  <r>
    <s v="Yasir Rummun"/>
    <s v="Royal Road, L’Avenir, St Pierre"/>
    <s v="Moka"/>
    <x v="205"/>
    <s v=" 57982230 / 59235745"/>
    <s v="Nab-Makeup"/>
    <x v="50"/>
    <d v="2025-05-15T00:00:00"/>
    <n v="150"/>
    <d v="2025-06-01T00:00:00"/>
  </r>
  <r>
    <s v="Zahrah Bolaky"/>
    <s v="St Pierre (Weekdays) / 15, Pierre Arthur Rayeroux, Camp Chapelon, Pailles (Weekends)"/>
    <s v="Moka / Port Louis"/>
    <x v="205"/>
    <n v="57643927"/>
    <s v="Nab-Makeup"/>
    <x v="38"/>
    <d v="2025-05-26T00:00:00"/>
    <n v="150"/>
    <d v="2025-06-01T00:00:00"/>
  </r>
  <r>
    <s v="Aisha Nootaybah Ausrafally"/>
    <s v="Vivea Business Park"/>
    <s v="Moka"/>
    <x v="205"/>
    <n v="57867050"/>
    <s v="Nab-Makeup"/>
    <x v="19"/>
    <d v="2025-06-02T00:00:00"/>
    <n v="150"/>
    <d v="2025-07-02T00:00:00"/>
  </r>
  <r>
    <s v="Gunesha Seewoopaul Jagroop"/>
    <s v="C/O Pravind Jagroop, Ramputh Lane, Saint Pierre"/>
    <s v="Moka"/>
    <x v="205"/>
    <n v="52588427"/>
    <s v="Nab-Makeup"/>
    <x v="19"/>
    <d v="2025-06-02T00:00:00"/>
    <n v="150"/>
    <d v="2025-07-02T00:00:00"/>
  </r>
  <r>
    <s v="Sailesh Roseeawon"/>
    <s v="Bois Cheri Road, Petit Verger, St Pierre"/>
    <s v="Moka"/>
    <x v="205"/>
    <n v="57630153"/>
    <s v="Nab-Makeup"/>
    <x v="13"/>
    <d v="2025-06-05T00:00:00"/>
    <n v="150"/>
    <d v="2025-07-02T00:00:00"/>
  </r>
  <r>
    <s v="Preety Dookhy"/>
    <s v="Associated Textiles, St Pierre"/>
    <s v="Moka"/>
    <x v="205"/>
    <n v="59135164"/>
    <s v="Nab-Makeup"/>
    <x v="13"/>
    <d v="2025-06-05T00:00:00"/>
    <n v="150"/>
    <d v="2025-07-02T00:00:00"/>
  </r>
  <r>
    <s v="Preeteesha Groodoyal"/>
    <s v="Royal Road, Malinga, St Pierre"/>
    <s v="Moka"/>
    <x v="205"/>
    <n v="58028160"/>
    <s v="Nab-Makeup"/>
    <x v="14"/>
    <d v="2025-06-12T00:00:00"/>
    <n v="150"/>
    <d v="2025-07-02T00:00:00"/>
  </r>
  <r>
    <s v="Mohamoodally Aisha"/>
    <s v="Morcellement Les Frangipanes, Circonstance, St Pierre"/>
    <s v="Moka"/>
    <x v="205"/>
    <n v="58192376"/>
    <s v="Nab-Makeup"/>
    <x v="41"/>
    <d v="2025-06-16T00:00:00"/>
    <n v="150"/>
    <d v="2025-07-02T00:00:00"/>
  </r>
  <r>
    <s v="Mojhoa Khonisha"/>
    <s v="Suite No. 1, Blue Ocean Building, One Way Street, Saint Pierre"/>
    <s v="Moka"/>
    <x v="205"/>
    <n v="54913161"/>
    <s v="Nab-Makeup"/>
    <x v="41"/>
    <d v="2025-06-16T00:00:00"/>
    <n v="150"/>
    <d v="2025-07-02T00:00:00"/>
  </r>
  <r>
    <s v="Joysheena Tuyau"/>
    <s v="Football Ground Lane, Chemin La Mare, L'Agrément, St Pierre"/>
    <s v="Moka"/>
    <x v="205"/>
    <n v="59255067"/>
    <s v="Nab-Makeup"/>
    <x v="15"/>
    <d v="2025-06-20T00:00:00"/>
    <n v="150"/>
    <d v="2025-07-02T00:00:00"/>
  </r>
  <r>
    <s v="Shafina"/>
    <s v="St Pierre Lavenir"/>
    <s v="St Pierre"/>
    <x v="205"/>
    <n v="57891652"/>
    <s v="Glow And Aura"/>
    <x v="51"/>
    <d v="2025-06-26T00:00:00"/>
    <n v="150"/>
    <d v="2025-07-02T00:00:00"/>
  </r>
  <r>
    <s v="Devina Loganaden"/>
    <s v="Plot No 43, Morcellement MDA, L'Avenir, St Pierre"/>
    <s v="St Pierre"/>
    <x v="205"/>
    <n v="58804086"/>
    <s v="Nab-Makeup"/>
    <x v="32"/>
    <d v="2025-07-24T00:00:00"/>
    <n v="150"/>
    <d v="2025-08-01T00:00:00"/>
  </r>
  <r>
    <s v="WESH - NABIIHAH - May's Shop"/>
    <s v="ST PIERRE, Mauritius"/>
    <s v="ST PIERRE, Mauritius"/>
    <x v="205"/>
    <n v="59064489"/>
    <s v="NABIIHAH - May's Shop"/>
    <x v="7"/>
    <d v="2025-09-01T00:00:00"/>
    <n v="100"/>
    <m/>
  </r>
  <r>
    <s v="ADVANCE DERMA - NABIIHAH - May's Shop"/>
    <s v="ST PIERRE, Mauritius"/>
    <s v="ST PIERRE, Mauritius"/>
    <x v="205"/>
    <n v="59151836"/>
    <s v="NABIIHAH - May's Shop"/>
    <x v="7"/>
    <d v="2025-09-01T00:00:00"/>
    <n v="100"/>
    <m/>
  </r>
  <r>
    <s v="Saadiyah Boolaky"/>
    <s v="Morcellement Traffic Centre, Saint Pierre"/>
    <s v="St Pierre"/>
    <x v="205"/>
    <n v="57225676"/>
    <s v="Nab-Makeup"/>
    <x v="36"/>
    <d v="2025-08-26T00:00:00"/>
    <n v="150"/>
    <m/>
  </r>
  <r>
    <s v="Inaara Badoorally"/>
    <s v="Chundunsing Lane, Morcellement St. André"/>
    <s v="Pamplemousses"/>
    <x v="206"/>
    <n v="59052621"/>
    <s v="Nab-Makeup"/>
    <x v="19"/>
    <d v="2025-06-02T00:00:00"/>
    <n v="150"/>
    <d v="2025-07-02T00:00:00"/>
  </r>
  <r>
    <s v="Deelasha Putten"/>
    <s v="G5 Avenue Tamarinier, Stanley"/>
    <s v="Plaines Wilhems"/>
    <x v="207"/>
    <n v="59759654"/>
    <s v="Nab-Makeup"/>
    <x v="38"/>
    <d v="2025-05-26T00:00:00"/>
    <n v="150"/>
    <d v="2025-06-01T00:00:00"/>
  </r>
  <r>
    <s v="Aashi"/>
    <s v="Rose Hill, Stanley"/>
    <s v="Rose Hill"/>
    <x v="207"/>
    <n v="59891073"/>
    <s v="Nab-Makeup"/>
    <x v="31"/>
    <d v="2025-07-03T00:00:00"/>
    <n v="150"/>
    <d v="2025-08-01T00:00:00"/>
  </r>
  <r>
    <s v="Aneesah Toofany"/>
    <s v="Toofany Road, Surinam"/>
    <s v="South"/>
    <x v="208"/>
    <n v="59100587"/>
    <s v="Nab-Makeup"/>
    <x v="26"/>
    <d v="2025-04-24T00:00:00"/>
    <n v="150"/>
    <d v="2025-05-04T00:00:00"/>
  </r>
  <r>
    <s v="Poornima Rughoonath"/>
    <s v="Royal Road, Surinam"/>
    <s v="Savanne"/>
    <x v="208"/>
    <n v="57965594"/>
    <s v="Timeless Trends"/>
    <x v="58"/>
    <d v="2025-05-22T00:00:00"/>
    <n v="75"/>
    <d v="2025-06-01T00:00:00"/>
  </r>
  <r>
    <s v="Zaynab Gueas"/>
    <s v="Trois Bras, Surinam"/>
    <s v="Savanne"/>
    <x v="208"/>
    <n v="57875377"/>
    <s v="Nab-Makeup"/>
    <x v="19"/>
    <d v="2025-06-02T00:00:00"/>
    <n v="150"/>
    <d v="2025-07-02T00:00:00"/>
  </r>
  <r>
    <s v="Shena Khayalee"/>
    <s v="Rochester Lane"/>
    <s v="Surinam"/>
    <x v="208"/>
    <n v="59107276"/>
    <s v="Timeless Trends"/>
    <x v="51"/>
    <d v="2025-06-26T00:00:00"/>
    <n v="150"/>
    <d v="2025-07-02T00:00:00"/>
  </r>
  <r>
    <s v="Loginee Kungarem"/>
    <s v="Ramtohul Lane, Surinam"/>
    <s v="Surinam"/>
    <x v="208"/>
    <n v="58315151"/>
    <s v="Nab-Makeup"/>
    <x v="31"/>
    <d v="2025-07-03T00:00:00"/>
    <n v="150"/>
    <d v="2025-08-01T00:00:00"/>
  </r>
  <r>
    <s v="Ayesha Luximon"/>
    <s v="Bhunjun Road, Surinam"/>
    <s v="Surinam"/>
    <x v="208"/>
    <n v="58119489"/>
    <s v="Nab-Makeup"/>
    <x v="32"/>
    <d v="2025-07-24T00:00:00"/>
    <n v="150"/>
    <d v="2025-08-01T00:00:00"/>
  </r>
  <r>
    <s v="Kshanika Khirodhur"/>
    <s v="12, Khirodhur Street, St Louis, Surinam"/>
    <s v="Savanne"/>
    <x v="208"/>
    <n v="54555614"/>
    <s v="Nab-Makeup"/>
    <x v="34"/>
    <d v="2025-08-15T00:00:00"/>
    <n v="150"/>
    <m/>
  </r>
  <r>
    <s v="Deersynee Mootyaloo"/>
    <s v="Camy Lane, Surinam"/>
    <s v="Surinam"/>
    <x v="208"/>
    <n v="59830258"/>
    <s v="Nab-Makeup"/>
    <x v="36"/>
    <d v="2025-08-26T00:00:00"/>
    <n v="150"/>
    <m/>
  </r>
  <r>
    <s v="NEELAM BEEHARY - NABIIHAH - May's Shop"/>
    <s v="SURINAM/RIV DES ANGUILLES, Mauritius"/>
    <s v="SURINAM/RIV DES ANGUILLES, Mauritius"/>
    <x v="209"/>
    <n v="58383805"/>
    <s v="NABIIHAH - May's Shop"/>
    <x v="7"/>
    <d v="2025-08-29T00:00:00"/>
    <n v="100"/>
    <m/>
  </r>
  <r>
    <s v="MAGESHWARY - NABIIHAH - May's Shop"/>
    <s v="TAGORE RD ST JULLIEN VILLAGE, Mauritius"/>
    <s v="TAGORE RD ST JULLIEN VILLAGE, Mauritius"/>
    <x v="210"/>
    <n v="59093155"/>
    <s v="NABIIHAH - May's Shop"/>
    <x v="7"/>
    <d v="2025-09-01T00:00:00"/>
    <n v="100"/>
    <m/>
  </r>
  <r>
    <s v="Anusha Cooshna"/>
    <s v="Royal Road, Tamarin"/>
    <s v="Tamarin"/>
    <x v="211"/>
    <n v="58402146"/>
    <s v="Nab-Makeup"/>
    <x v="39"/>
    <d v="2025-07-20T00:00:00"/>
    <n v="150"/>
    <d v="2025-08-01T00:00:00"/>
  </r>
  <r>
    <s v="Saarah Bhugun"/>
    <s v="Blackbird Street, Morc Tara, Terre Rouge"/>
    <s v="North"/>
    <x v="212"/>
    <n v="57329424"/>
    <s v="Nab-Makeup"/>
    <x v="46"/>
    <d v="2025-04-14T00:00:00"/>
    <n v="150"/>
    <d v="2025-05-04T00:00:00"/>
  </r>
  <r>
    <s v="Chitra Naiko"/>
    <s v="Bois Marchand Road, Terre Rouge"/>
    <s v="North"/>
    <x v="212"/>
    <n v="55023744"/>
    <s v="Nab-Makeup"/>
    <x v="18"/>
    <d v="2025-04-17T00:00:00"/>
    <n v="150"/>
    <d v="2025-05-04T00:00:00"/>
  </r>
  <r>
    <s v="Tansera Joyub"/>
    <s v="6 Buisson Ardent Street"/>
    <s v="North"/>
    <x v="212"/>
    <n v="57819412"/>
    <s v="Nab-Makeup"/>
    <x v="18"/>
    <d v="2025-04-17T00:00:00"/>
    <n v="150"/>
    <d v="2025-05-04T00:00:00"/>
  </r>
  <r>
    <s v="Tansera Joyub"/>
    <s v="6 Buisson Ardent Street, Terre Rouge"/>
    <s v="North"/>
    <x v="212"/>
    <n v="57819412"/>
    <s v="Nab-Makeup"/>
    <x v="40"/>
    <d v="2025-04-28T00:00:00"/>
    <n v="150"/>
    <d v="2025-05-04T00:00:00"/>
  </r>
  <r>
    <s v="Rushaa Boodhoo"/>
    <s v="Royal Road, Melle Laure, Terre Rouge"/>
    <s v="Pamplemousses"/>
    <x v="212"/>
    <n v="59085614"/>
    <s v="Nab-Makeup"/>
    <x v="49"/>
    <d v="2025-05-08T00:00:00"/>
    <n v="0"/>
    <s v="-"/>
  </r>
  <r>
    <s v="Reetoo Jayshree Jenita"/>
    <s v="St Joseph Road, Terre Rouge, St Joseph"/>
    <s v="Pamplemousses"/>
    <x v="212"/>
    <n v="58281246"/>
    <s v="Nab-Makeup"/>
    <x v="12"/>
    <d v="2025-05-08T00:00:00"/>
    <n v="150"/>
    <d v="2025-06-01T00:00:00"/>
  </r>
  <r>
    <s v="Rookian Abdool Raheem"/>
    <s v="B108 Morc Raffray, Ave.Rosiers 2, Le Hochet, Terre Rouge"/>
    <s v="North"/>
    <x v="212"/>
    <n v="57749245"/>
    <s v="Timeless Trends"/>
    <x v="66"/>
    <d v="2025-06-09T00:00:00"/>
    <n v="150"/>
    <d v="2025-07-02T00:00:00"/>
  </r>
  <r>
    <s v="Yasmina Noormamode"/>
    <s v="Route Militaire, Terre Rouge"/>
    <s v="Pamplemousses"/>
    <x v="212"/>
    <n v="57051426"/>
    <s v="Nab-Makeup"/>
    <x v="14"/>
    <d v="2025-06-12T00:00:00"/>
    <n v="150"/>
    <d v="2025-07-02T00:00:00"/>
  </r>
  <r>
    <s v="Ms Shifa Hooboyekhan"/>
    <s v="Ave. Veerasamy Iyer, Morcellement Raffray, Le Hochet, Terre Rouge"/>
    <s v="Pamplemousses"/>
    <x v="212"/>
    <n v="54959166"/>
    <s v="Nab-Makeup"/>
    <x v="41"/>
    <d v="2025-06-16T00:00:00"/>
    <n v="150"/>
    <d v="2025-07-02T00:00:00"/>
  </r>
  <r>
    <s v="Ourusha Bibi Allam"/>
    <s v="Copain Lane, Terre Rouge"/>
    <s v="Pamplemousses"/>
    <x v="212"/>
    <n v="55064569"/>
    <s v="Nab-Makeup"/>
    <x v="11"/>
    <d v="2025-06-30T00:00:00"/>
    <n v="150"/>
    <d v="2025-07-02T00:00:00"/>
  </r>
  <r>
    <s v="Yasiirah Kassim"/>
    <s v="Sunflower Lane, Terre Rouge, Mauritius"/>
    <s v="Pamplemousses"/>
    <x v="212"/>
    <n v="57988906"/>
    <s v="Nab-Makeup"/>
    <x v="11"/>
    <d v="2025-06-30T00:00:00"/>
    <n v="150"/>
    <d v="2025-07-02T00:00:00"/>
  </r>
  <r>
    <s v="Nashreen"/>
    <s v="Le Hochet Terre Rouge"/>
    <s v="Terre Rouge"/>
    <x v="212"/>
    <n v="57634389"/>
    <s v="Glow And Aura"/>
    <x v="42"/>
    <d v="2025-07-03T00:00:00"/>
    <n v="150"/>
    <d v="2025-08-01T00:00:00"/>
  </r>
  <r>
    <s v="Nazmi Isseljee"/>
    <s v="Nelson Mandela, Terre Rouge"/>
    <s v="Terre Rouge"/>
    <x v="212"/>
    <n v="59170039"/>
    <s v="Nab-Makeup"/>
    <x v="24"/>
    <d v="2025-07-10T00:00:00"/>
    <n v="150"/>
    <d v="2025-08-01T00:00:00"/>
  </r>
  <r>
    <s v="Esha"/>
    <s v="Orient Lane, Le Hochet, Terre Rouge"/>
    <s v="Terre Rouge"/>
    <x v="212"/>
    <n v="54573446"/>
    <s v="OKASINA"/>
    <x v="39"/>
    <d v="2025-07-17T00:00:00"/>
    <n v="150"/>
    <d v="2025-08-01T00:00:00"/>
  </r>
  <r>
    <s v="Disha Mungla-Allock"/>
    <s v="Shivala Rd, Le Hochet, Terre Rouge, Pamplemousses"/>
    <s v="Terre Rouge"/>
    <x v="212"/>
    <n v="57030579"/>
    <s v="Nab-Makeup"/>
    <x v="32"/>
    <d v="2025-07-24T00:00:00"/>
    <n v="150"/>
    <d v="2025-08-01T00:00:00"/>
  </r>
  <r>
    <s v="Hrishti Jerkoo"/>
    <s v="Royal Road Bois Pignolet, Terre Rouge"/>
    <s v="Royal Road Bois Pignolet"/>
    <x v="212"/>
    <n v="58366160"/>
    <s v="Nab-Makeup"/>
    <x v="22"/>
    <d v="2025-08-07T00:00:00"/>
    <n v="150"/>
    <m/>
  </r>
  <r>
    <s v="Rekha Obhymaun"/>
    <s v="Railway Iii Street, Bois Pignolet, Terre Rouge"/>
    <s v="Bois Pignolet"/>
    <x v="212"/>
    <n v="59444007"/>
    <s v="OKASINA"/>
    <x v="22"/>
    <d v="2025-08-07T00:00:00"/>
    <n v="150"/>
    <m/>
  </r>
  <r>
    <s v="Yashna Ballgobin"/>
    <s v="Basalt Street, Deelawar Lane, Terre Rouge"/>
    <s v="Terre Rouge"/>
    <x v="212"/>
    <n v="58219994"/>
    <s v="Nab-Makeup"/>
    <x v="5"/>
    <d v="2025-08-12T00:00:00"/>
    <n v="150"/>
    <m/>
  </r>
  <r>
    <s v="Amnah"/>
    <s v="Nelson Mandela Lane, Terre Rouge"/>
    <s v="Terre Rouge"/>
    <x v="212"/>
    <n v="58301890"/>
    <s v="Nab-Makeup"/>
    <x v="36"/>
    <d v="2025-08-26T00:00:00"/>
    <n v="150"/>
    <m/>
  </r>
  <r>
    <s v="Zakkiyah "/>
    <s v="Terre rouge "/>
    <s v="Terre rouge "/>
    <x v="213"/>
    <n v="58365447"/>
    <s v="Glow And Aura"/>
    <x v="63"/>
    <d v="2025-08-22T00:00:00"/>
    <n v="150"/>
    <m/>
  </r>
  <r>
    <s v="Jameela HossenMohamed"/>
    <s v="Joseph Legris, Terre Rouge, Port Louis, Mauritius"/>
    <s v="North"/>
    <x v="214"/>
    <s v="5506 5606"/>
    <s v="Nab-Makeup"/>
    <x v="27"/>
    <d v="2025-08-19T00:00:00"/>
    <n v="150"/>
    <m/>
  </r>
  <r>
    <s v="Suman"/>
    <s v="The Vale Govt School (if before 15h) or Petit Raffray after 15:30"/>
    <s v="Riviere du Rempart"/>
    <x v="215"/>
    <n v="57540682"/>
    <s v="Timeless Trends"/>
    <x v="58"/>
    <d v="2025-05-22T00:00:00"/>
    <n v="75"/>
    <d v="2025-06-01T00:00:00"/>
  </r>
  <r>
    <s v="Aklimah Acharaze"/>
    <s v="Sohawon Road, The Vale (Lower)"/>
    <s v="The Vale"/>
    <x v="215"/>
    <n v="52561636"/>
    <s v="Nab-Makeup"/>
    <x v="24"/>
    <d v="2025-07-10T00:00:00"/>
    <n v="150"/>
    <d v="2025-08-01T00:00:00"/>
  </r>
  <r>
    <s v="Anishta Doorga"/>
    <s v="3 Prince Alfred, Tranquebar, Port Louis"/>
    <s v="Port Louis"/>
    <x v="216"/>
    <n v="58381496"/>
    <s v="Nab-Makeup"/>
    <x v="35"/>
    <d v="2025-09-01T00:00:00"/>
    <n v="150"/>
    <m/>
  </r>
  <r>
    <s v="Soobratty Farhana"/>
    <s v="Centrepoint, Trianon"/>
    <s v="Central"/>
    <x v="217"/>
    <n v="59888285"/>
    <s v="Nab-Makeup"/>
    <x v="46"/>
    <d v="2025-04-17T00:00:00"/>
    <n v="150"/>
    <d v="2025-05-04T00:00:00"/>
  </r>
  <r>
    <s v="Chumun Shristi"/>
    <s v="Tribeca Mall"/>
    <s v="Tribeca"/>
    <x v="218"/>
    <n v="59028141"/>
    <s v="Nab-Makeup"/>
    <x v="2"/>
    <d v="2025-07-07T00:00:00"/>
    <n v="150"/>
    <d v="2025-08-01T00:00:00"/>
  </r>
  <r>
    <s v="Savita"/>
    <s v="Tribecca mall - Xti shop"/>
    <s v="Tribecca mall"/>
    <x v="219"/>
    <n v="57604178"/>
    <s v="OKASINA"/>
    <x v="6"/>
    <d v="2025-08-04T00:00:00"/>
    <n v="150"/>
    <m/>
  </r>
  <r>
    <s v="Rushmee Toolsee"/>
    <s v="EDC Lane, 3 Boutiques"/>
    <s v="North"/>
    <x v="220"/>
    <n v="57909410"/>
    <s v="Nab-Makeup"/>
    <x v="18"/>
    <d v="2025-04-18T00:00:00"/>
    <n v="150"/>
    <d v="2025-05-04T00:00:00"/>
  </r>
  <r>
    <s v="Ramothar Vidoushi"/>
    <s v="Bon Air Branch Road"/>
    <s v="North"/>
    <x v="220"/>
    <s v="57942683 / 2614336"/>
    <s v="Nab-Makeup"/>
    <x v="18"/>
    <d v="2025-04-17T00:00:00"/>
    <n v="150"/>
    <d v="2025-05-04T00:00:00"/>
  </r>
  <r>
    <s v="Rachna Boodhram"/>
    <s v="Royal Road 8th mile Triolet"/>
    <s v="North"/>
    <x v="220"/>
    <n v="58106705"/>
    <s v="Nab-Makeup"/>
    <x v="25"/>
    <d v="2025-04-21T00:00:00"/>
    <n v="150"/>
    <d v="2025-05-04T00:00:00"/>
  </r>
  <r>
    <s v="Lutchmun Vristee"/>
    <s v="Shrimati Indira Gandhi Road, Pointe Aux Piments, Triolet"/>
    <s v="North"/>
    <x v="220"/>
    <n v="54578490"/>
    <s v="Nab-Makeup"/>
    <x v="40"/>
    <d v="2025-04-28T00:00:00"/>
    <n v="150"/>
    <d v="2025-05-04T00:00:00"/>
  </r>
  <r>
    <s v="Shifa Rehmati Joomun"/>
    <s v="Triolet 7eme Mille Sungaralingum Lane"/>
    <s v="North"/>
    <x v="220"/>
    <n v="57643513"/>
    <s v="Nab-Makeup"/>
    <x v="8"/>
    <d v="2025-05-05T00:00:00"/>
    <n v="150"/>
    <d v="2025-06-01T00:00:00"/>
  </r>
  <r>
    <s v="Roshni Bhungee"/>
    <s v="9th Mile, Triolet, Maheshwar Nagri Rd"/>
    <s v="North"/>
    <x v="220"/>
    <n v="59063468"/>
    <s v="Nab-Makeup"/>
    <x v="28"/>
    <d v="2025-05-01T00:00:00"/>
    <n v="150"/>
    <d v="2025-05-04T00:00:00"/>
  </r>
  <r>
    <s v="Yassir Bholah"/>
    <s v="Camp Lilas, Triolet"/>
    <s v="North"/>
    <x v="220"/>
    <n v="58125039"/>
    <s v="Nab-Makeup"/>
    <x v="28"/>
    <d v="2025-05-01T00:00:00"/>
    <n v="150"/>
    <d v="2025-05-04T00:00:00"/>
  </r>
  <r>
    <s v="Aatish"/>
    <s v="Prince of Wales Street, 7th Mile, Triolet"/>
    <s v="North"/>
    <x v="220"/>
    <n v="58029594"/>
    <s v="OKASINA"/>
    <x v="28"/>
    <d v="2025-05-05T00:00:00"/>
    <n v="150"/>
    <d v="2025-06-01T00:00:00"/>
  </r>
  <r>
    <s v="Roshni Bhungee"/>
    <s v="9th Mile, Triolet, Maheshwar Nagri Rd"/>
    <s v="Pamplemousses"/>
    <x v="220"/>
    <n v="59063468"/>
    <s v="Nab-Makeup"/>
    <x v="12"/>
    <d v="2025-05-08T00:00:00"/>
    <n v="150"/>
    <d v="2025-06-01T00:00:00"/>
  </r>
  <r>
    <s v="Kyria Evodie Siraz"/>
    <s v="Geetanjalee Road, 3 Boutiques, Triolet"/>
    <s v="Pamplemousses"/>
    <x v="220"/>
    <n v="57947140"/>
    <s v="Nab-Makeup"/>
    <x v="29"/>
    <d v="2025-05-12T00:00:00"/>
    <n v="150"/>
    <d v="2025-06-01T00:00:00"/>
  </r>
  <r>
    <s v="Yusheeka Gunga"/>
    <s v="Royal road, 9th Mille, Triolet"/>
    <s v="Pamplemousses"/>
    <x v="220"/>
    <n v="58318558"/>
    <s v="Nab-Makeup"/>
    <x v="29"/>
    <d v="2025-05-12T00:00:00"/>
    <n v="150"/>
    <d v="2025-06-01T00:00:00"/>
  </r>
  <r>
    <s v="Tanouka Approo"/>
    <s v="Mahatma Gandhi Road, 3 Boutiques, Triolet"/>
    <s v="Pamplemousses"/>
    <x v="220"/>
    <n v="57644700"/>
    <s v="Nab-Makeup"/>
    <x v="29"/>
    <d v="2025-05-12T00:00:00"/>
    <n v="150"/>
    <d v="2025-06-01T00:00:00"/>
  </r>
  <r>
    <s v="Geetika Jhurry"/>
    <s v="State Secondary School Lane, 8th Mile, Triolet"/>
    <s v="Pamplemousses"/>
    <x v="220"/>
    <n v="57950634"/>
    <s v="Nab-Makeup"/>
    <x v="50"/>
    <d v="2025-05-15T00:00:00"/>
    <n v="150"/>
    <d v="2025-06-01T00:00:00"/>
  </r>
  <r>
    <s v="Shafaa Mirjane"/>
    <s v="Fleury sur Mer Lane, Trou aux Biches Road, Triolet"/>
    <s v="Pamplemousses"/>
    <x v="220"/>
    <n v="57869587"/>
    <s v="Nab-Makeup"/>
    <x v="50"/>
    <d v="2025-05-19T00:00:00"/>
    <n v="150"/>
    <d v="2025-06-01T00:00:00"/>
  </r>
  <r>
    <s v="Indira Bhugun"/>
    <s v="Maheshwar Nagri Road, 9Th Miles, Triolet"/>
    <s v="Triolet"/>
    <x v="220"/>
    <n v="57016453"/>
    <s v="OKASINA"/>
    <x v="30"/>
    <d v="2025-05-19T00:00:00"/>
    <n v="150"/>
    <d v="2025-06-01T00:00:00"/>
  </r>
  <r>
    <s v="Zarine Lowtun"/>
    <s v="Beedassy Lane, 8th Mile, Triolet"/>
    <s v="Pamplemousses"/>
    <x v="220"/>
    <n v="57735020"/>
    <s v="Nab-Makeup"/>
    <x v="23"/>
    <d v="2025-05-22T00:00:00"/>
    <n v="150"/>
    <d v="2025-06-01T00:00:00"/>
  </r>
  <r>
    <s v="Zarine Lowtun"/>
    <s v="Beedassy Lane, 8th Mile, Triolet"/>
    <s v="Pamplemousses"/>
    <x v="220"/>
    <n v="57735020"/>
    <s v="Nab-Makeup"/>
    <x v="38"/>
    <d v="2025-05-26T00:00:00"/>
    <n v="150"/>
    <d v="2025-06-01T00:00:00"/>
  </r>
  <r>
    <s v="Prateebah Jharee"/>
    <s v="Mahatma Gandhi Rd, Trois Boutik, Triolet"/>
    <s v="Triolet"/>
    <x v="220"/>
    <n v="59291886"/>
    <s v="Glow And Aura"/>
    <x v="66"/>
    <d v="2025-06-09T00:00:00"/>
    <n v="75"/>
    <d v="2025-07-02T00:00:00"/>
  </r>
  <r>
    <s v="Aditya Jugnah"/>
    <s v="Royal Road, 8th Mile, Triolet"/>
    <s v="8th Mile"/>
    <x v="220"/>
    <n v="57504291"/>
    <s v="Nab-Makeup"/>
    <x v="10"/>
    <d v="2025-06-26T00:00:00"/>
    <n v="150"/>
    <d v="2025-07-02T00:00:00"/>
  </r>
  <r>
    <s v="Yaashna Dusoye"/>
    <s v="Maheshwar Nagri Road, 9th Mile"/>
    <s v="Triolet"/>
    <x v="220"/>
    <n v="57669015"/>
    <s v="Nab-Makeup"/>
    <x v="47"/>
    <d v="2025-06-26T00:00:00"/>
    <n v="150"/>
    <d v="2025-07-02T00:00:00"/>
  </r>
  <r>
    <s v="Priyam Devi Seeruttun"/>
    <s v="Maheshwarnagri Road, 9th Mille, Triolet"/>
    <s v="Pamplemousses"/>
    <x v="220"/>
    <n v="57919326"/>
    <s v="Nab-Makeup"/>
    <x v="11"/>
    <d v="2025-06-30T00:00:00"/>
    <n v="150"/>
    <d v="2025-07-02T00:00:00"/>
  </r>
  <r>
    <s v="Roshni Bhungee"/>
    <s v="9th Mile, Triolet, Maheshwar Nagri Road"/>
    <s v="Pamplemousses"/>
    <x v="220"/>
    <n v="59063468"/>
    <s v="Nab-Makeup"/>
    <x v="11"/>
    <d v="2025-06-30T00:00:00"/>
    <n v="150"/>
    <d v="2025-07-02T00:00:00"/>
  </r>
  <r>
    <s v="Lisheekha Gopaul"/>
    <s v="Shivala Lane, Triolet"/>
    <s v="Triolet"/>
    <x v="220"/>
    <n v="59026291"/>
    <s v="Little Star Boutique"/>
    <x v="42"/>
    <d v="2025-07-03T00:00:00"/>
    <n v="150"/>
    <d v="2025-08-01T00:00:00"/>
  </r>
  <r>
    <s v="Mandishta Indur"/>
    <s v="Royal Road, Anand Square, 8th Mile, Triolet"/>
    <s v="Triolet"/>
    <x v="220"/>
    <n v="58468896"/>
    <s v="Nab-Makeup"/>
    <x v="2"/>
    <d v="2025-07-07T00:00:00"/>
    <n v="150"/>
    <d v="2025-08-01T00:00:00"/>
  </r>
  <r>
    <s v="Madina Chady Abdoolah Khan"/>
    <s v="7eme Mille Triolet Mosque Road"/>
    <s v="Triolet"/>
    <x v="220"/>
    <n v="59183002"/>
    <s v="Nab-Makeup"/>
    <x v="24"/>
    <d v="2025-07-10T00:00:00"/>
    <n v="150"/>
    <d v="2025-08-01T00:00:00"/>
  </r>
  <r>
    <s v="Yaashna Dusoye"/>
    <s v="Maheshwar Nagri Road, 9th Mile, Triolet"/>
    <s v="Triolet"/>
    <x v="220"/>
    <n v="57669015"/>
    <s v="Nab-Makeup"/>
    <x v="21"/>
    <d v="2025-07-14T00:00:00"/>
    <n v="150"/>
    <d v="2025-08-01T00:00:00"/>
  </r>
  <r>
    <s v="Soomaroo Tanuja"/>
    <s v="Vikas Building, Raj Kowlessur Lane, 7th Mile, Triolet"/>
    <s v="Triolet"/>
    <x v="220"/>
    <n v="57986179"/>
    <s v="Nab-Makeup"/>
    <x v="39"/>
    <d v="2025-07-17T00:00:00"/>
    <n v="150"/>
    <d v="2025-08-01T00:00:00"/>
  </r>
  <r>
    <s v="Izdihaar"/>
    <s v="Bon Air Branch, Triolet"/>
    <s v="Triolet"/>
    <x v="220"/>
    <n v="59175557"/>
    <s v="Glow And Aura"/>
    <x v="43"/>
    <d v="2025-07-24T00:00:00"/>
    <n v="150"/>
    <d v="2025-08-01T00:00:00"/>
  </r>
  <r>
    <s v="Mme Mohit "/>
    <s v="SSS Lane, Triolet"/>
    <s v="Triolet"/>
    <x v="220"/>
    <n v="57998810"/>
    <s v="Timeless Trends"/>
    <x v="43"/>
    <d v="2025-07-24T00:00:00"/>
    <n v="150"/>
    <d v="2025-08-01T00:00:00"/>
  </r>
  <r>
    <s v="Mrs Sunita Chandanee Unuth"/>
    <s v="Royal Rd 8Eme Mille - Mcb Square"/>
    <s v="Triolet"/>
    <x v="220"/>
    <n v="59209256"/>
    <s v="Timeless Trends"/>
    <x v="53"/>
    <d v="2025-07-31T00:00:00"/>
    <n v="150"/>
    <d v="2025-07-31T00:00:00"/>
  </r>
  <r>
    <s v="Shifa Rehmati Joomun"/>
    <s v="Sungaraligum Lane, 7eme Mille, Triolet"/>
    <s v="Triolet"/>
    <x v="220"/>
    <n v="57643513"/>
    <s v="Nab-Makeup"/>
    <x v="6"/>
    <d v="2025-08-05T00:00:00"/>
    <n v="150"/>
    <m/>
  </r>
  <r>
    <s v="Jeetoo Meenakshee"/>
    <s v="Shivala Road, Triolet"/>
    <s v="Triolet"/>
    <x v="220"/>
    <n v="54816753"/>
    <s v="OKASINA"/>
    <x v="22"/>
    <d v="2025-08-07T00:00:00"/>
    <n v="150"/>
    <m/>
  </r>
  <r>
    <s v="Neha Puttur"/>
    <s v="Dream Price, Triolet"/>
    <s v="Triolet"/>
    <x v="220"/>
    <n v="58149009"/>
    <s v="Timeless Trends"/>
    <x v="57"/>
    <d v="2025-08-15T00:00:00"/>
    <n v="150"/>
    <m/>
  </r>
  <r>
    <s v="Shamnaz Gurreebat"/>
    <s v="Bonnair Road, Triolet, Mauritius"/>
    <s v="North"/>
    <x v="220"/>
    <s v="5833 8876"/>
    <s v="Nab-Makeup"/>
    <x v="27"/>
    <d v="2025-08-19T00:00:00"/>
    <n v="150"/>
    <m/>
  </r>
  <r>
    <s v="Tasleema Neerooa"/>
    <s v="Triolet (Pin Provided)"/>
    <s v="Triolet"/>
    <x v="220"/>
    <n v="57800440"/>
    <s v="Azzah Boutique"/>
    <x v="63"/>
    <d v="2025-08-22T00:00:00"/>
    <n v="150"/>
    <m/>
  </r>
  <r>
    <s v="Ramkaun Pratima Devi"/>
    <s v="Maheswar Nagri Road, 9th Mile, Triolet"/>
    <s v="Triolet"/>
    <x v="220"/>
    <n v="57532722"/>
    <s v="OKASINA"/>
    <x v="45"/>
    <d v="2025-09-01T00:00:00"/>
    <n v="150"/>
    <m/>
  </r>
  <r>
    <s v="Emrith Sabeena"/>
    <s v="Mosque Road, 7th Mile, Triolet"/>
    <s v="Triolet"/>
    <x v="220"/>
    <n v="58165751"/>
    <s v="OKASINA"/>
    <x v="45"/>
    <d v="2025-09-01T00:00:00"/>
    <n v="150"/>
    <m/>
  </r>
  <r>
    <s v="Madiha"/>
    <s v="9eme Mille Cremation Road, Triolet"/>
    <s v="Triolet"/>
    <x v="220"/>
    <n v="58117663"/>
    <s v="Luxe Miniatures"/>
    <x v="7"/>
    <d v="2025-08-26T00:00:00"/>
    <n v="150"/>
    <m/>
  </r>
  <r>
    <s v="Saira "/>
    <s v="Triolet "/>
    <s v="Triolet "/>
    <x v="221"/>
    <n v="52544523"/>
    <s v="Glow And Aura"/>
    <x v="63"/>
    <d v="2025-08-22T00:00:00"/>
    <n v="150"/>
    <m/>
  </r>
  <r>
    <s v="ARASI - NABIIHAH - May's Shop"/>
    <s v="TRIOLET, PRINCE OF Wales st TRIOLET, Mauritius"/>
    <s v="TRIOLET, PRINCE OF Wales st TRIOLET, Mauritius"/>
    <x v="222"/>
    <n v="57050487"/>
    <s v="NABIIHAH - May's Shop"/>
    <x v="7"/>
    <d v="2025-09-01T00:00:00"/>
    <n v="100"/>
    <m/>
  </r>
  <r>
    <s v="Sheekha Mooneesamy"/>
    <s v="School Lane, Trois Boutique, Chemin Save Max"/>
    <s v="Chemin Save Max"/>
    <x v="223"/>
    <n v="57984509"/>
    <s v="Nab-Makeup"/>
    <x v="10"/>
    <d v="2025-06-23T00:00:00"/>
    <n v="150"/>
    <d v="2025-07-02T00:00:00"/>
  </r>
  <r>
    <s v="RADS DEVIKA - NABIIHAH - May's Shop"/>
    <s v="TROIS BOUTIQUE , Mauritius"/>
    <s v="TROIS BOUTIQUE , Mauritius"/>
    <x v="224"/>
    <n v="59149684"/>
    <s v="NABIIHAH - May's Shop"/>
    <x v="7"/>
    <d v="2025-08-29T00:00:00"/>
    <n v="100"/>
    <m/>
  </r>
  <r>
    <s v="SHREYA - NABIIHAH - May's Shop"/>
    <s v="TROIS BOUTIQUE UNION VALE, Mauritius"/>
    <s v="TROIS BOUTIQUE UNION VALE, Mauritius"/>
    <x v="225"/>
    <n v="57911084"/>
    <s v="NABIIHAH - May's Shop"/>
    <x v="7"/>
    <d v="2025-08-29T00:00:00"/>
    <n v="100"/>
    <m/>
  </r>
  <r>
    <s v="Bhavishna Jugun"/>
    <s v="Trois Boutiques, Union Vale, Temple Road (Sud)"/>
    <s v="Grand Port"/>
    <x v="226"/>
    <n v="59047514"/>
    <s v="Nab-Makeup"/>
    <x v="1"/>
    <d v="2025-06-09T00:00:00"/>
    <n v="150"/>
    <d v="2025-07-02T00:00:00"/>
  </r>
  <r>
    <s v="Lavena Kumar"/>
    <s v="Ayodhya Lane, Trois Boutiques, Union Vale"/>
    <s v="Grand Port"/>
    <x v="226"/>
    <n v="57637943"/>
    <s v="Nab-Makeup"/>
    <x v="1"/>
    <d v="2025-06-09T00:00:00"/>
    <n v="150"/>
    <d v="2025-07-02T00:00:00"/>
  </r>
  <r>
    <s v="Lipshita Mungroo"/>
    <s v="Gandhi Road, Trois Boutiques, Union Vale"/>
    <s v="Grand Port"/>
    <x v="226"/>
    <n v="58322010"/>
    <s v="Nab-Makeup"/>
    <x v="41"/>
    <d v="2025-06-16T00:00:00"/>
    <n v="150"/>
    <d v="2025-07-02T00:00:00"/>
  </r>
  <r>
    <s v="Lavena Kumar"/>
    <s v="Ayodhya Lane, Trois Boutiques, Union Vale"/>
    <s v="Grand Port"/>
    <x v="226"/>
    <n v="57637943"/>
    <s v="Nab-Makeup"/>
    <x v="15"/>
    <d v="2025-06-23T00:00:00"/>
    <n v="150"/>
    <d v="2025-07-02T00:00:00"/>
  </r>
  <r>
    <s v="Ashreena Shibnauth"/>
    <s v="Royal Road, Union Vale, Trois Boutiques"/>
    <s v="Trois Boutiques"/>
    <x v="226"/>
    <n v="57984561"/>
    <s v="Nab-Makeup"/>
    <x v="2"/>
    <d v="2025-07-07T00:00:00"/>
    <n v="150"/>
    <d v="2025-08-01T00:00:00"/>
  </r>
  <r>
    <s v="Reetisha Suroop"/>
    <s v="E6 Cité Trois Boutiques"/>
    <s v="Trois Boutiques"/>
    <x v="226"/>
    <n v="58138992"/>
    <s v="Nab-Makeup"/>
    <x v="36"/>
    <d v="2025-08-29T00:00:00"/>
    <n v="150"/>
    <m/>
  </r>
  <r>
    <s v="SHEILA SEPAUL - NABIIHAH - May's Shop"/>
    <s v="TROLET, ROYAL RD 8TH MIL, TROLET (NEAR NIC), Mauritius"/>
    <s v="TROLET, ROYAL RD 8TH MIL, TROLET (NEAR NIC), Mauritius"/>
    <x v="227"/>
    <n v="57551335"/>
    <s v="NABIIHAH - May's Shop"/>
    <x v="7"/>
    <d v="2025-09-01T00:00:00"/>
    <n v="100"/>
    <m/>
  </r>
  <r>
    <s v="KAYLA - NABIIHAH - May's Shop"/>
    <s v="TROLET, shiv prakash mandir lane TRIOLET, Mauritius"/>
    <s v="TROLET, shiv prakash mandir lane TRIOLET, Mauritius"/>
    <x v="228"/>
    <n v="59230819"/>
    <s v="NABIIHAH - May's Shop"/>
    <x v="7"/>
    <d v="2025-09-01T00:00:00"/>
    <n v="100"/>
    <m/>
  </r>
  <r>
    <s v="Isha Jyotee Jeebun"/>
    <s v="64 Rue Begonia, Morcellement Jubhroo, Trou Aux Biches"/>
    <s v="North"/>
    <x v="229"/>
    <n v="58119912"/>
    <s v="Nab-Makeup"/>
    <x v="28"/>
    <d v="2025-05-01T00:00:00"/>
    <n v="150"/>
    <d v="2025-05-04T00:00:00"/>
  </r>
  <r>
    <s v="Naomy Dardenne"/>
    <s v="La Pelouse, Trou d’Eau Douce"/>
    <s v="Flacq"/>
    <x v="230"/>
    <n v="59236513"/>
    <s v="Nab-Makeup"/>
    <x v="14"/>
    <d v="2025-06-12T00:00:00"/>
    <n v="150"/>
    <d v="2025-07-02T00:00:00"/>
  </r>
  <r>
    <s v="Jahnavi Seedheeyan"/>
    <s v="Victoria Road, Trou D'eau Douce"/>
    <s v="Trou D'eau Douce"/>
    <x v="230"/>
    <n v="58099746"/>
    <s v="Nab-Makeup"/>
    <x v="21"/>
    <d v="2025-07-14T00:00:00"/>
    <n v="150"/>
    <d v="2025-08-01T00:00:00"/>
  </r>
  <r>
    <s v="Raj"/>
    <s v="Trou D'eau Douce"/>
    <s v="Trou D'eau Douce"/>
    <x v="230"/>
    <n v="57925858"/>
    <s v="Vibezone Boutik"/>
    <x v="4"/>
    <s v="Cancelled"/>
    <n v="150"/>
    <m/>
  </r>
  <r>
    <s v="Natasha"/>
    <s v="Troues Aux Biches"/>
    <s v="Troues Aux Biches"/>
    <x v="231"/>
    <n v="57669478"/>
    <s v="Vibezone Boutik"/>
    <x v="4"/>
    <d v="2025-07-31T00:00:00"/>
    <n v="150"/>
    <d v="2025-08-01T00:00:00"/>
  </r>
  <r>
    <s v="Nishma Foolchund"/>
    <s v="Royal Road , Tayak"/>
    <s v="South"/>
    <x v="232"/>
    <n v="58490552"/>
    <s v="Nab-Makeup"/>
    <x v="46"/>
    <d v="2025-04-14T00:00:00"/>
    <n v="150"/>
    <d v="2025-05-04T00:00:00"/>
  </r>
  <r>
    <s v="Bhoomita Kooblall"/>
    <s v="Morc Blueprint, lot no.90 (2), Tyack"/>
    <s v="Savanne"/>
    <x v="232"/>
    <n v="57023580"/>
    <s v="Nab-Makeup"/>
    <x v="29"/>
    <d v="2025-05-12T00:00:00"/>
    <n v="150"/>
    <d v="2025-06-01T00:00:00"/>
  </r>
  <r>
    <s v="Zaina Ozeer"/>
    <s v="Paradise Street, Tyack, Riv des Anguilles"/>
    <s v="Riv des Anguilles"/>
    <x v="232"/>
    <n v="57919293"/>
    <s v="Nab-Makeup"/>
    <x v="31"/>
    <d v="2025-07-03T00:00:00"/>
    <n v="150"/>
    <d v="2025-08-01T00:00:00"/>
  </r>
  <r>
    <s v="Sewnundun Periyan Sujata"/>
    <s v="Tyack Gov School"/>
    <s v="Tyack"/>
    <x v="232"/>
    <n v="59859221"/>
    <s v="Nab-Makeup"/>
    <x v="21"/>
    <d v="2025-07-14T00:00:00"/>
    <n v="150"/>
    <d v="2025-08-01T00:00:00"/>
  </r>
  <r>
    <s v="Mishna Lokhun"/>
    <s v="Cremation Road, Tyack"/>
    <s v="South"/>
    <x v="232"/>
    <n v="57605263"/>
    <s v="Nab-Makeup"/>
    <x v="35"/>
    <d v="2025-08-29T00:00:00"/>
    <n v="150"/>
    <m/>
  </r>
  <r>
    <s v="Nitasha Ittoo Ramgoolam"/>
    <s v="Mosque Rd, Tyack"/>
    <s v="Tyack"/>
    <x v="232"/>
    <n v="57803463"/>
    <s v="Nab-Makeup"/>
    <x v="35"/>
    <d v="2025-08-29T00:00:00"/>
    <n v="150"/>
    <m/>
  </r>
  <r>
    <s v="Yasmine Ramjaun"/>
    <s v="Royal Road, Tyack, Rivière des Anguilles"/>
    <s v="Tyack / RDA"/>
    <x v="233"/>
    <n v="57078814"/>
    <s v="Azzah Boutique"/>
    <x v="63"/>
    <d v="2025-08-22T00:00:00"/>
    <n v="150"/>
    <m/>
  </r>
  <r>
    <s v="Beegoo Janvee Devi"/>
    <s v="Royal Road, Union Park (vis-à-vis Cluny Road)"/>
    <s v="Central"/>
    <x v="234"/>
    <n v="58060464"/>
    <s v="Nab-Makeup"/>
    <x v="9"/>
    <d v="2025-05-05T00:00:00"/>
    <n v="150"/>
    <d v="2025-06-01T00:00:00"/>
  </r>
  <r>
    <s v="Rosun Nuzhah"/>
    <s v="Rosun Street, Union Park"/>
    <s v="Grand Port"/>
    <x v="234"/>
    <n v="59163093"/>
    <s v="Nab-Makeup"/>
    <x v="1"/>
    <d v="2025-06-09T00:00:00"/>
    <n v="150"/>
    <d v="2025-07-02T00:00:00"/>
  </r>
  <r>
    <s v="Bibi Aisha Dilholaush"/>
    <s v="Royal Road, Union Park"/>
    <s v="Union Park"/>
    <x v="234"/>
    <n v="59018427"/>
    <s v="Nab-Makeup"/>
    <x v="31"/>
    <d v="2025-07-03T00:00:00"/>
    <n v="150"/>
    <d v="2025-08-01T00:00:00"/>
  </r>
  <r>
    <s v="Bibi Aisha Dilholaush"/>
    <s v="Royal Road, Union Park"/>
    <s v="Union Park"/>
    <x v="234"/>
    <n v="59018427"/>
    <s v="Nab-Makeup"/>
    <x v="0"/>
    <d v="2025-07-31T00:00:00"/>
    <n v="150"/>
    <d v="2025-08-01T00:00:00"/>
  </r>
  <r>
    <s v="Richa Furcy"/>
    <s v="Le Bouchon Road, Trois Boutiques, Union Vale"/>
    <s v="Trois Boutiques, Union Vale"/>
    <x v="235"/>
    <n v="58207596"/>
    <s v="OKASINA"/>
    <x v="6"/>
    <d v="2025-08-04T00:00:00"/>
    <n v="150"/>
    <m/>
  </r>
  <r>
    <s v="Yeshna Ramguth"/>
    <s v="Royal Road"/>
    <s v="Upper Vale"/>
    <x v="236"/>
    <n v="59093180"/>
    <s v="Nab-Makeup"/>
    <x v="47"/>
    <d v="2025-06-26T00:00:00"/>
    <n v="150"/>
    <d v="2025-07-02T00:00:00"/>
  </r>
  <r>
    <s v="Emambocus Sharmeen"/>
    <s v="Kashmir Road"/>
    <s v="Upper Vale"/>
    <x v="236"/>
    <n v="57926382"/>
    <s v="Nab-Makeup"/>
    <x v="33"/>
    <d v="2025-07-28T00:00:00"/>
    <n v="150"/>
    <d v="2025-08-01T00:00:00"/>
  </r>
  <r>
    <s v="SNEHA - NABIIHAH - May's Shop"/>
    <s v="UPPER VALE, Mauritius"/>
    <s v="UPPER VALE, Mauritius"/>
    <x v="236"/>
    <n v="59895766"/>
    <s v="NABIIHAH - May's Shop"/>
    <x v="7"/>
    <d v="2025-09-01T00:00:00"/>
    <n v="100"/>
    <m/>
  </r>
  <r>
    <s v="Zikrah Boodhoo"/>
    <s v="Royal Road, Upper Vale"/>
    <s v="Upper Vale"/>
    <x v="236"/>
    <n v="58220763"/>
    <s v="Nab-Makeup"/>
    <x v="36"/>
    <d v="2025-08-26T00:00:00"/>
    <n v="150"/>
    <m/>
  </r>
  <r>
    <s v="Nouzhat Furreedan"/>
    <s v="Emmanuel Gerard Ave, Flat Busawon, Vacoas"/>
    <s v="Central"/>
    <x v="237"/>
    <n v="57668449"/>
    <s v="Nab-Makeup"/>
    <x v="46"/>
    <d v="2025-04-14T00:00:00"/>
    <n v="150"/>
    <d v="2025-05-04T00:00:00"/>
  </r>
  <r>
    <s v="Pravin Janki"/>
    <s v="Hollyrood No1, Vacoas"/>
    <s v="Central"/>
    <x v="237"/>
    <n v="57535983"/>
    <s v="Nab-Makeup"/>
    <x v="46"/>
    <d v="2025-04-14T00:00:00"/>
    <n v="150"/>
    <d v="2025-05-04T00:00:00"/>
  </r>
  <r>
    <s v="Zahra Ghaseeta"/>
    <s v="15 Cantons No.1, Vacoas"/>
    <s v="Central"/>
    <x v="237"/>
    <n v="59268555"/>
    <s v="Nab-Makeup"/>
    <x v="46"/>
    <d v="2025-04-14T00:00:00"/>
    <n v="150"/>
    <d v="2025-05-04T00:00:00"/>
  </r>
  <r>
    <s v="Sahid Ghoomun"/>
    <s v="La Caverne No 1, Vacoas"/>
    <s v="Central"/>
    <x v="237"/>
    <n v="54852127"/>
    <s v="Nab-Makeup"/>
    <x v="46"/>
    <d v="2025-04-14T00:00:00"/>
    <n v="150"/>
    <d v="2025-05-04T00:00:00"/>
  </r>
  <r>
    <s v="Sabaa Khodabocus"/>
    <s v="68, Sadally Road, Vacoas"/>
    <s v="Central"/>
    <x v="237"/>
    <n v="59120160"/>
    <s v="Nab-Makeup"/>
    <x v="46"/>
    <d v="2025-04-14T00:00:00"/>
    <n v="150"/>
    <d v="2025-05-04T00:00:00"/>
  </r>
  <r>
    <s v="Yasiirah Boodhun"/>
    <s v="Begue Rd, Hollyrood No.1, Vacoas"/>
    <s v="Central"/>
    <x v="237"/>
    <s v="58395602 / 6847086"/>
    <s v="Nab-Makeup"/>
    <x v="18"/>
    <d v="2025-04-17T00:00:00"/>
    <n v="150"/>
    <d v="2025-05-04T00:00:00"/>
  </r>
  <r>
    <s v="Shameerah Khan Domun"/>
    <s v="Lot 172, Tarot Street, Morcellement Pousson, La Marie, Vacoas"/>
    <s v="Central"/>
    <x v="237"/>
    <n v="59183395"/>
    <s v="Nab-Makeup"/>
    <x v="18"/>
    <d v="2025-04-17T00:00:00"/>
    <n v="150"/>
    <d v="2025-05-04T00:00:00"/>
  </r>
  <r>
    <s v="Heeshika Narraine Jhurry"/>
    <s v="Camp Bellin No.1, Henrietta, Vacoas"/>
    <s v="Central"/>
    <x v="237"/>
    <n v="57597040"/>
    <s v="Nab-Makeup"/>
    <x v="18"/>
    <d v="2025-04-17T00:00:00"/>
    <n v="150"/>
    <d v="2025-05-04T00:00:00"/>
  </r>
  <r>
    <s v="Nehha Gunga"/>
    <s v="Camp Bombaye, Lane 2"/>
    <s v="Central"/>
    <x v="237"/>
    <n v="59285877"/>
    <s v="Nab-Makeup"/>
    <x v="18"/>
    <d v="2025-04-17T00:00:00"/>
    <n v="150"/>
    <d v="2025-05-04T00:00:00"/>
  </r>
  <r>
    <s v="Havisha Adhin"/>
    <s v="Jackson Road Vacoas"/>
    <s v="Central"/>
    <x v="237"/>
    <n v="58060901"/>
    <s v="Nab-Makeup"/>
    <x v="25"/>
    <d v="2025-04-21T00:00:00"/>
    <n v="150"/>
    <d v="2025-05-04T00:00:00"/>
  </r>
  <r>
    <s v="Asha Boodoo"/>
    <s v="Solferino 5, Vacoas"/>
    <s v="Central"/>
    <x v="237"/>
    <n v="58075756"/>
    <s v="Nab-Makeup"/>
    <x v="25"/>
    <d v="2025-04-21T00:00:00"/>
    <n v="150"/>
    <d v="2025-05-04T00:00:00"/>
  </r>
  <r>
    <s v="Banoo Mooraby"/>
    <s v="218 Sadally Road, Vacoas"/>
    <s v="Central"/>
    <x v="237"/>
    <n v="57673391"/>
    <s v="Nab-Makeup"/>
    <x v="26"/>
    <d v="2025-04-24T00:00:00"/>
    <n v="150"/>
    <d v="2025-05-04T00:00:00"/>
  </r>
  <r>
    <s v="Amiirah Deenmahomed"/>
    <s v="Moncellement Currumthalee, Glen Park"/>
    <s v="Central"/>
    <x v="237"/>
    <n v="54899559"/>
    <s v="Nab-Makeup"/>
    <x v="40"/>
    <d v="2025-04-28T00:00:00"/>
    <n v="150"/>
    <d v="2025-05-04T00:00:00"/>
  </r>
  <r>
    <s v="Melina Janvier"/>
    <s v="Road 1, Apalise Lane, 15 Cantons, Tabagie Islam, Vacoas"/>
    <s v="Central"/>
    <x v="237"/>
    <n v="59314546"/>
    <s v="Nab-Makeup"/>
    <x v="40"/>
    <d v="2025-04-28T00:00:00"/>
    <n v="150"/>
    <d v="2025-05-04T00:00:00"/>
  </r>
  <r>
    <s v="Ivania Marday"/>
    <s v="Flat No4, Auckbarally House, La Caverne, Vacoas"/>
    <s v="Central"/>
    <x v="237"/>
    <n v="57836894"/>
    <s v="Nab-Makeup"/>
    <x v="8"/>
    <d v="2025-05-01T00:00:00"/>
    <n v="150"/>
    <d v="2025-05-04T00:00:00"/>
  </r>
  <r>
    <s v="Sabrina Parrianen"/>
    <s v="Appt NHDC N07 La Caverne Vacoas"/>
    <s v="Central"/>
    <x v="237"/>
    <n v="59778727"/>
    <s v="Nab-Makeup"/>
    <x v="8"/>
    <d v="2025-05-01T00:00:00"/>
    <n v="150"/>
    <d v="2025-05-04T00:00:00"/>
  </r>
  <r>
    <s v="Tiroomalai Mathurai Tirvassen"/>
    <s v="Daboo Lane, Quinze Cantons, Vacoas"/>
    <s v="Central"/>
    <x v="237"/>
    <n v="59068217"/>
    <s v="Nab-Makeup"/>
    <x v="8"/>
    <d v="2025-05-01T00:00:00"/>
    <n v="150"/>
    <d v="2025-05-04T00:00:00"/>
  </r>
  <r>
    <s v="Zakkiyya Chukhowry"/>
    <s v="Chakowa Lane, La Caverne No.1, Vacoas"/>
    <s v="Central"/>
    <x v="237"/>
    <n v="52570110"/>
    <s v="Nab-Makeup"/>
    <x v="8"/>
    <d v="2025-05-01T00:00:00"/>
    <n v="150"/>
    <d v="2025-05-04T00:00:00"/>
  </r>
  <r>
    <s v="Dia Umanee"/>
    <s v="RSA Trading &amp; Engineering, 34 Ligne Berthaud, Vacoas"/>
    <s v="Central"/>
    <x v="237"/>
    <n v="57761412"/>
    <s v="Nab-Makeup"/>
    <x v="28"/>
    <d v="2025-05-01T00:00:00"/>
    <n v="150"/>
    <d v="2025-05-04T00:00:00"/>
  </r>
  <r>
    <s v="Farheen Bhoodoo"/>
    <s v="Hossenbux Building, Vacoas"/>
    <s v="Plaines Wilhems"/>
    <x v="237"/>
    <n v="58071160"/>
    <s v="Nab-Makeup"/>
    <x v="49"/>
    <d v="2025-05-03T00:00:00"/>
    <n v="150"/>
    <d v="2025-06-01T00:00:00"/>
  </r>
  <r>
    <s v="Amirah Enayeth"/>
    <s v="La Marie Road, Vacoas"/>
    <s v="Plaines Wilhems"/>
    <x v="237"/>
    <n v="57777059"/>
    <s v="Nab-Makeup"/>
    <x v="49"/>
    <d v="2025-05-03T00:00:00"/>
    <n v="150"/>
    <d v="2025-06-01T00:00:00"/>
  </r>
  <r>
    <s v="Bassad Fatadin C/O Anuelle Fatadin"/>
    <s v="Caldwell Lane, Glen Park, Vacoas"/>
    <s v="Plaines Wilhems"/>
    <x v="237"/>
    <n v="59335265"/>
    <s v="Nab-Makeup"/>
    <x v="49"/>
    <d v="2025-05-03T00:00:00"/>
    <n v="150"/>
    <d v="2025-06-01T00:00:00"/>
  </r>
  <r>
    <s v="Nasreen Soopun-Jeetoo"/>
    <s v="Municipal Council of Vacoas-Phoenix, St Paul Road, Vacoas"/>
    <s v="Central"/>
    <x v="237"/>
    <n v="57873113"/>
    <s v="Nab-Makeup"/>
    <x v="9"/>
    <d v="2025-05-05T00:00:00"/>
    <n v="150"/>
    <d v="2025-06-01T00:00:00"/>
  </r>
  <r>
    <s v="Rhasna Bholee"/>
    <s v="Med Point (Hospital) Clinic - Vacoas-Phoenix"/>
    <s v="Central"/>
    <x v="237"/>
    <n v="54233131"/>
    <s v="OKASINA"/>
    <x v="9"/>
    <d v="2025-05-05T00:00:00"/>
    <n v="150"/>
    <d v="2025-06-01T00:00:00"/>
  </r>
  <r>
    <s v="Allyocha Burridge"/>
    <s v="Avenue Jérôme Tranquille, Artichaut Lane 1, Vacoas"/>
    <s v="Plaines Wilhems"/>
    <x v="237"/>
    <n v="58097960"/>
    <s v="Nab-Makeup"/>
    <x v="12"/>
    <d v="2025-05-08T00:00:00"/>
    <n v="150"/>
    <d v="2025-06-01T00:00:00"/>
  </r>
  <r>
    <s v="Sushila Mootoorajah"/>
    <s v="Clairfonds No 1, Vacoas"/>
    <s v="Plaines Wilhems"/>
    <x v="237"/>
    <n v="57849017"/>
    <s v="Nab-Makeup"/>
    <x v="12"/>
    <d v="2025-05-08T00:00:00"/>
    <n v="150"/>
    <d v="2025-06-01T00:00:00"/>
  </r>
  <r>
    <s v="Shamila Warsalee"/>
    <s v="Quinze Cantons Road, Vacoas"/>
    <s v="Plaines Wilhems"/>
    <x v="237"/>
    <n v="52511111"/>
    <s v="Nab-Makeup"/>
    <x v="29"/>
    <d v="2025-05-12T00:00:00"/>
    <n v="150"/>
    <d v="2025-06-01T00:00:00"/>
  </r>
  <r>
    <s v="Havisha Adhin"/>
    <s v="Jackson Road, Vacoas"/>
    <s v="Plaines Wilhems"/>
    <x v="237"/>
    <n v="58060901"/>
    <s v="Nab-Makeup"/>
    <x v="50"/>
    <d v="2025-05-15T00:00:00"/>
    <n v="150"/>
    <d v="2025-06-01T00:00:00"/>
  </r>
  <r>
    <s v="Bissoon Shreshika"/>
    <s v="Très Bon No. 4, Vacoas"/>
    <s v="Plaines Wilhems"/>
    <x v="237"/>
    <n v="58019771"/>
    <s v="Nab-Makeup"/>
    <x v="30"/>
    <d v="2025-05-19T00:00:00"/>
    <n v="150"/>
    <d v="2025-06-01T00:00:00"/>
  </r>
  <r>
    <s v="Anne Marie Couttee"/>
    <s v="Rte Clairfond No.1"/>
    <s v="Plaine Wilhems"/>
    <x v="237"/>
    <n v="57771103"/>
    <s v="Timeless Trends"/>
    <x v="73"/>
    <d v="2025-05-22T00:00:00"/>
    <n v="75"/>
    <d v="2025-06-01T00:00:00"/>
  </r>
  <r>
    <s v="Jean-Louis Elisabeth"/>
    <s v="Avenue de Vergues, Glen Park, Vacoas"/>
    <s v="Plaines Wilhems"/>
    <x v="237"/>
    <n v="58597176"/>
    <s v="Nab-Makeup"/>
    <x v="38"/>
    <d v="2025-05-29T00:00:00"/>
    <n v="150"/>
    <d v="2025-06-01T00:00:00"/>
  </r>
  <r>
    <s v="Havisha Adhin"/>
    <s v="Jackson Road, Vacoas"/>
    <s v="Plaines Wilhems"/>
    <x v="237"/>
    <n v="58060901"/>
    <s v="Nab-Makeup"/>
    <x v="20"/>
    <d v="2025-05-29T00:00:00"/>
    <n v="150"/>
    <d v="2025-06-01T00:00:00"/>
  </r>
  <r>
    <s v="Mrs Nursing"/>
    <s v="La Marie Vacoas"/>
    <s v="Central"/>
    <x v="237"/>
    <n v="58100050"/>
    <s v="OKASINA"/>
    <x v="20"/>
    <d v="2025-05-29T00:00:00"/>
    <n v="150"/>
    <d v="2025-06-01T00:00:00"/>
  </r>
  <r>
    <s v="Adilah Bheekhun"/>
    <s v="Roshni Lane, Glen Park, Vacoas"/>
    <s v="Plaines Wilhems"/>
    <x v="237"/>
    <n v="57805076"/>
    <s v="Nab-Makeup"/>
    <x v="19"/>
    <d v="2025-06-02T00:00:00"/>
    <n v="150"/>
    <d v="2025-07-02T00:00:00"/>
  </r>
  <r>
    <s v="Aisha Khodabux"/>
    <s v="Apalise 4 Lane, Quinze Cantons, Vacoas"/>
    <s v="Plaines Wilhems"/>
    <x v="237"/>
    <n v="59742122"/>
    <s v="Nab-Makeup"/>
    <x v="13"/>
    <d v="2025-06-05T00:00:00"/>
    <n v="150"/>
    <d v="2025-07-02T00:00:00"/>
  </r>
  <r>
    <s v="Islam Yusrah"/>
    <s v="15 Cantons, Vacoas"/>
    <s v="Plaines Wilhems"/>
    <x v="237"/>
    <n v="57635836"/>
    <s v="Little Star Boutique"/>
    <x v="54"/>
    <d v="2025-06-05T00:00:00"/>
    <n v="75"/>
    <d v="2025-07-02T00:00:00"/>
  </r>
  <r>
    <s v="Umme Tashleemah Hosanee"/>
    <s v="Camp Mapou, Henrietta, Vacoas"/>
    <s v="Plaines Wilhems"/>
    <x v="237"/>
    <n v="58443803"/>
    <s v="Nab-Makeup"/>
    <x v="13"/>
    <d v="2025-06-05T00:00:00"/>
    <n v="150"/>
    <d v="2025-07-02T00:00:00"/>
  </r>
  <r>
    <s v="Jemima Arnachellum"/>
    <s v="Hollyrood No. 1, Vacoas"/>
    <s v="Plaines Wilhems"/>
    <x v="237"/>
    <n v="57830376"/>
    <s v="Nab-Makeup"/>
    <x v="1"/>
    <d v="2025-06-09T00:00:00"/>
    <n v="150"/>
    <d v="2025-07-02T00:00:00"/>
  </r>
  <r>
    <s v="Oumairah Amboorallee"/>
    <s v="Clairfonds No. 3, Vacoas"/>
    <s v="Plaines Wilhems"/>
    <x v="237"/>
    <n v="59395156"/>
    <s v="Nab-Makeup"/>
    <x v="1"/>
    <d v="2025-06-09T00:00:00"/>
    <n v="150"/>
    <d v="2025-07-02T00:00:00"/>
  </r>
  <r>
    <s v="Malika"/>
    <s v="Begue Street Hollyrood No 1,Vacoas"/>
    <s v="Plaines Wilhems"/>
    <x v="237"/>
    <n v="58340650"/>
    <s v="Timeless Trends"/>
    <x v="56"/>
    <d v="2025-06-16T00:00:00"/>
    <n v="150"/>
    <d v="2025-07-02T00:00:00"/>
  </r>
  <r>
    <s v="Justine Desire-Armoogum"/>
    <s v="JoyabyJustine, Impasse Cantin, Vacoas-Phoenix"/>
    <s v="Plaines Wilhems"/>
    <x v="237"/>
    <n v="57177093"/>
    <s v="Nab-Makeup"/>
    <x v="41"/>
    <d v="2025-06-16T00:00:00"/>
    <n v="150"/>
    <d v="2025-07-02T00:00:00"/>
  </r>
  <r>
    <s v="Sanjuna Bablee"/>
    <s v="Kingsavers, Solferino, Vacoas"/>
    <s v="Plaines Wilhems"/>
    <x v="237"/>
    <n v="58076395"/>
    <s v="Nab-Makeup"/>
    <x v="41"/>
    <d v="2025-06-16T00:00:00"/>
    <n v="150"/>
    <d v="2025-07-02T00:00:00"/>
  </r>
  <r>
    <s v="Anousha Heeramun"/>
    <s v="Vacoas Road Mon Desir Solferino Vacoas"/>
    <s v="Vacoas"/>
    <x v="237"/>
    <n v="57570258"/>
    <s v="Nab-Makeup"/>
    <x v="10"/>
    <d v="2025-06-23T00:00:00"/>
    <n v="150"/>
    <d v="2025-07-02T00:00:00"/>
  </r>
  <r>
    <s v="Neha Seetaram"/>
    <s v="La Marie Road, Vacoas"/>
    <s v="La Marie Road"/>
    <x v="237"/>
    <n v="58166108"/>
    <s v="Nab-Makeup"/>
    <x v="10"/>
    <d v="2025-06-23T00:00:00"/>
    <n v="150"/>
    <d v="2025-07-02T00:00:00"/>
  </r>
  <r>
    <s v="Aanisah Beeharry"/>
    <s v="Camp Mapou Lane 1, Henrietta"/>
    <s v="Vacoas"/>
    <x v="237"/>
    <n v="59133662"/>
    <s v="Nab-Makeup"/>
    <x v="47"/>
    <d v="2025-06-26T00:00:00"/>
    <n v="150"/>
    <d v="2025-07-02T00:00:00"/>
  </r>
  <r>
    <s v="Needhisha Devi Dursun"/>
    <s v="Ligne Berthaud"/>
    <s v="Vacoas"/>
    <x v="237"/>
    <n v="58070197"/>
    <s v="Nab-Makeup"/>
    <x v="47"/>
    <d v="2025-06-30T00:00:00"/>
    <n v="150"/>
    <d v="2025-07-02T00:00:00"/>
  </r>
  <r>
    <s v="Parapen Umella"/>
    <s v="Remy Ollier Bonne Terre Vacoas, Impasse Argentine 2, Vacoas"/>
    <s v="Plaines Wilhems"/>
    <x v="237"/>
    <n v="59451648"/>
    <s v="Nab-Makeup"/>
    <x v="11"/>
    <d v="2025-06-30T00:00:00"/>
    <n v="150"/>
    <d v="2025-07-02T00:00:00"/>
  </r>
  <r>
    <s v="Aatish Gungaram"/>
    <s v="Grassy Road, Vacoas, 73215"/>
    <s v="Plaines Wilhems"/>
    <x v="237"/>
    <n v="59494326"/>
    <s v="Nab-Makeup"/>
    <x v="11"/>
    <d v="2025-06-30T00:00:00"/>
    <n v="150"/>
    <d v="2025-07-02T00:00:00"/>
  </r>
  <r>
    <s v="Bassad Fatadin c/o Anuelle Begue Fatadin"/>
    <s v="Caldwell Lane, Glen Park, Vacoas"/>
    <s v="Glen Park"/>
    <x v="237"/>
    <n v="59335265"/>
    <s v="Nab-Makeup"/>
    <x v="31"/>
    <d v="2025-07-03T00:00:00"/>
    <n v="150"/>
    <d v="2025-08-01T00:00:00"/>
  </r>
  <r>
    <s v="Hemisha Mohesh"/>
    <s v="Callychurn Lane, Carreau Laliane, Vacoas"/>
    <s v="Carreau Laliane"/>
    <x v="237"/>
    <n v="57159052"/>
    <s v="Nab-Makeup"/>
    <x v="31"/>
    <d v="2025-07-03T00:00:00"/>
    <n v="150"/>
    <d v="2025-08-01T00:00:00"/>
  </r>
  <r>
    <s v="Anuradha Latona"/>
    <s v="NHDC N10, Glen Park, Vacoas"/>
    <s v="Glen Park"/>
    <x v="237"/>
    <n v="58281372"/>
    <s v="Nab-Makeup"/>
    <x v="31"/>
    <d v="2025-07-03T00:00:00"/>
    <n v="150"/>
    <d v="2025-08-01T00:00:00"/>
  </r>
  <r>
    <s v="Allyocha Burridge"/>
    <s v="Avenue Jerôme Tranquille, Artichaut Lane 1, Vacoas"/>
    <s v="Vacoas"/>
    <x v="237"/>
    <n v="58097960"/>
    <s v="Nab-Makeup"/>
    <x v="31"/>
    <d v="2025-07-03T00:00:00"/>
    <n v="150"/>
    <d v="2025-08-01T00:00:00"/>
  </r>
  <r>
    <s v="Sharon Ng Cheong Vee"/>
    <s v="Route Royale Visitation, Opposite Visitation Church, Vacoas"/>
    <s v="Vacoas"/>
    <x v="237"/>
    <n v="59378240"/>
    <s v="Nab-Makeup"/>
    <x v="31"/>
    <d v="2025-07-03T00:00:00"/>
    <n v="150"/>
    <d v="2025-08-01T00:00:00"/>
  </r>
  <r>
    <s v="Keshika Bhujoo"/>
    <s v="Dr Manilall Road, Petite-Julie, Pamplemousses"/>
    <s v="Change to Vacoas"/>
    <x v="237"/>
    <n v="59130842"/>
    <s v="Nab-Makeup"/>
    <x v="31"/>
    <d v="2025-07-07T00:00:00"/>
    <n v="150"/>
    <d v="2025-08-01T00:00:00"/>
  </r>
  <r>
    <s v="Swasty "/>
    <s v="FREELAND LANE, GLEN PARK VACOAS"/>
    <s v="Vacoas"/>
    <x v="237"/>
    <n v="52538349"/>
    <s v="OKASINA"/>
    <x v="2"/>
    <d v="2025-07-07T00:00:00"/>
    <n v="150"/>
    <d v="2025-08-01T00:00:00"/>
  </r>
  <r>
    <s v="Amiirah Deenmahomed"/>
    <s v="Moncellement Currumthalee, Glen Park, Vacoas"/>
    <s v="Glen Park"/>
    <x v="237"/>
    <n v="54899559"/>
    <s v="Nab-Makeup"/>
    <x v="2"/>
    <d v="2025-07-07T00:00:00"/>
    <n v="150"/>
    <d v="2025-08-01T00:00:00"/>
  </r>
  <r>
    <s v="Aiyyaz Issimdar"/>
    <s v="Royal Road, Henrietta, Vacoas"/>
    <s v="Vacoas"/>
    <x v="237"/>
    <n v="58007505"/>
    <s v="Nab-Makeup"/>
    <x v="2"/>
    <d v="2025-07-07T00:00:00"/>
    <n v="150"/>
    <d v="2025-08-01T00:00:00"/>
  </r>
  <r>
    <s v="Priya.D Mungloo"/>
    <s v="TresBon No2, Vacoas"/>
    <s v="Vacoas"/>
    <x v="237"/>
    <n v="59117300"/>
    <s v="Nab-Makeup"/>
    <x v="2"/>
    <d v="2025-07-07T00:00:00"/>
    <n v="150"/>
    <d v="2025-08-01T00:00:00"/>
  </r>
  <r>
    <s v="Nabeeha Joomun"/>
    <s v="Glen Park, Vacoas"/>
    <s v="Vacoas"/>
    <x v="237"/>
    <n v="57014972"/>
    <s v="Nab-Makeup"/>
    <x v="2"/>
    <d v="2025-07-07T00:00:00"/>
    <n v="150"/>
    <d v="2025-08-01T00:00:00"/>
  </r>
  <r>
    <s v="Ashna Padiachy"/>
    <s v="SMF Quarters, Vacoas"/>
    <s v="Vacoas"/>
    <x v="237"/>
    <n v="58326318"/>
    <s v="Nab-Makeup"/>
    <x v="24"/>
    <d v="2025-07-10T00:00:00"/>
    <n v="150"/>
    <d v="2025-08-01T00:00:00"/>
  </r>
  <r>
    <s v="Mandita Algoo"/>
    <s v="Allee Brilliant Road, Vacoas"/>
    <s v="Vacoas"/>
    <x v="237"/>
    <n v="59219343"/>
    <s v="Nab-Makeup"/>
    <x v="24"/>
    <d v="2025-07-10T00:00:00"/>
    <n v="150"/>
    <d v="2025-08-01T00:00:00"/>
  </r>
  <r>
    <s v="Taysir Khodadin"/>
    <s v="Camp Mapou, Henrietta, Vacoas"/>
    <s v="Vacoas"/>
    <x v="237"/>
    <n v="58046751"/>
    <s v="Nab-Makeup"/>
    <x v="24"/>
    <d v="2025-07-10T00:00:00"/>
    <n v="150"/>
    <d v="2025-08-01T00:00:00"/>
  </r>
  <r>
    <s v="Ruqayyah Auckburally"/>
    <s v="Royal Road, Henrietta, Vacoas"/>
    <s v="Vacoas"/>
    <x v="237"/>
    <n v="54528902"/>
    <s v="Nab-Makeup"/>
    <x v="21"/>
    <d v="2025-07-14T00:00:00"/>
    <n v="150"/>
    <d v="2025-08-01T00:00:00"/>
  </r>
  <r>
    <s v="Neha Bansoodeb"/>
    <s v="Tres Bon No 1, Diolle, Vacoas"/>
    <s v="Vacoas"/>
    <x v="237"/>
    <n v="57861454"/>
    <s v="Nab-Makeup"/>
    <x v="21"/>
    <d v="2025-07-14T00:00:00"/>
    <n v="150"/>
    <d v="2025-08-01T00:00:00"/>
  </r>
  <r>
    <s v="Aniisah Issimdar"/>
    <s v="Caldwell Rd, Henrietta, Vacoas"/>
    <s v="Vacoas"/>
    <x v="237"/>
    <n v="58020335"/>
    <s v="Nab-Makeup"/>
    <x v="21"/>
    <d v="2025-07-14T00:00:00"/>
    <n v="150"/>
    <d v="2025-08-01T00:00:00"/>
  </r>
  <r>
    <s v="Sharon Ng Cheong Vee"/>
    <s v="Route Royale Visitation, Opposite Visitation Church, Vacoas"/>
    <s v="Vacoas"/>
    <x v="237"/>
    <n v="59378240"/>
    <s v="Nab-Makeup"/>
    <x v="39"/>
    <d v="2025-07-17T00:00:00"/>
    <n v="150"/>
    <d v="2025-08-01T00:00:00"/>
  </r>
  <r>
    <s v="Divya Sookunah"/>
    <s v="96 RÃ©sidence Sunsetville, La Caverne, Vacoas"/>
    <s v="Vacoas"/>
    <x v="237"/>
    <n v="57873929"/>
    <s v="Nab-Makeup"/>
    <x v="39"/>
    <d v="2025-07-17T00:00:00"/>
    <n v="150"/>
    <d v="2025-08-01T00:00:00"/>
  </r>
  <r>
    <s v="Daneejah Saddul-Deenoo"/>
    <s v="44, Nicholson Road, Vacoas"/>
    <s v="Vacoas"/>
    <x v="237"/>
    <n v="52502266"/>
    <s v="Nab-Makeup"/>
    <x v="3"/>
    <d v="2025-07-21T00:00:00"/>
    <n v="150"/>
    <d v="2025-08-01T00:00:00"/>
  </r>
  <r>
    <s v="Shahana Rojoa"/>
    <s v="Morc Cooperative, Clairfonds 2, Vacoas"/>
    <s v="Vacoas"/>
    <x v="237"/>
    <n v="59762151"/>
    <s v="Nab-Makeup"/>
    <x v="32"/>
    <d v="2025-07-24T00:00:00"/>
    <n v="150"/>
    <d v="2025-08-01T00:00:00"/>
  </r>
  <r>
    <s v="LaÃ¯llah Peeroo"/>
    <s v="Dudhee Lane, Hollyrood No1, Vacoas"/>
    <s v="Vacoas"/>
    <x v="237"/>
    <n v="58111868"/>
    <s v="Nab-Makeup"/>
    <x v="32"/>
    <d v="2025-07-24T00:00:00"/>
    <n v="150"/>
    <d v="2025-08-01T00:00:00"/>
  </r>
  <r>
    <s v="Neelavadee Chocalingum"/>
    <s v="Candos Hospital"/>
    <s v="Candos Hospital, Vacoas"/>
    <x v="237"/>
    <n v="59165741"/>
    <s v="Timeless Trends"/>
    <x v="4"/>
    <d v="2025-08-04T00:00:00"/>
    <n v="150"/>
    <m/>
  </r>
  <r>
    <s v="Vishay Luchman"/>
    <s v="Solferino No5, Vacoas"/>
    <s v="Vacoas"/>
    <x v="237"/>
    <s v="52542526 / 57733135"/>
    <s v="Nab-Makeup"/>
    <x v="0"/>
    <d v="2025-07-31T00:00:00"/>
    <n v="150"/>
    <d v="2025-08-01T00:00:00"/>
  </r>
  <r>
    <s v="Ashna Padiachy"/>
    <s v="Smf Quarters, Vacoas, Mauritius"/>
    <s v="Vacoas"/>
    <x v="237"/>
    <n v="58326318"/>
    <s v="Nab-Makeup"/>
    <x v="22"/>
    <d v="2025-08-07T00:00:00"/>
    <n v="150"/>
    <m/>
  </r>
  <r>
    <s v="Amiirah Deenmahomed"/>
    <s v="Moncellement Currumthalee Glen Park, Vacoas, Mauritius"/>
    <s v="Vacoas"/>
    <x v="237"/>
    <n v="54899559"/>
    <s v="Nab-Makeup"/>
    <x v="22"/>
    <d v="2025-08-07T00:00:00"/>
    <n v="150"/>
    <m/>
  </r>
  <r>
    <s v="Yogini Armon"/>
    <s v="Bord Cascades, Henrietta, Vacoas"/>
    <s v="Vacoas"/>
    <x v="237"/>
    <n v="57337705"/>
    <s v="Nab-Makeup"/>
    <x v="5"/>
    <d v="2025-08-12T00:00:00"/>
    <n v="150"/>
    <m/>
  </r>
  <r>
    <s v="Tanisha Beesoon"/>
    <s v="17 Avenue Tranquille, Vacoas (afternoon)"/>
    <s v="Vacoas"/>
    <x v="237"/>
    <n v="57869379"/>
    <s v="Nab-Makeup"/>
    <x v="5"/>
    <d v="2025-08-12T00:00:00"/>
    <n v="150"/>
    <m/>
  </r>
  <r>
    <s v="Mrs Rashmee Bhaugeerutty"/>
    <s v="Vacoas Popular Multi Purpose Cooperative Society Ltd, Morc Coop, Bonne Terre, Vacoas"/>
    <s v="Vacoas"/>
    <x v="237"/>
    <n v="57608691"/>
    <s v="Nab-Makeup"/>
    <x v="5"/>
    <d v="2025-08-12T00:00:00"/>
    <n v="150"/>
    <m/>
  </r>
  <r>
    <s v="Emamally ZAYNAH"/>
    <s v="Tres bon 1, Vacoas"/>
    <s v="Vacoas"/>
    <x v="237"/>
    <n v="58273051"/>
    <s v="Nab-Makeup"/>
    <x v="5"/>
    <d v="2025-08-12T00:00:00"/>
    <n v="150"/>
    <m/>
  </r>
  <r>
    <s v="Amisha Gunputh"/>
    <s v="Grannum Road, Vacoas"/>
    <s v="Plaines Wilhems"/>
    <x v="237"/>
    <n v="59102190"/>
    <s v="Nab-Makeup"/>
    <x v="34"/>
    <d v="2025-08-15T00:00:00"/>
    <n v="150"/>
    <m/>
  </r>
  <r>
    <s v="Farheen Bhoodoo"/>
    <s v="Hossenbux Building, Vacoas"/>
    <s v="Plaines Wilhems"/>
    <x v="237"/>
    <n v="55030498"/>
    <s v="Nab-Makeup"/>
    <x v="34"/>
    <d v="2025-08-15T00:00:00"/>
    <n v="150"/>
    <m/>
  </r>
  <r>
    <s v="Yus Islam"/>
    <s v="15 Cantons, Vacoas"/>
    <s v="Vacoas"/>
    <x v="237"/>
    <n v="57635836"/>
    <s v="Little Star Boutique"/>
    <x v="57"/>
    <d v="2025-08-15T00:00:00"/>
    <n v="150"/>
    <m/>
  </r>
  <r>
    <s v="Drishtee Bhujun"/>
    <s v="Technotronics Ltd, Qunize Cantons, Vacoas Square Shopping Mall"/>
    <s v="Central"/>
    <x v="237"/>
    <s v="5860 5212"/>
    <s v="Nab-Makeup"/>
    <x v="27"/>
    <d v="2025-08-19T00:00:00"/>
    <n v="150"/>
    <m/>
  </r>
  <r>
    <s v="Mr. Hosenbocus Mohamed Farhaz"/>
    <s v="Camp Mapou Road, Henrietta, Vacoas"/>
    <s v="Centre"/>
    <x v="237"/>
    <s v="59753479 / 59760666"/>
    <s v="Nab-Makeup"/>
    <x v="35"/>
    <d v="2025-09-01T00:00:00"/>
    <n v="150"/>
    <m/>
  </r>
  <r>
    <s v="Naiimah Kinoo"/>
    <s v="Perrier Road, Glen Park, Vacoas"/>
    <s v="Centre"/>
    <x v="237"/>
    <n v="58095149"/>
    <s v="Nab-Makeup"/>
    <x v="35"/>
    <d v="2025-08-29T00:00:00"/>
    <n v="150"/>
    <m/>
  </r>
  <r>
    <s v="Seethamah Nussaibah"/>
    <s v="Vingta Lane No.1, Vacoas-Phoenix, Vacoas"/>
    <s v="Centre"/>
    <x v="237"/>
    <n v="58186909"/>
    <s v="Nab-Makeup"/>
    <x v="35"/>
    <d v="2025-08-29T00:00:00"/>
    <n v="150"/>
    <m/>
  </r>
  <r>
    <s v="Amrita Gopaul"/>
    <s v="Carreau Lalliane, Seegum Lane, Vacoas"/>
    <s v="Vacoas"/>
    <x v="237"/>
    <n v="57607231"/>
    <s v="Timeless Trends"/>
    <x v="74"/>
    <s v="Pending"/>
    <n v="150"/>
    <m/>
  </r>
  <r>
    <s v="KAVITA - NABIIHAH - May's Shop"/>
    <s v="VACOAS, Mauritius"/>
    <s v="VACOAS, Mauritius"/>
    <x v="237"/>
    <n v="57090783"/>
    <s v="NABIIHAH - May's Shop"/>
    <x v="7"/>
    <d v="2025-08-29T00:00:00"/>
    <n v="100"/>
    <m/>
  </r>
  <r>
    <s v="PRITISHA - NABIIHAH - May's Shop"/>
    <s v="VACOAS, Mauritius"/>
    <s v="VACOAS, Mauritius"/>
    <x v="237"/>
    <n v="58065664"/>
    <s v="NABIIHAH - May's Shop"/>
    <x v="7"/>
    <d v="2025-08-29T00:00:00"/>
    <n v="100"/>
    <m/>
  </r>
  <r>
    <s v="KOOMANEE - NABIIHAH - May's Shop"/>
    <s v="VACOAS, Mauritius"/>
    <s v="VACOAS, Mauritius"/>
    <x v="237"/>
    <n v="57319631"/>
    <s v="NABIIHAH - May's Shop"/>
    <x v="7"/>
    <d v="2025-08-29T00:00:00"/>
    <n v="100"/>
    <m/>
  </r>
  <r>
    <s v="WASILA - NABIIHAH - May's Shop"/>
    <s v="VACOAS, Mauritius"/>
    <s v="VACOAS, Mauritius"/>
    <x v="237"/>
    <n v="57433832"/>
    <s v="NABIIHAH - May's Shop"/>
    <x v="7"/>
    <d v="2025-08-29T00:00:00"/>
    <n v="100"/>
    <m/>
  </r>
  <r>
    <s v="REKHA - NABIIHAH - May's Shop"/>
    <s v="VACOAS, Mauritius"/>
    <s v="VACOAS, Mauritius"/>
    <x v="237"/>
    <n v="57524979"/>
    <s v="NABIIHAH - May's Shop"/>
    <x v="7"/>
    <d v="2025-08-29T00:00:00"/>
    <n v="100"/>
    <m/>
  </r>
  <r>
    <s v="Sabrina Parrianen"/>
    <s v="Appt NHDC N07, La Caverne, Vacoas"/>
    <s v="Vacoas"/>
    <x v="237"/>
    <n v="59778727"/>
    <s v="Nab-Makeup"/>
    <x v="36"/>
    <d v="2025-08-26T00:00:00"/>
    <n v="150"/>
    <m/>
  </r>
  <r>
    <s v="Nasreen Soopun-Jeetoo"/>
    <s v="Municipality of Vacoas-Phoenix, Vacoas"/>
    <s v="Vacoas"/>
    <x v="237"/>
    <n v="57873113"/>
    <s v="Nab-Makeup"/>
    <x v="36"/>
    <d v="2025-08-26T00:00:00"/>
    <n v="150"/>
    <m/>
  </r>
  <r>
    <s v="Mrs Rashmee Bhaugeerutty"/>
    <s v="Vacoas Popular Multi Purpose Coop, Morc Coop, Bonne Terre"/>
    <s v="Vacoas"/>
    <x v="237"/>
    <n v="57608691"/>
    <s v="Nab-Makeup"/>
    <x v="36"/>
    <d v="2025-08-26T00:00:00"/>
    <n v="150"/>
    <m/>
  </r>
  <r>
    <s v="Simita Seegoolam"/>
    <s v="Bonne Terre, Vacoas / At Sicom Tower, Ebene (After 16:30)"/>
    <s v="Vacoas "/>
    <x v="238"/>
    <n v="54906226"/>
    <s v="Nab-Makeup"/>
    <x v="33"/>
    <d v="2025-07-28T00:00:00"/>
    <n v="150"/>
    <d v="2025-08-01T00:00:00"/>
  </r>
  <r>
    <s v="SAVI - NABIIHAH - May's Shop"/>
    <s v="VACOAS LA CAVERNE, Mauritius"/>
    <s v="VACOAS LA CAVERNE, Mauritius"/>
    <x v="239"/>
    <n v="57643420"/>
    <s v="NABIIHAH - May's Shop"/>
    <x v="7"/>
    <d v="2025-08-29T00:00:00"/>
    <n v="100"/>
    <m/>
  </r>
  <r>
    <s v="Furreed Mariam"/>
    <s v="Ibn vale, Lower vale, Vale"/>
    <s v="North"/>
    <x v="240"/>
    <n v="58157009"/>
    <s v="Nab-Makeup"/>
    <x v="40"/>
    <d v="2025-04-28T00:00:00"/>
    <n v="150"/>
    <d v="2025-05-04T00:00:00"/>
  </r>
  <r>
    <s v="Deepika Atchanna"/>
    <s v="Royal Road,"/>
    <s v="Central-West"/>
    <x v="241"/>
    <n v="58104468"/>
    <s v="Nab-Makeup"/>
    <x v="18"/>
    <d v="2025-04-17T00:00:00"/>
    <n v="150"/>
    <d v="2025-05-04T00:00:00"/>
  </r>
  <r>
    <s v="Menisa Pahladi"/>
    <s v="Royal Road, Valetta"/>
    <s v="Central"/>
    <x v="241"/>
    <n v="59233319"/>
    <s v="Nab-Makeup"/>
    <x v="26"/>
    <d v="2025-04-24T00:00:00"/>
    <n v="150"/>
    <d v="2025-05-04T00:00:00"/>
  </r>
  <r>
    <s v="Menisa Pahladi"/>
    <s v="Royal Road Valetta"/>
    <s v="Central"/>
    <x v="241"/>
    <n v="59233319"/>
    <s v="Nab-Makeup"/>
    <x v="8"/>
    <d v="2025-05-05T00:00:00"/>
    <n v="150"/>
    <d v="2025-06-01T00:00:00"/>
  </r>
  <r>
    <s v="Shikha Padaruth"/>
    <s v="Palladi Lane, Valetta"/>
    <s v="Moka"/>
    <x v="241"/>
    <n v="59293243"/>
    <s v="Nab-Makeup"/>
    <x v="13"/>
    <d v="2025-06-05T00:00:00"/>
    <n v="150"/>
    <d v="2025-07-02T00:00:00"/>
  </r>
  <r>
    <s v="Kawthur Kurreemun Bibi Najaah"/>
    <s v="49 Lome Lane, Caro Lalo, Vallee des Pretres"/>
    <s v="Vallee des Pretres"/>
    <x v="242"/>
    <n v="59464329"/>
    <s v="Nab-Makeup"/>
    <x v="2"/>
    <d v="2025-07-10T00:00:00"/>
    <n v="150"/>
    <d v="2025-08-01T00:00:00"/>
  </r>
  <r>
    <s v="Roukayya Bibi Abdool Cader"/>
    <s v="22 Avenue Caramboles, Vallée des Prêtres"/>
    <s v="Port Louis"/>
    <x v="243"/>
    <n v="59043019"/>
    <s v="Nab-Makeup"/>
    <x v="19"/>
    <d v="2025-06-02T00:00:00"/>
    <n v="150"/>
    <d v="2025-07-02T00:00:00"/>
  </r>
  <r>
    <s v="Noorreza Saalih Ahmad"/>
    <s v="R27 Inkerman, Vallee Pitot"/>
    <s v="Vallee Pitot"/>
    <x v="244"/>
    <n v="57868570"/>
    <s v="Nab-Makeup"/>
    <x v="3"/>
    <d v="2025-07-21T00:00:00"/>
    <n v="150"/>
    <d v="2025-08-01T00:00:00"/>
  </r>
  <r>
    <s v="Bhavesh Ramawta"/>
    <s v="Caroline Rd Vallees Des Pretes"/>
    <s v="Vallees Des Pretes"/>
    <x v="245"/>
    <s v="58212710/_x000a_57647270"/>
    <s v="Glow And Aura"/>
    <x v="59"/>
    <d v="2025-07-17T00:00:00"/>
    <n v="150"/>
    <d v="2025-08-01T00:00:00"/>
  </r>
  <r>
    <s v="Veena Dookhit"/>
    <s v="H Rault Co Ltd, Rue Fabien, Ville Noire, MahÃ©bourg"/>
    <s v="Grand Port"/>
    <x v="246"/>
    <n v="59875123"/>
    <s v="Nab-Makeup"/>
    <x v="12"/>
    <d v="2025-05-08T00:00:00"/>
    <n v="150"/>
    <d v="2025-06-01T00:00:00"/>
  </r>
  <r>
    <s v="Mahomudally Bibi Ouzmah"/>
    <s v="110, Morc VRS2, Ville Noire"/>
    <s v="Ville Noire"/>
    <x v="246"/>
    <n v="59229937"/>
    <s v="Nab-Makeup"/>
    <x v="44"/>
    <d v="2025-08-07T00:00:00"/>
    <n v="150"/>
    <m/>
  </r>
  <r>
    <s v="Prinita Ramlugun"/>
    <s v="World Knits, Vullemin"/>
    <s v="Vullemin"/>
    <x v="247"/>
    <n v="52551902"/>
    <s v="OKASINA"/>
    <x v="20"/>
    <d v="2025-05-29T00:00:00"/>
    <n v="150"/>
    <d v="2025-06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1:P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defaultSubtotal="0"/>
    <pivotField showAll="0" defaultSubtotal="0"/>
    <pivotField showAll="0" defaultSubtotal="0"/>
  </pivotFields>
  <rowFields count="1">
    <field x="6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Name" fld="0" subtotal="count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6" type="button" dataOnly="0" labelOnly="1" outline="0" axis="axisRow" fieldPosition="0"/>
    </format>
    <format dxfId="21">
      <pivotArea dataOnly="0" labelOnly="1" outline="0" axis="axisValues" fieldPosition="0"/>
    </format>
    <format dxfId="20">
      <pivotArea dataOnly="0" labelOnly="1" fieldPosition="0">
        <references count="1">
          <reference field="6" count="6">
            <x v="4"/>
            <x v="5"/>
            <x v="6"/>
            <x v="7"/>
            <x v="8"/>
            <x v="9"/>
          </reference>
        </references>
      </pivotArea>
    </format>
    <format dxfId="19">
      <pivotArea dataOnly="0" labelOnly="1" grandRow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6" type="button" dataOnly="0" labelOnly="1" outline="0" axis="axisRow" fieldPosition="0"/>
    </format>
    <format dxfId="15">
      <pivotArea dataOnly="0" labelOnly="1" outline="0" axis="axisValues" fieldPosition="0"/>
    </format>
    <format dxfId="14">
      <pivotArea dataOnly="0" labelOnly="1" fieldPosition="0">
        <references count="1">
          <reference field="6" count="6">
            <x v="4"/>
            <x v="5"/>
            <x v="6"/>
            <x v="7"/>
            <x v="8"/>
            <x v="9"/>
          </reference>
        </references>
      </pivotArea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O13:P262" firstHeaderRow="1" firstDataRow="1" firstDataCol="1"/>
  <pivotFields count="10">
    <pivotField dataField="1" showAll="0"/>
    <pivotField showAll="0"/>
    <pivotField showAll="0"/>
    <pivotField axis="axisRow" showAll="0" sortType="ascending">
      <items count="311">
        <item m="1" x="252"/>
        <item x="0"/>
        <item x="1"/>
        <item x="2"/>
        <item m="1" x="286"/>
        <item x="3"/>
        <item x="4"/>
        <item x="5"/>
        <item x="6"/>
        <item x="7"/>
        <item x="8"/>
        <item m="1" x="258"/>
        <item x="9"/>
        <item m="1" x="308"/>
        <item x="10"/>
        <item x="11"/>
        <item m="1" x="257"/>
        <item m="1" x="306"/>
        <item x="12"/>
        <item x="13"/>
        <item m="1" x="307"/>
        <item x="14"/>
        <item x="15"/>
        <item x="16"/>
        <item x="17"/>
        <item m="1" x="275"/>
        <item x="18"/>
        <item m="1" x="255"/>
        <item x="19"/>
        <item m="1" x="263"/>
        <item x="20"/>
        <item x="21"/>
        <item x="22"/>
        <item x="23"/>
        <item x="24"/>
        <item x="25"/>
        <item x="26"/>
        <item m="1" x="273"/>
        <item x="27"/>
        <item x="28"/>
        <item m="1" x="291"/>
        <item x="29"/>
        <item x="30"/>
        <item x="31"/>
        <item m="1" x="296"/>
        <item x="32"/>
        <item x="33"/>
        <item m="1" x="28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304"/>
        <item x="45"/>
        <item x="46"/>
        <item m="1" x="294"/>
        <item x="47"/>
        <item x="48"/>
        <item x="49"/>
        <item m="1" x="280"/>
        <item x="50"/>
        <item x="51"/>
        <item x="52"/>
        <item x="53"/>
        <item m="1" x="292"/>
        <item x="54"/>
        <item x="55"/>
        <item x="56"/>
        <item m="1" x="303"/>
        <item x="57"/>
        <item x="58"/>
        <item x="59"/>
        <item x="60"/>
        <item x="61"/>
        <item m="1" x="256"/>
        <item x="62"/>
        <item m="1" x="266"/>
        <item x="63"/>
        <item x="64"/>
        <item x="65"/>
        <item m="1" x="309"/>
        <item x="66"/>
        <item m="1" x="301"/>
        <item x="67"/>
        <item m="1" x="278"/>
        <item x="68"/>
        <item x="69"/>
        <item x="70"/>
        <item x="71"/>
        <item x="72"/>
        <item m="1" x="279"/>
        <item x="73"/>
        <item x="74"/>
        <item x="75"/>
        <item m="1" x="254"/>
        <item x="76"/>
        <item x="77"/>
        <item x="78"/>
        <item m="1" x="290"/>
        <item m="1" x="285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297"/>
        <item x="103"/>
        <item x="104"/>
        <item x="105"/>
        <item m="1" x="295"/>
        <item x="106"/>
        <item x="107"/>
        <item x="108"/>
        <item x="109"/>
        <item x="110"/>
        <item x="111"/>
        <item x="112"/>
        <item x="113"/>
        <item x="114"/>
        <item m="1" x="298"/>
        <item x="115"/>
        <item x="116"/>
        <item x="117"/>
        <item x="118"/>
        <item m="1" x="26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m="1" x="274"/>
        <item x="130"/>
        <item x="131"/>
        <item x="132"/>
        <item x="133"/>
        <item m="1" x="261"/>
        <item x="134"/>
        <item x="135"/>
        <item x="136"/>
        <item m="1" x="287"/>
        <item m="1" x="277"/>
        <item x="137"/>
        <item x="138"/>
        <item x="139"/>
        <item m="1" x="293"/>
        <item x="140"/>
        <item x="141"/>
        <item x="142"/>
        <item m="1" x="282"/>
        <item x="143"/>
        <item x="144"/>
        <item x="145"/>
        <item x="146"/>
        <item x="147"/>
        <item m="1" x="276"/>
        <item x="148"/>
        <item m="1" x="271"/>
        <item x="149"/>
        <item x="150"/>
        <item x="151"/>
        <item x="152"/>
        <item m="1" x="268"/>
        <item x="153"/>
        <item x="154"/>
        <item x="155"/>
        <item x="156"/>
        <item x="157"/>
        <item x="158"/>
        <item m="1" x="250"/>
        <item x="159"/>
        <item m="1" x="284"/>
        <item x="160"/>
        <item x="161"/>
        <item x="162"/>
        <item x="163"/>
        <item x="164"/>
        <item m="1" x="289"/>
        <item x="165"/>
        <item x="166"/>
        <item x="167"/>
        <item x="168"/>
        <item m="1" x="305"/>
        <item x="169"/>
        <item m="1" x="264"/>
        <item x="170"/>
        <item x="171"/>
        <item x="172"/>
        <item x="173"/>
        <item x="174"/>
        <item x="175"/>
        <item m="1" x="269"/>
        <item x="176"/>
        <item x="177"/>
        <item x="178"/>
        <item x="179"/>
        <item x="180"/>
        <item x="181"/>
        <item x="182"/>
        <item x="183"/>
        <item x="184"/>
        <item x="185"/>
        <item m="1" x="281"/>
        <item x="186"/>
        <item x="187"/>
        <item x="188"/>
        <item m="1" x="288"/>
        <item m="1" x="260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253"/>
        <item x="206"/>
        <item x="207"/>
        <item x="208"/>
        <item x="209"/>
        <item m="1" x="270"/>
        <item x="210"/>
        <item m="1" x="251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m="1" x="262"/>
        <item x="223"/>
        <item x="224"/>
        <item m="1" x="272"/>
        <item x="225"/>
        <item m="1" x="259"/>
        <item x="226"/>
        <item x="227"/>
        <item m="1" x="248"/>
        <item x="228"/>
        <item m="1" x="299"/>
        <item x="229"/>
        <item x="230"/>
        <item x="231"/>
        <item x="232"/>
        <item x="233"/>
        <item x="234"/>
        <item x="235"/>
        <item x="236"/>
        <item m="1" x="300"/>
        <item x="237"/>
        <item x="238"/>
        <item x="239"/>
        <item m="1" x="265"/>
        <item m="1" x="302"/>
        <item x="240"/>
        <item x="241"/>
        <item x="242"/>
        <item x="243"/>
        <item x="244"/>
        <item x="245"/>
        <item x="246"/>
        <item x="247"/>
        <item m="1" x="249"/>
        <item t="default"/>
      </items>
    </pivotField>
    <pivotField showAll="0"/>
    <pivotField showAll="0"/>
    <pivotField numFmtId="14" showAll="0"/>
    <pivotField showAll="0"/>
    <pivotField showAll="0" defaultSubtotal="0"/>
    <pivotField showAll="0" defaultSubtotal="0"/>
  </pivotFields>
  <rowFields count="1">
    <field x="3"/>
  </rowFields>
  <rowItems count="249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8"/>
    </i>
    <i>
      <x v="19"/>
    </i>
    <i>
      <x v="21"/>
    </i>
    <i>
      <x v="22"/>
    </i>
    <i>
      <x v="23"/>
    </i>
    <i>
      <x v="24"/>
    </i>
    <i>
      <x v="26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1"/>
    </i>
    <i>
      <x v="42"/>
    </i>
    <i>
      <x v="43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0"/>
    </i>
    <i>
      <x v="61"/>
    </i>
    <i>
      <x v="63"/>
    </i>
    <i>
      <x v="64"/>
    </i>
    <i>
      <x v="65"/>
    </i>
    <i>
      <x v="67"/>
    </i>
    <i>
      <x v="68"/>
    </i>
    <i>
      <x v="69"/>
    </i>
    <i>
      <x v="70"/>
    </i>
    <i>
      <x v="72"/>
    </i>
    <i>
      <x v="73"/>
    </i>
    <i>
      <x v="74"/>
    </i>
    <i>
      <x v="76"/>
    </i>
    <i>
      <x v="77"/>
    </i>
    <i>
      <x v="78"/>
    </i>
    <i>
      <x v="79"/>
    </i>
    <i>
      <x v="80"/>
    </i>
    <i>
      <x v="82"/>
    </i>
    <i>
      <x v="84"/>
    </i>
    <i>
      <x v="85"/>
    </i>
    <i>
      <x v="86"/>
    </i>
    <i>
      <x v="88"/>
    </i>
    <i>
      <x v="90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2"/>
    </i>
    <i>
      <x v="103"/>
    </i>
    <i>
      <x v="104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48"/>
    </i>
    <i>
      <x v="149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8"/>
    </i>
    <i>
      <x v="169"/>
    </i>
    <i>
      <x v="170"/>
    </i>
    <i>
      <x v="173"/>
    </i>
    <i>
      <x v="174"/>
    </i>
    <i>
      <x v="175"/>
    </i>
    <i>
      <x v="177"/>
    </i>
    <i>
      <x v="178"/>
    </i>
    <i>
      <x v="179"/>
    </i>
    <i>
      <x v="181"/>
    </i>
    <i>
      <x v="182"/>
    </i>
    <i>
      <x v="183"/>
    </i>
    <i>
      <x v="184"/>
    </i>
    <i>
      <x v="185"/>
    </i>
    <i>
      <x v="187"/>
    </i>
    <i>
      <x v="189"/>
    </i>
    <i>
      <x v="190"/>
    </i>
    <i>
      <x v="191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1"/>
    </i>
    <i>
      <x v="203"/>
    </i>
    <i>
      <x v="204"/>
    </i>
    <i>
      <x v="205"/>
    </i>
    <i>
      <x v="206"/>
    </i>
    <i>
      <x v="207"/>
    </i>
    <i>
      <x v="209"/>
    </i>
    <i>
      <x v="210"/>
    </i>
    <i>
      <x v="211"/>
    </i>
    <i>
      <x v="212"/>
    </i>
    <i>
      <x v="214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4"/>
    </i>
    <i>
      <x v="235"/>
    </i>
    <i>
      <x v="236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7"/>
    </i>
    <i>
      <x v="258"/>
    </i>
    <i>
      <x v="259"/>
    </i>
    <i>
      <x v="260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7"/>
    </i>
    <i>
      <x v="278"/>
    </i>
    <i>
      <x v="280"/>
    </i>
    <i>
      <x v="282"/>
    </i>
    <i>
      <x v="283"/>
    </i>
    <i>
      <x v="285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6"/>
    </i>
    <i>
      <x v="297"/>
    </i>
    <i>
      <x v="298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 t="grand">
      <x/>
    </i>
  </rowItems>
  <colItems count="1">
    <i/>
  </colItems>
  <dataFields count="1">
    <dataField name="Count of Name" fld="0" subtotal="count" baseField="0" baseItem="0"/>
  </dataFields>
  <formats count="20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fieldPosition="0">
        <references count="1">
          <reference field="3" count="50"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4"/>
            <x v="35"/>
            <x v="36"/>
            <x v="38"/>
            <x v="39"/>
            <x v="41"/>
            <x v="42"/>
            <x v="43"/>
            <x v="45"/>
            <x v="46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3"/>
            <x v="64"/>
            <x v="65"/>
          </reference>
        </references>
      </pivotArea>
    </format>
    <format dxfId="39">
      <pivotArea dataOnly="0" labelOnly="1" fieldPosition="0">
        <references count="1">
          <reference field="3" count="50">
            <x v="67"/>
            <x v="68"/>
            <x v="69"/>
            <x v="70"/>
            <x v="72"/>
            <x v="73"/>
            <x v="74"/>
            <x v="76"/>
            <x v="77"/>
            <x v="78"/>
            <x v="79"/>
            <x v="80"/>
            <x v="82"/>
            <x v="84"/>
            <x v="85"/>
            <x v="86"/>
            <x v="88"/>
            <x v="90"/>
            <x v="92"/>
            <x v="93"/>
            <x v="94"/>
            <x v="95"/>
            <x v="96"/>
            <x v="98"/>
            <x v="99"/>
            <x v="100"/>
            <x v="102"/>
            <x v="103"/>
            <x v="104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38">
      <pivotArea dataOnly="0" labelOnly="1" fieldPosition="0">
        <references count="1">
          <reference field="3" count="50">
            <x v="128"/>
            <x v="129"/>
            <x v="130"/>
            <x v="132"/>
            <x v="133"/>
            <x v="134"/>
            <x v="136"/>
            <x v="137"/>
            <x v="138"/>
            <x v="139"/>
            <x v="140"/>
            <x v="141"/>
            <x v="142"/>
            <x v="143"/>
            <x v="144"/>
            <x v="146"/>
            <x v="147"/>
            <x v="148"/>
            <x v="149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3"/>
            <x v="164"/>
            <x v="165"/>
            <x v="166"/>
            <x v="168"/>
            <x v="169"/>
            <x v="170"/>
            <x v="173"/>
            <x v="174"/>
            <x v="175"/>
            <x v="177"/>
            <x v="178"/>
            <x v="179"/>
            <x v="181"/>
            <x v="182"/>
            <x v="183"/>
            <x v="184"/>
            <x v="185"/>
            <x v="187"/>
            <x v="189"/>
          </reference>
        </references>
      </pivotArea>
    </format>
    <format dxfId="37">
      <pivotArea dataOnly="0" labelOnly="1" fieldPosition="0">
        <references count="1">
          <reference field="3" count="50">
            <x v="190"/>
            <x v="191"/>
            <x v="192"/>
            <x v="194"/>
            <x v="195"/>
            <x v="196"/>
            <x v="197"/>
            <x v="198"/>
            <x v="199"/>
            <x v="201"/>
            <x v="203"/>
            <x v="204"/>
            <x v="205"/>
            <x v="206"/>
            <x v="207"/>
            <x v="209"/>
            <x v="210"/>
            <x v="211"/>
            <x v="212"/>
            <x v="214"/>
            <x v="216"/>
            <x v="217"/>
            <x v="218"/>
            <x v="219"/>
            <x v="220"/>
            <x v="221"/>
            <x v="223"/>
            <x v="224"/>
            <x v="225"/>
            <x v="226"/>
            <x v="227"/>
            <x v="228"/>
            <x v="229"/>
            <x v="230"/>
            <x v="231"/>
            <x v="232"/>
            <x v="234"/>
            <x v="235"/>
            <x v="236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6">
      <pivotArea dataOnly="0" labelOnly="1" fieldPosition="0">
        <references count="1">
          <reference field="3" count="48">
            <x v="250"/>
            <x v="251"/>
            <x v="252"/>
            <x v="253"/>
            <x v="254"/>
            <x v="255"/>
            <x v="257"/>
            <x v="258"/>
            <x v="259"/>
            <x v="260"/>
            <x v="262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7"/>
            <x v="278"/>
            <x v="280"/>
            <x v="282"/>
            <x v="283"/>
            <x v="285"/>
            <x v="287"/>
            <x v="288"/>
            <x v="289"/>
            <x v="290"/>
            <x v="291"/>
            <x v="292"/>
            <x v="293"/>
            <x v="294"/>
            <x v="296"/>
            <x v="297"/>
            <x v="298"/>
            <x v="301"/>
            <x v="302"/>
            <x v="303"/>
            <x v="304"/>
            <x v="305"/>
            <x v="306"/>
            <x v="307"/>
            <x v="308"/>
          </reference>
        </references>
      </pivotArea>
    </format>
    <format dxfId="35">
      <pivotArea dataOnly="0" labelOnly="1" grandRow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3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fieldPosition="0">
        <references count="1">
          <reference field="3" count="50">
            <x v="1"/>
            <x v="2"/>
            <x v="3"/>
            <x v="5"/>
            <x v="6"/>
            <x v="7"/>
            <x v="8"/>
            <x v="9"/>
            <x v="10"/>
            <x v="12"/>
            <x v="14"/>
            <x v="15"/>
            <x v="18"/>
            <x v="19"/>
            <x v="21"/>
            <x v="22"/>
            <x v="23"/>
            <x v="24"/>
            <x v="26"/>
            <x v="28"/>
            <x v="30"/>
            <x v="31"/>
            <x v="32"/>
            <x v="33"/>
            <x v="34"/>
            <x v="35"/>
            <x v="36"/>
            <x v="38"/>
            <x v="39"/>
            <x v="41"/>
            <x v="42"/>
            <x v="43"/>
            <x v="45"/>
            <x v="46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60"/>
            <x v="61"/>
            <x v="63"/>
            <x v="64"/>
            <x v="65"/>
          </reference>
        </references>
      </pivotArea>
    </format>
    <format dxfId="29">
      <pivotArea dataOnly="0" labelOnly="1" fieldPosition="0">
        <references count="1">
          <reference field="3" count="50">
            <x v="67"/>
            <x v="68"/>
            <x v="69"/>
            <x v="70"/>
            <x v="72"/>
            <x v="73"/>
            <x v="74"/>
            <x v="76"/>
            <x v="77"/>
            <x v="78"/>
            <x v="79"/>
            <x v="80"/>
            <x v="82"/>
            <x v="84"/>
            <x v="85"/>
            <x v="86"/>
            <x v="88"/>
            <x v="90"/>
            <x v="92"/>
            <x v="93"/>
            <x v="94"/>
            <x v="95"/>
            <x v="96"/>
            <x v="98"/>
            <x v="99"/>
            <x v="100"/>
            <x v="102"/>
            <x v="103"/>
            <x v="104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8">
      <pivotArea dataOnly="0" labelOnly="1" fieldPosition="0">
        <references count="1">
          <reference field="3" count="50">
            <x v="128"/>
            <x v="129"/>
            <x v="130"/>
            <x v="132"/>
            <x v="133"/>
            <x v="134"/>
            <x v="136"/>
            <x v="137"/>
            <x v="138"/>
            <x v="139"/>
            <x v="140"/>
            <x v="141"/>
            <x v="142"/>
            <x v="143"/>
            <x v="144"/>
            <x v="146"/>
            <x v="147"/>
            <x v="148"/>
            <x v="149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3"/>
            <x v="164"/>
            <x v="165"/>
            <x v="166"/>
            <x v="168"/>
            <x v="169"/>
            <x v="170"/>
            <x v="173"/>
            <x v="174"/>
            <x v="175"/>
            <x v="177"/>
            <x v="178"/>
            <x v="179"/>
            <x v="181"/>
            <x v="182"/>
            <x v="183"/>
            <x v="184"/>
            <x v="185"/>
            <x v="187"/>
            <x v="189"/>
          </reference>
        </references>
      </pivotArea>
    </format>
    <format dxfId="27">
      <pivotArea dataOnly="0" labelOnly="1" fieldPosition="0">
        <references count="1">
          <reference field="3" count="50">
            <x v="190"/>
            <x v="191"/>
            <x v="192"/>
            <x v="194"/>
            <x v="195"/>
            <x v="196"/>
            <x v="197"/>
            <x v="198"/>
            <x v="199"/>
            <x v="201"/>
            <x v="203"/>
            <x v="204"/>
            <x v="205"/>
            <x v="206"/>
            <x v="207"/>
            <x v="209"/>
            <x v="210"/>
            <x v="211"/>
            <x v="212"/>
            <x v="214"/>
            <x v="216"/>
            <x v="217"/>
            <x v="218"/>
            <x v="219"/>
            <x v="220"/>
            <x v="221"/>
            <x v="223"/>
            <x v="224"/>
            <x v="225"/>
            <x v="226"/>
            <x v="227"/>
            <x v="228"/>
            <x v="229"/>
            <x v="230"/>
            <x v="231"/>
            <x v="232"/>
            <x v="234"/>
            <x v="235"/>
            <x v="236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6">
      <pivotArea dataOnly="0" labelOnly="1" fieldPosition="0">
        <references count="1">
          <reference field="3" count="48">
            <x v="250"/>
            <x v="251"/>
            <x v="252"/>
            <x v="253"/>
            <x v="254"/>
            <x v="255"/>
            <x v="257"/>
            <x v="258"/>
            <x v="259"/>
            <x v="260"/>
            <x v="262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7"/>
            <x v="278"/>
            <x v="280"/>
            <x v="282"/>
            <x v="283"/>
            <x v="285"/>
            <x v="287"/>
            <x v="288"/>
            <x v="289"/>
            <x v="290"/>
            <x v="291"/>
            <x v="292"/>
            <x v="293"/>
            <x v="294"/>
            <x v="296"/>
            <x v="297"/>
            <x v="298"/>
            <x v="301"/>
            <x v="302"/>
            <x v="303"/>
            <x v="304"/>
            <x v="305"/>
            <x v="306"/>
            <x v="307"/>
            <x v="308"/>
          </reference>
        </references>
      </pivotArea>
    </format>
    <format dxfId="2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109"/>
  <sheetViews>
    <sheetView tabSelected="1" zoomScale="96" zoomScaleNormal="100" workbookViewId="0">
      <pane ySplit="1" topLeftCell="A2061" activePane="bottomLeft" state="frozen"/>
      <selection activeCell="D1" sqref="D1"/>
      <selection pane="bottomLeft" activeCell="A2090" sqref="A2090"/>
    </sheetView>
  </sheetViews>
  <sheetFormatPr defaultColWidth="8.88671875" defaultRowHeight="14.4" x14ac:dyDescent="0.3"/>
  <cols>
    <col min="1" max="1" width="5.21875" style="23" bestFit="1" customWidth="1"/>
    <col min="2" max="2" width="40.88671875" style="23" bestFit="1" customWidth="1"/>
    <col min="3" max="3" width="47.88671875" style="23" customWidth="1"/>
    <col min="4" max="6" width="20.77734375" style="23" customWidth="1"/>
    <col min="7" max="7" width="21.109375" style="23" bestFit="1" customWidth="1"/>
    <col min="8" max="8" width="16.5546875" style="18" bestFit="1" customWidth="1"/>
    <col min="9" max="9" width="16.6640625" style="18" bestFit="1" customWidth="1"/>
    <col min="10" max="10" width="15" style="26" bestFit="1" customWidth="1"/>
    <col min="11" max="11" width="16.21875" style="23" bestFit="1" customWidth="1"/>
    <col min="12" max="12" width="34.21875" style="23" bestFit="1" customWidth="1"/>
    <col min="13" max="13" width="67.33203125" style="23" bestFit="1" customWidth="1"/>
    <col min="14" max="14" width="8.88671875" style="23"/>
    <col min="15" max="15" width="46.88671875" style="23" customWidth="1"/>
    <col min="16" max="16" width="14.44140625" style="32" customWidth="1"/>
    <col min="17" max="17" width="6.21875" style="32" bestFit="1" customWidth="1"/>
    <col min="18" max="21" width="10.6640625" style="32" customWidth="1"/>
    <col min="22" max="22" width="16.6640625" style="32" customWidth="1"/>
    <col min="23" max="23" width="5.33203125" style="23" customWidth="1"/>
    <col min="24" max="24" width="13.33203125" style="23" bestFit="1" customWidth="1"/>
    <col min="25" max="25" width="14.5546875" style="23" bestFit="1" customWidth="1"/>
    <col min="26" max="27" width="11" style="23" bestFit="1" customWidth="1"/>
    <col min="28" max="28" width="8.33203125" style="23" bestFit="1" customWidth="1"/>
    <col min="29" max="29" width="8.109375" style="23" customWidth="1"/>
    <col min="30" max="30" width="8.88671875" style="23" bestFit="1" customWidth="1"/>
    <col min="31" max="31" width="8.88671875" style="23" customWidth="1"/>
    <col min="32" max="32" width="6" style="23" customWidth="1"/>
    <col min="33" max="33" width="10" style="23" customWidth="1"/>
    <col min="34" max="35" width="10.6640625" style="23" customWidth="1"/>
    <col min="36" max="36" width="11.44140625" style="23" bestFit="1" customWidth="1"/>
    <col min="37" max="42" width="10.6640625" style="23" bestFit="1" customWidth="1"/>
    <col min="43" max="43" width="10.6640625" style="23" customWidth="1"/>
    <col min="44" max="62" width="10.6640625" style="23" bestFit="1" customWidth="1"/>
    <col min="63" max="16384" width="8.88671875" style="23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25" t="s">
        <v>9</v>
      </c>
      <c r="K1" s="4" t="s">
        <v>10</v>
      </c>
      <c r="L1" s="4" t="s">
        <v>11</v>
      </c>
      <c r="O1" s="41" t="s">
        <v>2932</v>
      </c>
      <c r="P1" s="23" t="s">
        <v>2934</v>
      </c>
      <c r="Q1" s="23">
        <v>150</v>
      </c>
    </row>
    <row r="2" spans="1:17" ht="14.4" customHeight="1" x14ac:dyDescent="0.3">
      <c r="A2" s="5">
        <v>1</v>
      </c>
      <c r="B2" s="5" t="s">
        <v>12</v>
      </c>
      <c r="C2" s="5" t="s">
        <v>13</v>
      </c>
      <c r="D2" s="5" t="s">
        <v>14</v>
      </c>
      <c r="E2" s="5" t="s">
        <v>15</v>
      </c>
      <c r="F2" s="6">
        <v>58490552</v>
      </c>
      <c r="G2" s="5" t="s">
        <v>16</v>
      </c>
      <c r="H2" s="7">
        <v>45760</v>
      </c>
      <c r="I2" s="7">
        <v>45761</v>
      </c>
      <c r="J2" s="8">
        <v>150</v>
      </c>
      <c r="K2" s="9">
        <v>45781</v>
      </c>
      <c r="L2" s="7"/>
      <c r="O2" s="42" t="s">
        <v>2935</v>
      </c>
      <c r="P2" s="23">
        <v>231</v>
      </c>
      <c r="Q2" s="23">
        <f>GETPIVOTDATA("Name",$O$1,"Collected on",4)*$Q$1</f>
        <v>34650</v>
      </c>
    </row>
    <row r="3" spans="1:17" ht="14.4" customHeight="1" x14ac:dyDescent="0.3">
      <c r="A3" s="5">
        <v>2</v>
      </c>
      <c r="B3" s="5" t="s">
        <v>17</v>
      </c>
      <c r="C3" s="5" t="s">
        <v>18</v>
      </c>
      <c r="D3" s="5" t="s">
        <v>14</v>
      </c>
      <c r="E3" s="5" t="s">
        <v>19</v>
      </c>
      <c r="F3" s="6">
        <v>59083237</v>
      </c>
      <c r="G3" s="5" t="s">
        <v>16</v>
      </c>
      <c r="H3" s="7">
        <v>45760</v>
      </c>
      <c r="I3" s="7">
        <v>45761</v>
      </c>
      <c r="J3" s="8">
        <v>150</v>
      </c>
      <c r="K3" s="9">
        <v>45781</v>
      </c>
      <c r="L3" s="7"/>
      <c r="O3" s="42" t="s">
        <v>2936</v>
      </c>
      <c r="P3" s="23">
        <v>275</v>
      </c>
      <c r="Q3" s="23">
        <f>GETPIVOTDATA("Name",$O$1,"Collected on",5)*Q1</f>
        <v>41250</v>
      </c>
    </row>
    <row r="4" spans="1:17" ht="14.4" customHeight="1" x14ac:dyDescent="0.3">
      <c r="A4" s="5">
        <v>3</v>
      </c>
      <c r="B4" s="5" t="s">
        <v>20</v>
      </c>
      <c r="C4" s="5" t="s">
        <v>21</v>
      </c>
      <c r="D4" s="5" t="s">
        <v>22</v>
      </c>
      <c r="E4" s="5" t="s">
        <v>23</v>
      </c>
      <c r="F4" s="6">
        <v>57329424</v>
      </c>
      <c r="G4" s="5" t="s">
        <v>16</v>
      </c>
      <c r="H4" s="7">
        <v>45760</v>
      </c>
      <c r="I4" s="7">
        <v>45761</v>
      </c>
      <c r="J4" s="8">
        <v>150</v>
      </c>
      <c r="K4" s="9">
        <v>45781</v>
      </c>
      <c r="L4" s="7"/>
      <c r="O4" s="42" t="s">
        <v>2937</v>
      </c>
      <c r="P4" s="23">
        <v>383</v>
      </c>
      <c r="Q4" s="23">
        <f>GETPIVOTDATA("Name",$O$1,"Collected on",6)*Q1</f>
        <v>57450</v>
      </c>
    </row>
    <row r="5" spans="1:17" ht="14.4" customHeight="1" x14ac:dyDescent="0.3">
      <c r="A5" s="5">
        <v>4</v>
      </c>
      <c r="B5" s="5" t="s">
        <v>24</v>
      </c>
      <c r="C5" s="5" t="s">
        <v>25</v>
      </c>
      <c r="D5" s="5" t="s">
        <v>26</v>
      </c>
      <c r="E5" s="5" t="s">
        <v>27</v>
      </c>
      <c r="F5" s="6">
        <v>57018245</v>
      </c>
      <c r="G5" s="5" t="s">
        <v>16</v>
      </c>
      <c r="H5" s="7">
        <v>45760</v>
      </c>
      <c r="I5" s="7">
        <v>45761</v>
      </c>
      <c r="J5" s="8">
        <v>150</v>
      </c>
      <c r="K5" s="9">
        <v>45781</v>
      </c>
      <c r="L5" s="7"/>
      <c r="O5" s="42" t="s">
        <v>2938</v>
      </c>
      <c r="P5" s="23">
        <v>376</v>
      </c>
      <c r="Q5" s="23">
        <f>GETPIVOTDATA("Name",$O$1,"Collected on",7)*Q1</f>
        <v>56400</v>
      </c>
    </row>
    <row r="6" spans="1:17" ht="14.4" customHeight="1" x14ac:dyDescent="0.3">
      <c r="A6" s="5">
        <v>5</v>
      </c>
      <c r="B6" s="5" t="s">
        <v>28</v>
      </c>
      <c r="C6" s="5" t="s">
        <v>29</v>
      </c>
      <c r="D6" s="5" t="s">
        <v>30</v>
      </c>
      <c r="E6" s="5" t="s">
        <v>31</v>
      </c>
      <c r="F6" s="6">
        <v>58620675</v>
      </c>
      <c r="G6" s="5" t="s">
        <v>16</v>
      </c>
      <c r="H6" s="7">
        <v>45760</v>
      </c>
      <c r="I6" s="7">
        <v>45761</v>
      </c>
      <c r="J6" s="8">
        <v>150</v>
      </c>
      <c r="K6" s="9">
        <v>45781</v>
      </c>
      <c r="L6" s="7"/>
      <c r="O6" s="42" t="s">
        <v>2939</v>
      </c>
      <c r="P6" s="23">
        <v>334</v>
      </c>
      <c r="Q6" s="23">
        <f>GETPIVOTDATA("Name",$O$1,"Collected on",8)*Q1</f>
        <v>50100</v>
      </c>
    </row>
    <row r="7" spans="1:17" ht="14.4" customHeight="1" x14ac:dyDescent="0.3">
      <c r="A7" s="5">
        <v>6</v>
      </c>
      <c r="B7" s="5" t="s">
        <v>32</v>
      </c>
      <c r="C7" s="5" t="s">
        <v>33</v>
      </c>
      <c r="D7" s="5" t="s">
        <v>34</v>
      </c>
      <c r="E7" s="5" t="s">
        <v>1170</v>
      </c>
      <c r="F7" s="6">
        <v>59137561</v>
      </c>
      <c r="G7" s="5" t="s">
        <v>16</v>
      </c>
      <c r="H7" s="7">
        <v>45760</v>
      </c>
      <c r="I7" s="7">
        <v>45761</v>
      </c>
      <c r="J7" s="8">
        <v>150</v>
      </c>
      <c r="K7" s="9">
        <v>45781</v>
      </c>
      <c r="L7" s="7"/>
      <c r="O7" s="42" t="s">
        <v>3298</v>
      </c>
      <c r="P7" s="23">
        <v>1</v>
      </c>
      <c r="Q7" s="23"/>
    </row>
    <row r="8" spans="1:17" ht="14.4" customHeight="1" x14ac:dyDescent="0.3">
      <c r="A8" s="5">
        <v>8</v>
      </c>
      <c r="B8" s="5" t="s">
        <v>39</v>
      </c>
      <c r="C8" s="5" t="s">
        <v>40</v>
      </c>
      <c r="D8" s="5" t="s">
        <v>34</v>
      </c>
      <c r="E8" s="5" t="s">
        <v>41</v>
      </c>
      <c r="F8" s="6">
        <v>57942622</v>
      </c>
      <c r="G8" s="5" t="s">
        <v>16</v>
      </c>
      <c r="H8" s="7">
        <v>45760</v>
      </c>
      <c r="I8" s="7">
        <v>45761</v>
      </c>
      <c r="J8" s="8">
        <v>150</v>
      </c>
      <c r="K8" s="9">
        <v>45781</v>
      </c>
      <c r="L8" s="7"/>
      <c r="O8" s="42" t="s">
        <v>2933</v>
      </c>
      <c r="P8" s="23">
        <v>1600</v>
      </c>
      <c r="Q8" s="23"/>
    </row>
    <row r="9" spans="1:17" ht="14.4" customHeight="1" x14ac:dyDescent="0.3">
      <c r="A9" s="5">
        <v>9</v>
      </c>
      <c r="B9" s="5" t="s">
        <v>42</v>
      </c>
      <c r="C9" s="5" t="s">
        <v>43</v>
      </c>
      <c r="D9" s="5" t="s">
        <v>34</v>
      </c>
      <c r="E9" s="5" t="s">
        <v>41</v>
      </c>
      <c r="F9" s="6">
        <v>57662898</v>
      </c>
      <c r="G9" s="5" t="s">
        <v>16</v>
      </c>
      <c r="H9" s="7">
        <v>45760</v>
      </c>
      <c r="I9" s="7">
        <v>45761</v>
      </c>
      <c r="J9" s="8">
        <v>150</v>
      </c>
      <c r="K9" s="9">
        <v>45781</v>
      </c>
      <c r="L9" s="7"/>
      <c r="P9" s="23"/>
      <c r="Q9" s="23"/>
    </row>
    <row r="10" spans="1:17" ht="14.4" customHeight="1" x14ac:dyDescent="0.3">
      <c r="A10" s="5">
        <v>11</v>
      </c>
      <c r="B10" s="5" t="s">
        <v>47</v>
      </c>
      <c r="C10" s="5" t="s">
        <v>48</v>
      </c>
      <c r="D10" s="5" t="s">
        <v>26</v>
      </c>
      <c r="E10" s="5" t="s">
        <v>49</v>
      </c>
      <c r="F10" s="6">
        <v>57668449</v>
      </c>
      <c r="G10" s="5" t="s">
        <v>16</v>
      </c>
      <c r="H10" s="7">
        <v>45760</v>
      </c>
      <c r="I10" s="7">
        <v>45761</v>
      </c>
      <c r="J10" s="8">
        <v>150</v>
      </c>
      <c r="K10" s="9">
        <v>45781</v>
      </c>
      <c r="L10" s="7"/>
      <c r="P10" s="23"/>
      <c r="Q10" s="23"/>
    </row>
    <row r="11" spans="1:17" ht="14.4" customHeight="1" x14ac:dyDescent="0.3">
      <c r="A11" s="5">
        <v>12</v>
      </c>
      <c r="B11" s="5" t="s">
        <v>50</v>
      </c>
      <c r="C11" s="5" t="s">
        <v>51</v>
      </c>
      <c r="D11" s="5" t="s">
        <v>26</v>
      </c>
      <c r="E11" s="5" t="s">
        <v>49</v>
      </c>
      <c r="F11" s="6">
        <v>57535983</v>
      </c>
      <c r="G11" s="5" t="s">
        <v>16</v>
      </c>
      <c r="H11" s="7">
        <v>45760</v>
      </c>
      <c r="I11" s="7">
        <v>45761</v>
      </c>
      <c r="J11" s="8">
        <v>150</v>
      </c>
      <c r="K11" s="9">
        <v>45781</v>
      </c>
      <c r="L11" s="7"/>
      <c r="P11" s="23"/>
      <c r="Q11" s="23"/>
    </row>
    <row r="12" spans="1:17" ht="14.4" customHeight="1" x14ac:dyDescent="0.3">
      <c r="A12" s="5">
        <v>13</v>
      </c>
      <c r="B12" s="5" t="s">
        <v>52</v>
      </c>
      <c r="C12" s="5" t="s">
        <v>53</v>
      </c>
      <c r="D12" s="5" t="s">
        <v>26</v>
      </c>
      <c r="E12" s="5" t="s">
        <v>49</v>
      </c>
      <c r="F12" s="6">
        <v>59268555</v>
      </c>
      <c r="G12" s="5" t="s">
        <v>16</v>
      </c>
      <c r="H12" s="7">
        <v>45760</v>
      </c>
      <c r="I12" s="7">
        <v>45761</v>
      </c>
      <c r="J12" s="8">
        <v>150</v>
      </c>
      <c r="K12" s="9">
        <v>45781</v>
      </c>
      <c r="L12" s="7"/>
      <c r="P12" s="23"/>
      <c r="Q12" s="23"/>
    </row>
    <row r="13" spans="1:17" ht="14.4" customHeight="1" x14ac:dyDescent="0.3">
      <c r="A13" s="5">
        <v>14</v>
      </c>
      <c r="B13" s="5" t="s">
        <v>54</v>
      </c>
      <c r="C13" s="5" t="s">
        <v>55</v>
      </c>
      <c r="D13" s="5" t="s">
        <v>26</v>
      </c>
      <c r="E13" s="5" t="s">
        <v>49</v>
      </c>
      <c r="F13" s="6">
        <v>54852127</v>
      </c>
      <c r="G13" s="5" t="s">
        <v>16</v>
      </c>
      <c r="H13" s="7">
        <v>45760</v>
      </c>
      <c r="I13" s="7">
        <v>45761</v>
      </c>
      <c r="J13" s="8">
        <v>150</v>
      </c>
      <c r="K13" s="9">
        <v>45781</v>
      </c>
      <c r="L13" s="7"/>
      <c r="O13" s="41" t="s">
        <v>2932</v>
      </c>
      <c r="P13" s="23" t="s">
        <v>2934</v>
      </c>
      <c r="Q13" s="23"/>
    </row>
    <row r="14" spans="1:17" ht="14.4" customHeight="1" x14ac:dyDescent="0.3">
      <c r="A14" s="5">
        <v>15</v>
      </c>
      <c r="B14" s="5" t="s">
        <v>56</v>
      </c>
      <c r="C14" s="5" t="s">
        <v>57</v>
      </c>
      <c r="D14" s="5" t="s">
        <v>26</v>
      </c>
      <c r="E14" s="5" t="s">
        <v>49</v>
      </c>
      <c r="F14" s="6">
        <v>59120160</v>
      </c>
      <c r="G14" s="5" t="s">
        <v>16</v>
      </c>
      <c r="H14" s="7">
        <v>45760</v>
      </c>
      <c r="I14" s="7">
        <v>45761</v>
      </c>
      <c r="J14" s="8">
        <v>150</v>
      </c>
      <c r="K14" s="9">
        <v>45781</v>
      </c>
      <c r="L14" s="7"/>
      <c r="O14" s="43" t="s">
        <v>2643</v>
      </c>
      <c r="P14" s="23">
        <v>1</v>
      </c>
      <c r="Q14" s="23"/>
    </row>
    <row r="15" spans="1:17" ht="14.4" customHeight="1" x14ac:dyDescent="0.3">
      <c r="A15" s="5">
        <v>16</v>
      </c>
      <c r="B15" s="5" t="s">
        <v>58</v>
      </c>
      <c r="C15" s="5" t="s">
        <v>59</v>
      </c>
      <c r="D15" s="5" t="s">
        <v>14</v>
      </c>
      <c r="E15" s="5" t="s">
        <v>60</v>
      </c>
      <c r="F15" s="6">
        <v>58251713</v>
      </c>
      <c r="G15" s="5" t="s">
        <v>16</v>
      </c>
      <c r="H15" s="7">
        <v>45760</v>
      </c>
      <c r="I15" s="7">
        <v>45761</v>
      </c>
      <c r="J15" s="8">
        <v>150</v>
      </c>
      <c r="K15" s="9">
        <v>45781</v>
      </c>
      <c r="L15" s="7"/>
      <c r="O15" s="43" t="s">
        <v>1378</v>
      </c>
      <c r="P15" s="23">
        <v>5</v>
      </c>
      <c r="Q15" s="23"/>
    </row>
    <row r="16" spans="1:17" ht="14.4" customHeight="1" x14ac:dyDescent="0.3">
      <c r="A16" s="5">
        <v>17</v>
      </c>
      <c r="B16" s="5" t="s">
        <v>61</v>
      </c>
      <c r="C16" s="5" t="s">
        <v>62</v>
      </c>
      <c r="D16" s="5" t="s">
        <v>14</v>
      </c>
      <c r="E16" s="5" t="s">
        <v>63</v>
      </c>
      <c r="F16" s="6">
        <v>59108223</v>
      </c>
      <c r="G16" s="5" t="s">
        <v>16</v>
      </c>
      <c r="H16" s="7">
        <v>45760</v>
      </c>
      <c r="I16" s="7">
        <v>45761</v>
      </c>
      <c r="J16" s="8">
        <v>150</v>
      </c>
      <c r="K16" s="9">
        <v>45781</v>
      </c>
      <c r="L16" s="7"/>
      <c r="O16" s="43" t="s">
        <v>2942</v>
      </c>
      <c r="P16" s="23">
        <v>2</v>
      </c>
      <c r="Q16" s="23"/>
    </row>
    <row r="17" spans="1:17" ht="14.4" customHeight="1" x14ac:dyDescent="0.3">
      <c r="A17" s="5">
        <v>18</v>
      </c>
      <c r="B17" s="5" t="s">
        <v>64</v>
      </c>
      <c r="C17" s="5" t="s">
        <v>65</v>
      </c>
      <c r="D17" s="5" t="s">
        <v>14</v>
      </c>
      <c r="E17" s="5" t="s">
        <v>63</v>
      </c>
      <c r="F17" s="6">
        <v>58242419</v>
      </c>
      <c r="G17" s="5" t="s">
        <v>16</v>
      </c>
      <c r="H17" s="7">
        <v>45760</v>
      </c>
      <c r="I17" s="7">
        <v>45761</v>
      </c>
      <c r="J17" s="8">
        <v>150</v>
      </c>
      <c r="K17" s="9">
        <v>45781</v>
      </c>
      <c r="L17" s="7"/>
      <c r="O17" s="43" t="s">
        <v>458</v>
      </c>
      <c r="P17" s="23">
        <v>7</v>
      </c>
      <c r="Q17" s="23"/>
    </row>
    <row r="18" spans="1:17" ht="14.4" customHeight="1" x14ac:dyDescent="0.3">
      <c r="A18" s="5">
        <v>19</v>
      </c>
      <c r="B18" s="5" t="s">
        <v>66</v>
      </c>
      <c r="C18" s="5" t="s">
        <v>67</v>
      </c>
      <c r="D18" s="5" t="s">
        <v>68</v>
      </c>
      <c r="E18" s="5" t="s">
        <v>69</v>
      </c>
      <c r="F18" s="6">
        <v>57965413</v>
      </c>
      <c r="G18" s="5" t="s">
        <v>16</v>
      </c>
      <c r="H18" s="7">
        <v>45760</v>
      </c>
      <c r="I18" s="7">
        <v>45761</v>
      </c>
      <c r="J18" s="8">
        <v>150</v>
      </c>
      <c r="K18" s="9">
        <v>45781</v>
      </c>
      <c r="L18" s="7"/>
      <c r="O18" s="43" t="s">
        <v>715</v>
      </c>
      <c r="P18" s="23">
        <v>8</v>
      </c>
      <c r="Q18" s="23"/>
    </row>
    <row r="19" spans="1:17" ht="14.4" customHeight="1" x14ac:dyDescent="0.3">
      <c r="A19" s="5">
        <v>20</v>
      </c>
      <c r="B19" s="5" t="s">
        <v>70</v>
      </c>
      <c r="C19" s="5" t="s">
        <v>71</v>
      </c>
      <c r="D19" s="5" t="s">
        <v>68</v>
      </c>
      <c r="E19" s="5" t="s">
        <v>69</v>
      </c>
      <c r="F19" s="6">
        <v>57095798</v>
      </c>
      <c r="G19" s="5" t="s">
        <v>16</v>
      </c>
      <c r="H19" s="7">
        <v>45760</v>
      </c>
      <c r="I19" s="7">
        <v>45761</v>
      </c>
      <c r="J19" s="8">
        <v>150</v>
      </c>
      <c r="K19" s="9">
        <v>45781</v>
      </c>
      <c r="L19" s="7"/>
      <c r="O19" s="43" t="s">
        <v>187</v>
      </c>
      <c r="P19" s="23">
        <v>3</v>
      </c>
      <c r="Q19" s="23"/>
    </row>
    <row r="20" spans="1:17" ht="14.4" customHeight="1" x14ac:dyDescent="0.3">
      <c r="A20" s="5">
        <v>21</v>
      </c>
      <c r="B20" s="5" t="s">
        <v>72</v>
      </c>
      <c r="C20" s="5" t="s">
        <v>73</v>
      </c>
      <c r="D20" s="5" t="s">
        <v>26</v>
      </c>
      <c r="E20" s="5" t="s">
        <v>74</v>
      </c>
      <c r="F20" s="6">
        <v>59272041</v>
      </c>
      <c r="G20" s="5" t="s">
        <v>16</v>
      </c>
      <c r="H20" s="7">
        <v>45760</v>
      </c>
      <c r="I20" s="7">
        <v>45761</v>
      </c>
      <c r="J20" s="8">
        <v>150</v>
      </c>
      <c r="K20" s="9">
        <v>45781</v>
      </c>
      <c r="L20" s="7"/>
      <c r="O20" s="43" t="s">
        <v>1091</v>
      </c>
      <c r="P20" s="23">
        <v>5</v>
      </c>
    </row>
    <row r="21" spans="1:17" ht="14.4" customHeight="1" x14ac:dyDescent="0.3">
      <c r="A21" s="5">
        <v>22</v>
      </c>
      <c r="B21" s="5" t="s">
        <v>75</v>
      </c>
      <c r="C21" s="5" t="s">
        <v>76</v>
      </c>
      <c r="D21" s="5" t="s">
        <v>30</v>
      </c>
      <c r="E21" s="5" t="s">
        <v>77</v>
      </c>
      <c r="F21" s="6">
        <v>57893924</v>
      </c>
      <c r="G21" s="5" t="s">
        <v>16</v>
      </c>
      <c r="H21" s="7">
        <v>45760</v>
      </c>
      <c r="I21" s="7">
        <v>45761</v>
      </c>
      <c r="J21" s="8">
        <v>150</v>
      </c>
      <c r="K21" s="9">
        <v>45781</v>
      </c>
      <c r="L21" s="7"/>
      <c r="O21" s="43" t="s">
        <v>986</v>
      </c>
      <c r="P21" s="23">
        <v>2</v>
      </c>
    </row>
    <row r="22" spans="1:17" ht="14.4" customHeight="1" x14ac:dyDescent="0.3">
      <c r="A22" s="5">
        <v>24</v>
      </c>
      <c r="B22" s="5" t="s">
        <v>81</v>
      </c>
      <c r="C22" s="5" t="s">
        <v>82</v>
      </c>
      <c r="D22" s="5" t="s">
        <v>83</v>
      </c>
      <c r="E22" s="5" t="s">
        <v>84</v>
      </c>
      <c r="F22" s="10" t="s">
        <v>85</v>
      </c>
      <c r="G22" s="5" t="s">
        <v>16</v>
      </c>
      <c r="H22" s="7">
        <v>45760</v>
      </c>
      <c r="I22" s="7">
        <v>45761</v>
      </c>
      <c r="J22" s="8">
        <v>150</v>
      </c>
      <c r="K22" s="9">
        <v>45781</v>
      </c>
      <c r="L22" s="7"/>
      <c r="O22" s="43" t="s">
        <v>3299</v>
      </c>
      <c r="P22" s="23">
        <v>1</v>
      </c>
    </row>
    <row r="23" spans="1:17" ht="14.4" customHeight="1" x14ac:dyDescent="0.3">
      <c r="A23" s="5">
        <v>25</v>
      </c>
      <c r="B23" s="5" t="s">
        <v>86</v>
      </c>
      <c r="C23" s="5" t="s">
        <v>87</v>
      </c>
      <c r="D23" s="5" t="s">
        <v>83</v>
      </c>
      <c r="E23" s="5" t="s">
        <v>84</v>
      </c>
      <c r="F23" s="6">
        <v>58341044</v>
      </c>
      <c r="G23" s="5" t="s">
        <v>16</v>
      </c>
      <c r="H23" s="7">
        <v>45760</v>
      </c>
      <c r="I23" s="7">
        <v>45761</v>
      </c>
      <c r="J23" s="8">
        <v>150</v>
      </c>
      <c r="K23" s="9">
        <v>45781</v>
      </c>
      <c r="L23" s="7"/>
      <c r="O23" s="43" t="s">
        <v>251</v>
      </c>
      <c r="P23" s="23">
        <v>6</v>
      </c>
    </row>
    <row r="24" spans="1:17" ht="14.4" customHeight="1" x14ac:dyDescent="0.3">
      <c r="A24" s="5">
        <v>26</v>
      </c>
      <c r="B24" s="5" t="s">
        <v>88</v>
      </c>
      <c r="C24" s="5" t="s">
        <v>89</v>
      </c>
      <c r="D24" s="5" t="s">
        <v>83</v>
      </c>
      <c r="E24" s="5" t="s">
        <v>84</v>
      </c>
      <c r="F24" s="6">
        <v>59019359</v>
      </c>
      <c r="G24" s="5" t="s">
        <v>16</v>
      </c>
      <c r="H24" s="7">
        <v>45760</v>
      </c>
      <c r="I24" s="7">
        <v>45761</v>
      </c>
      <c r="J24" s="8">
        <v>150</v>
      </c>
      <c r="K24" s="9">
        <v>45781</v>
      </c>
      <c r="L24" s="7"/>
      <c r="O24" s="43" t="s">
        <v>537</v>
      </c>
      <c r="P24" s="23">
        <v>1</v>
      </c>
    </row>
    <row r="25" spans="1:17" ht="14.4" customHeight="1" x14ac:dyDescent="0.3">
      <c r="A25" s="5">
        <v>27</v>
      </c>
      <c r="B25" s="5" t="s">
        <v>90</v>
      </c>
      <c r="C25" s="5" t="s">
        <v>91</v>
      </c>
      <c r="D25" s="5" t="s">
        <v>83</v>
      </c>
      <c r="E25" s="5" t="s">
        <v>84</v>
      </c>
      <c r="F25" s="6">
        <v>57095855</v>
      </c>
      <c r="G25" s="5" t="s">
        <v>16</v>
      </c>
      <c r="H25" s="7">
        <v>45760</v>
      </c>
      <c r="I25" s="7">
        <v>45761</v>
      </c>
      <c r="J25" s="8">
        <v>150</v>
      </c>
      <c r="K25" s="9">
        <v>45781</v>
      </c>
      <c r="L25" s="7"/>
      <c r="O25" s="43" t="s">
        <v>696</v>
      </c>
      <c r="P25" s="23">
        <v>36</v>
      </c>
    </row>
    <row r="26" spans="1:17" ht="14.4" customHeight="1" x14ac:dyDescent="0.3">
      <c r="A26" s="5">
        <v>29</v>
      </c>
      <c r="B26" s="5" t="s">
        <v>94</v>
      </c>
      <c r="C26" s="5" t="s">
        <v>95</v>
      </c>
      <c r="D26" s="5" t="s">
        <v>83</v>
      </c>
      <c r="E26" s="5" t="s">
        <v>84</v>
      </c>
      <c r="F26" s="6">
        <v>58307630</v>
      </c>
      <c r="G26" s="5" t="s">
        <v>16</v>
      </c>
      <c r="H26" s="7">
        <v>45760</v>
      </c>
      <c r="I26" s="7">
        <v>45761</v>
      </c>
      <c r="J26" s="8">
        <v>150</v>
      </c>
      <c r="K26" s="9">
        <v>45781</v>
      </c>
      <c r="L26" s="7"/>
      <c r="O26" s="43" t="s">
        <v>1440</v>
      </c>
      <c r="P26" s="23">
        <v>2</v>
      </c>
    </row>
    <row r="27" spans="1:17" ht="14.4" customHeight="1" x14ac:dyDescent="0.3">
      <c r="A27" s="5">
        <v>30</v>
      </c>
      <c r="B27" s="5" t="s">
        <v>96</v>
      </c>
      <c r="C27" s="5" t="s">
        <v>97</v>
      </c>
      <c r="D27" s="5" t="s">
        <v>30</v>
      </c>
      <c r="E27" s="5" t="s">
        <v>98</v>
      </c>
      <c r="F27" s="6">
        <v>58398955</v>
      </c>
      <c r="G27" s="5" t="s">
        <v>16</v>
      </c>
      <c r="H27" s="7">
        <v>45760</v>
      </c>
      <c r="I27" s="7">
        <v>45761</v>
      </c>
      <c r="J27" s="8">
        <v>150</v>
      </c>
      <c r="K27" s="9">
        <v>45781</v>
      </c>
      <c r="L27" s="7"/>
      <c r="O27" s="43" t="s">
        <v>3301</v>
      </c>
      <c r="P27" s="23">
        <v>1</v>
      </c>
    </row>
    <row r="28" spans="1:17" ht="14.4" customHeight="1" x14ac:dyDescent="0.3">
      <c r="A28" s="5">
        <v>31</v>
      </c>
      <c r="B28" s="5" t="s">
        <v>99</v>
      </c>
      <c r="C28" s="5" t="s">
        <v>100</v>
      </c>
      <c r="D28" s="5" t="s">
        <v>68</v>
      </c>
      <c r="E28" s="5" t="s">
        <v>101</v>
      </c>
      <c r="F28" s="10" t="s">
        <v>102</v>
      </c>
      <c r="G28" s="5" t="s">
        <v>16</v>
      </c>
      <c r="H28" s="7">
        <v>45760</v>
      </c>
      <c r="I28" s="7">
        <v>45761</v>
      </c>
      <c r="J28" s="8">
        <v>150</v>
      </c>
      <c r="K28" s="9">
        <v>45781</v>
      </c>
      <c r="L28" s="7"/>
      <c r="O28" s="43" t="s">
        <v>2950</v>
      </c>
      <c r="P28" s="23">
        <v>1</v>
      </c>
    </row>
    <row r="29" spans="1:17" ht="14.4" customHeight="1" x14ac:dyDescent="0.3">
      <c r="A29" s="5">
        <v>32</v>
      </c>
      <c r="B29" s="5" t="s">
        <v>103</v>
      </c>
      <c r="C29" s="5" t="s">
        <v>104</v>
      </c>
      <c r="D29" s="5" t="s">
        <v>30</v>
      </c>
      <c r="E29" s="5" t="s">
        <v>98</v>
      </c>
      <c r="F29" s="6">
        <v>59042970</v>
      </c>
      <c r="G29" s="5" t="s">
        <v>16</v>
      </c>
      <c r="H29" s="7">
        <v>45760</v>
      </c>
      <c r="I29" s="7">
        <v>45761</v>
      </c>
      <c r="J29" s="8">
        <v>150</v>
      </c>
      <c r="K29" s="9">
        <v>45781</v>
      </c>
      <c r="L29" s="7"/>
      <c r="O29" s="43" t="s">
        <v>223</v>
      </c>
      <c r="P29" s="23">
        <v>26</v>
      </c>
    </row>
    <row r="30" spans="1:17" ht="14.4" customHeight="1" x14ac:dyDescent="0.3">
      <c r="A30" s="5">
        <v>33</v>
      </c>
      <c r="B30" s="5" t="s">
        <v>105</v>
      </c>
      <c r="C30" s="5" t="s">
        <v>106</v>
      </c>
      <c r="D30" s="5" t="s">
        <v>83</v>
      </c>
      <c r="E30" s="5" t="s">
        <v>84</v>
      </c>
      <c r="F30" s="6">
        <v>57955535</v>
      </c>
      <c r="G30" s="5" t="s">
        <v>16</v>
      </c>
      <c r="H30" s="7">
        <v>45760</v>
      </c>
      <c r="I30" s="7">
        <v>45761</v>
      </c>
      <c r="J30" s="8">
        <v>150</v>
      </c>
      <c r="K30" s="9">
        <v>45781</v>
      </c>
      <c r="L30" s="7"/>
      <c r="O30" s="43" t="s">
        <v>3245</v>
      </c>
      <c r="P30" s="23">
        <v>1</v>
      </c>
    </row>
    <row r="31" spans="1:17" ht="14.4" customHeight="1" x14ac:dyDescent="0.3">
      <c r="A31" s="5">
        <v>34</v>
      </c>
      <c r="B31" s="5" t="s">
        <v>107</v>
      </c>
      <c r="C31" s="5" t="s">
        <v>108</v>
      </c>
      <c r="D31" s="5" t="s">
        <v>14</v>
      </c>
      <c r="E31" s="5" t="s">
        <v>63</v>
      </c>
      <c r="F31" s="6">
        <v>57062055</v>
      </c>
      <c r="G31" s="5" t="s">
        <v>16</v>
      </c>
      <c r="H31" s="7">
        <v>45760</v>
      </c>
      <c r="I31" s="7">
        <v>45761</v>
      </c>
      <c r="J31" s="8">
        <v>150</v>
      </c>
      <c r="K31" s="9">
        <v>45781</v>
      </c>
      <c r="L31" s="7"/>
      <c r="O31" s="43" t="s">
        <v>3302</v>
      </c>
      <c r="P31" s="23">
        <v>1</v>
      </c>
    </row>
    <row r="32" spans="1:17" ht="14.4" customHeight="1" x14ac:dyDescent="0.3">
      <c r="A32" s="5">
        <v>165</v>
      </c>
      <c r="B32" s="5" t="s">
        <v>109</v>
      </c>
      <c r="C32" s="5" t="s">
        <v>110</v>
      </c>
      <c r="D32" s="5" t="s">
        <v>26</v>
      </c>
      <c r="E32" s="5" t="s">
        <v>111</v>
      </c>
      <c r="F32" s="6">
        <v>57954180</v>
      </c>
      <c r="G32" s="5" t="s">
        <v>1024</v>
      </c>
      <c r="H32" s="7">
        <v>45760</v>
      </c>
      <c r="I32" s="7">
        <v>45761</v>
      </c>
      <c r="J32" s="8">
        <v>150</v>
      </c>
      <c r="K32" s="9">
        <v>45781</v>
      </c>
      <c r="L32" s="7"/>
      <c r="O32" s="43" t="s">
        <v>1833</v>
      </c>
      <c r="P32" s="23">
        <v>2</v>
      </c>
    </row>
    <row r="33" spans="1:16" ht="14.4" customHeight="1" x14ac:dyDescent="0.3">
      <c r="A33" s="5">
        <v>7</v>
      </c>
      <c r="B33" s="5" t="s">
        <v>36</v>
      </c>
      <c r="C33" s="5" t="s">
        <v>37</v>
      </c>
      <c r="D33" s="5" t="s">
        <v>22</v>
      </c>
      <c r="E33" s="5" t="s">
        <v>38</v>
      </c>
      <c r="F33" s="6">
        <v>54802997</v>
      </c>
      <c r="G33" s="5" t="s">
        <v>16</v>
      </c>
      <c r="H33" s="7">
        <v>45760</v>
      </c>
      <c r="I33" s="7">
        <v>45764</v>
      </c>
      <c r="J33" s="8">
        <v>150</v>
      </c>
      <c r="K33" s="9">
        <v>45781</v>
      </c>
      <c r="L33" s="7"/>
      <c r="O33" s="43" t="s">
        <v>3303</v>
      </c>
      <c r="P33" s="23">
        <v>1</v>
      </c>
    </row>
    <row r="34" spans="1:16" ht="14.4" customHeight="1" x14ac:dyDescent="0.3">
      <c r="A34" s="5">
        <v>10</v>
      </c>
      <c r="B34" s="5" t="s">
        <v>44</v>
      </c>
      <c r="C34" s="5" t="s">
        <v>45</v>
      </c>
      <c r="D34" s="5" t="s">
        <v>26</v>
      </c>
      <c r="E34" s="5" t="s">
        <v>46</v>
      </c>
      <c r="F34" s="6">
        <v>59888285</v>
      </c>
      <c r="G34" s="5" t="s">
        <v>16</v>
      </c>
      <c r="H34" s="7">
        <v>45760</v>
      </c>
      <c r="I34" s="7">
        <v>45764</v>
      </c>
      <c r="J34" s="8">
        <v>150</v>
      </c>
      <c r="K34" s="9">
        <v>45781</v>
      </c>
      <c r="L34" s="7"/>
      <c r="O34" s="43" t="s">
        <v>2913</v>
      </c>
      <c r="P34" s="23">
        <v>1</v>
      </c>
    </row>
    <row r="35" spans="1:16" ht="14.4" customHeight="1" x14ac:dyDescent="0.3">
      <c r="A35" s="5">
        <v>23</v>
      </c>
      <c r="B35" s="5" t="s">
        <v>78</v>
      </c>
      <c r="C35" s="5" t="s">
        <v>79</v>
      </c>
      <c r="D35" s="5" t="s">
        <v>30</v>
      </c>
      <c r="E35" s="5" t="s">
        <v>80</v>
      </c>
      <c r="F35" s="6">
        <v>58282499</v>
      </c>
      <c r="G35" s="5" t="s">
        <v>16</v>
      </c>
      <c r="H35" s="7">
        <v>45760</v>
      </c>
      <c r="I35" s="7">
        <v>45764</v>
      </c>
      <c r="J35" s="8">
        <v>150</v>
      </c>
      <c r="K35" s="9">
        <v>45781</v>
      </c>
      <c r="L35" s="7"/>
      <c r="O35" s="43" t="s">
        <v>321</v>
      </c>
      <c r="P35" s="23">
        <v>2</v>
      </c>
    </row>
    <row r="36" spans="1:16" ht="14.4" customHeight="1" x14ac:dyDescent="0.3">
      <c r="A36" s="5">
        <v>28</v>
      </c>
      <c r="B36" s="5" t="s">
        <v>92</v>
      </c>
      <c r="C36" s="5" t="s">
        <v>93</v>
      </c>
      <c r="D36" s="5" t="s">
        <v>30</v>
      </c>
      <c r="E36" s="5" t="s">
        <v>77</v>
      </c>
      <c r="F36" s="6">
        <v>59169323</v>
      </c>
      <c r="G36" s="5" t="s">
        <v>16</v>
      </c>
      <c r="H36" s="7">
        <v>45760</v>
      </c>
      <c r="I36" s="7">
        <v>45764</v>
      </c>
      <c r="J36" s="8">
        <v>150</v>
      </c>
      <c r="K36" s="9">
        <v>45781</v>
      </c>
      <c r="L36" s="7"/>
      <c r="O36" s="43" t="s">
        <v>402</v>
      </c>
      <c r="P36" s="23">
        <v>8</v>
      </c>
    </row>
    <row r="37" spans="1:16" ht="14.4" customHeight="1" x14ac:dyDescent="0.3">
      <c r="A37" s="5">
        <v>35</v>
      </c>
      <c r="B37" s="5" t="s">
        <v>114</v>
      </c>
      <c r="C37" s="5" t="s">
        <v>115</v>
      </c>
      <c r="D37" s="5" t="s">
        <v>116</v>
      </c>
      <c r="E37" s="5" t="s">
        <v>117</v>
      </c>
      <c r="F37" s="6">
        <v>54920520</v>
      </c>
      <c r="G37" s="5" t="s">
        <v>16</v>
      </c>
      <c r="H37" s="7">
        <v>45763</v>
      </c>
      <c r="I37" s="7">
        <v>45764</v>
      </c>
      <c r="J37" s="8">
        <v>150</v>
      </c>
      <c r="K37" s="9">
        <v>45781</v>
      </c>
      <c r="L37" s="7"/>
      <c r="O37" s="43" t="s">
        <v>158</v>
      </c>
      <c r="P37" s="23">
        <v>5</v>
      </c>
    </row>
    <row r="38" spans="1:16" ht="14.4" customHeight="1" x14ac:dyDescent="0.3">
      <c r="A38" s="5">
        <v>36</v>
      </c>
      <c r="B38" s="5" t="s">
        <v>118</v>
      </c>
      <c r="C38" s="5" t="s">
        <v>119</v>
      </c>
      <c r="D38" s="5" t="s">
        <v>26</v>
      </c>
      <c r="E38" s="5" t="s">
        <v>49</v>
      </c>
      <c r="F38" s="10" t="s">
        <v>120</v>
      </c>
      <c r="G38" s="5" t="s">
        <v>16</v>
      </c>
      <c r="H38" s="7">
        <v>45763</v>
      </c>
      <c r="I38" s="7">
        <v>45764</v>
      </c>
      <c r="J38" s="8">
        <v>150</v>
      </c>
      <c r="K38" s="9">
        <v>45781</v>
      </c>
      <c r="L38" s="7"/>
      <c r="O38" s="43" t="s">
        <v>298</v>
      </c>
      <c r="P38" s="23">
        <v>1</v>
      </c>
    </row>
    <row r="39" spans="1:16" ht="14.4" customHeight="1" x14ac:dyDescent="0.3">
      <c r="A39" s="5">
        <v>37</v>
      </c>
      <c r="B39" s="5" t="s">
        <v>121</v>
      </c>
      <c r="C39" s="5" t="s">
        <v>122</v>
      </c>
      <c r="D39" s="5" t="s">
        <v>30</v>
      </c>
      <c r="E39" s="5" t="s">
        <v>1279</v>
      </c>
      <c r="F39" s="6">
        <v>57801348</v>
      </c>
      <c r="G39" s="5" t="s">
        <v>16</v>
      </c>
      <c r="H39" s="7">
        <v>45763</v>
      </c>
      <c r="I39" s="7">
        <v>45764</v>
      </c>
      <c r="J39" s="8">
        <v>150</v>
      </c>
      <c r="K39" s="9">
        <v>45781</v>
      </c>
      <c r="L39" s="7"/>
      <c r="O39" s="43" t="s">
        <v>1684</v>
      </c>
      <c r="P39" s="23">
        <v>3</v>
      </c>
    </row>
    <row r="40" spans="1:16" ht="14.4" customHeight="1" x14ac:dyDescent="0.3">
      <c r="A40" s="5">
        <v>38</v>
      </c>
      <c r="B40" s="5" t="s">
        <v>124</v>
      </c>
      <c r="C40" s="5" t="s">
        <v>125</v>
      </c>
      <c r="D40" s="5" t="s">
        <v>22</v>
      </c>
      <c r="E40" s="5" t="s">
        <v>126</v>
      </c>
      <c r="F40" s="6">
        <v>57838646</v>
      </c>
      <c r="G40" s="5" t="s">
        <v>16</v>
      </c>
      <c r="H40" s="7">
        <v>45763</v>
      </c>
      <c r="I40" s="7">
        <v>45764</v>
      </c>
      <c r="J40" s="8">
        <v>150</v>
      </c>
      <c r="K40" s="9">
        <v>45781</v>
      </c>
      <c r="L40" s="7"/>
      <c r="O40" s="43" t="s">
        <v>3304</v>
      </c>
      <c r="P40" s="23">
        <v>1</v>
      </c>
    </row>
    <row r="41" spans="1:16" ht="14.4" customHeight="1" x14ac:dyDescent="0.3">
      <c r="A41" s="5">
        <v>39</v>
      </c>
      <c r="B41" s="5" t="s">
        <v>127</v>
      </c>
      <c r="C41" s="5" t="s">
        <v>128</v>
      </c>
      <c r="D41" s="5" t="s">
        <v>26</v>
      </c>
      <c r="E41" s="5" t="s">
        <v>49</v>
      </c>
      <c r="F41" s="6">
        <v>59183395</v>
      </c>
      <c r="G41" s="5" t="s">
        <v>16</v>
      </c>
      <c r="H41" s="7">
        <v>45763</v>
      </c>
      <c r="I41" s="7">
        <v>45764</v>
      </c>
      <c r="J41" s="8">
        <v>150</v>
      </c>
      <c r="K41" s="9">
        <v>45781</v>
      </c>
      <c r="L41" s="7"/>
      <c r="O41" s="43" t="s">
        <v>1998</v>
      </c>
      <c r="P41" s="23">
        <v>1</v>
      </c>
    </row>
    <row r="42" spans="1:16" ht="14.4" customHeight="1" x14ac:dyDescent="0.3">
      <c r="A42" s="5">
        <v>40</v>
      </c>
      <c r="B42" s="5" t="s">
        <v>129</v>
      </c>
      <c r="C42" s="5" t="s">
        <v>130</v>
      </c>
      <c r="D42" s="5" t="s">
        <v>26</v>
      </c>
      <c r="E42" s="5" t="s">
        <v>131</v>
      </c>
      <c r="F42" s="10" t="s">
        <v>132</v>
      </c>
      <c r="G42" s="5" t="s">
        <v>16</v>
      </c>
      <c r="H42" s="7">
        <v>45763</v>
      </c>
      <c r="I42" s="7">
        <v>45764</v>
      </c>
      <c r="J42" s="8">
        <v>150</v>
      </c>
      <c r="K42" s="9">
        <v>45781</v>
      </c>
      <c r="L42" s="7"/>
      <c r="O42" s="43" t="s">
        <v>3305</v>
      </c>
      <c r="P42" s="23">
        <v>1</v>
      </c>
    </row>
    <row r="43" spans="1:16" ht="14.4" customHeight="1" x14ac:dyDescent="0.3">
      <c r="A43" s="5">
        <v>43</v>
      </c>
      <c r="B43" s="5" t="s">
        <v>138</v>
      </c>
      <c r="C43" s="5" t="s">
        <v>139</v>
      </c>
      <c r="D43" s="5" t="s">
        <v>26</v>
      </c>
      <c r="E43" s="5" t="s">
        <v>49</v>
      </c>
      <c r="F43" s="6">
        <v>57597040</v>
      </c>
      <c r="G43" s="5" t="s">
        <v>16</v>
      </c>
      <c r="H43" s="7">
        <v>45763</v>
      </c>
      <c r="I43" s="7">
        <v>45764</v>
      </c>
      <c r="J43" s="8">
        <v>150</v>
      </c>
      <c r="K43" s="9">
        <v>45781</v>
      </c>
      <c r="L43" s="7"/>
      <c r="O43" s="43" t="s">
        <v>923</v>
      </c>
      <c r="P43" s="23">
        <v>10</v>
      </c>
    </row>
    <row r="44" spans="1:16" ht="14.4" customHeight="1" x14ac:dyDescent="0.3">
      <c r="A44" s="5">
        <v>47</v>
      </c>
      <c r="B44" s="5" t="s">
        <v>147</v>
      </c>
      <c r="C44" s="5" t="s">
        <v>148</v>
      </c>
      <c r="D44" s="5" t="s">
        <v>116</v>
      </c>
      <c r="E44" s="5" t="s">
        <v>149</v>
      </c>
      <c r="F44" s="6">
        <v>58535826</v>
      </c>
      <c r="G44" s="5" t="s">
        <v>16</v>
      </c>
      <c r="H44" s="7">
        <v>45763</v>
      </c>
      <c r="I44" s="7">
        <v>45764</v>
      </c>
      <c r="J44" s="8">
        <v>150</v>
      </c>
      <c r="K44" s="9">
        <v>45781</v>
      </c>
      <c r="L44" s="7"/>
      <c r="O44" s="43" t="s">
        <v>998</v>
      </c>
      <c r="P44" s="23">
        <v>5</v>
      </c>
    </row>
    <row r="45" spans="1:16" ht="14.4" customHeight="1" x14ac:dyDescent="0.3">
      <c r="A45" s="5">
        <v>48</v>
      </c>
      <c r="B45" s="5" t="s">
        <v>150</v>
      </c>
      <c r="C45" s="5" t="s">
        <v>151</v>
      </c>
      <c r="D45" s="5" t="s">
        <v>22</v>
      </c>
      <c r="E45" s="5" t="s">
        <v>23</v>
      </c>
      <c r="F45" s="6">
        <v>55023744</v>
      </c>
      <c r="G45" s="5" t="s">
        <v>16</v>
      </c>
      <c r="H45" s="7">
        <v>45763</v>
      </c>
      <c r="I45" s="7">
        <v>45764</v>
      </c>
      <c r="J45" s="8">
        <v>150</v>
      </c>
      <c r="K45" s="9">
        <v>45781</v>
      </c>
      <c r="L45" s="7"/>
      <c r="O45" s="43" t="s">
        <v>3306</v>
      </c>
      <c r="P45" s="23">
        <v>1</v>
      </c>
    </row>
    <row r="46" spans="1:16" ht="14.4" customHeight="1" x14ac:dyDescent="0.3">
      <c r="A46" s="5">
        <v>50</v>
      </c>
      <c r="B46" s="5" t="s">
        <v>156</v>
      </c>
      <c r="C46" s="5" t="s">
        <v>157</v>
      </c>
      <c r="D46" s="5" t="s">
        <v>34</v>
      </c>
      <c r="E46" s="5" t="s">
        <v>158</v>
      </c>
      <c r="F46" s="6">
        <v>57529398</v>
      </c>
      <c r="G46" s="5" t="s">
        <v>16</v>
      </c>
      <c r="H46" s="7">
        <v>45763</v>
      </c>
      <c r="I46" s="7">
        <v>45764</v>
      </c>
      <c r="J46" s="8">
        <v>150</v>
      </c>
      <c r="K46" s="9">
        <v>45781</v>
      </c>
      <c r="L46" s="7"/>
      <c r="O46" s="43" t="s">
        <v>98</v>
      </c>
      <c r="P46" s="23">
        <v>11</v>
      </c>
    </row>
    <row r="47" spans="1:16" ht="14.4" customHeight="1" x14ac:dyDescent="0.3">
      <c r="A47" s="5">
        <v>51</v>
      </c>
      <c r="B47" s="5" t="s">
        <v>159</v>
      </c>
      <c r="C47" s="5" t="s">
        <v>160</v>
      </c>
      <c r="D47" s="5" t="s">
        <v>116</v>
      </c>
      <c r="E47" s="5" t="s">
        <v>161</v>
      </c>
      <c r="F47" s="6">
        <v>58467424</v>
      </c>
      <c r="G47" s="5" t="s">
        <v>16</v>
      </c>
      <c r="H47" s="7">
        <v>45763</v>
      </c>
      <c r="I47" s="7">
        <v>45764</v>
      </c>
      <c r="J47" s="8">
        <v>150</v>
      </c>
      <c r="K47" s="9">
        <v>45781</v>
      </c>
      <c r="L47" s="7"/>
      <c r="O47" s="43" t="s">
        <v>360</v>
      </c>
      <c r="P47" s="23">
        <v>7</v>
      </c>
    </row>
    <row r="48" spans="1:16" ht="14.4" customHeight="1" x14ac:dyDescent="0.3">
      <c r="A48" s="5">
        <v>52</v>
      </c>
      <c r="B48" s="5" t="s">
        <v>162</v>
      </c>
      <c r="C48" s="5" t="s">
        <v>153</v>
      </c>
      <c r="D48" s="5" t="s">
        <v>26</v>
      </c>
      <c r="E48" s="5" t="s">
        <v>163</v>
      </c>
      <c r="F48" s="6">
        <v>57514592</v>
      </c>
      <c r="G48" s="5" t="s">
        <v>16</v>
      </c>
      <c r="H48" s="7">
        <v>45763</v>
      </c>
      <c r="I48" s="7">
        <v>45764</v>
      </c>
      <c r="J48" s="8">
        <v>150</v>
      </c>
      <c r="K48" s="9">
        <v>45781</v>
      </c>
      <c r="L48" s="7"/>
      <c r="O48" s="43" t="s">
        <v>623</v>
      </c>
      <c r="P48" s="23">
        <v>4</v>
      </c>
    </row>
    <row r="49" spans="1:16" ht="14.4" customHeight="1" x14ac:dyDescent="0.3">
      <c r="A49" s="5">
        <v>53</v>
      </c>
      <c r="B49" s="5" t="s">
        <v>164</v>
      </c>
      <c r="C49" s="5" t="s">
        <v>165</v>
      </c>
      <c r="D49" s="5" t="s">
        <v>68</v>
      </c>
      <c r="E49" s="5" t="s">
        <v>101</v>
      </c>
      <c r="F49" s="6">
        <v>57672694</v>
      </c>
      <c r="G49" s="5" t="s">
        <v>16</v>
      </c>
      <c r="H49" s="7">
        <v>45763</v>
      </c>
      <c r="I49" s="7">
        <v>45764</v>
      </c>
      <c r="J49" s="8">
        <v>150</v>
      </c>
      <c r="K49" s="9">
        <v>45781</v>
      </c>
      <c r="L49" s="7"/>
      <c r="O49" s="43" t="s">
        <v>3003</v>
      </c>
      <c r="P49" s="23">
        <v>1</v>
      </c>
    </row>
    <row r="50" spans="1:16" ht="14.4" customHeight="1" x14ac:dyDescent="0.3">
      <c r="A50" s="5">
        <v>54</v>
      </c>
      <c r="B50" s="5" t="s">
        <v>166</v>
      </c>
      <c r="C50" s="5" t="s">
        <v>167</v>
      </c>
      <c r="D50" s="5" t="s">
        <v>26</v>
      </c>
      <c r="E50" s="5" t="s">
        <v>168</v>
      </c>
      <c r="F50" s="6">
        <v>58312603</v>
      </c>
      <c r="G50" s="5" t="s">
        <v>16</v>
      </c>
      <c r="H50" s="7">
        <v>45763</v>
      </c>
      <c r="I50" s="7">
        <v>45764</v>
      </c>
      <c r="J50" s="8">
        <v>150</v>
      </c>
      <c r="K50" s="9">
        <v>45781</v>
      </c>
      <c r="L50" s="7"/>
      <c r="O50" s="43" t="s">
        <v>1189</v>
      </c>
      <c r="P50" s="23">
        <v>6</v>
      </c>
    </row>
    <row r="51" spans="1:16" ht="14.4" customHeight="1" x14ac:dyDescent="0.3">
      <c r="A51" s="5">
        <v>55</v>
      </c>
      <c r="B51" s="5" t="s">
        <v>169</v>
      </c>
      <c r="C51" s="5" t="s">
        <v>170</v>
      </c>
      <c r="D51" s="5" t="s">
        <v>116</v>
      </c>
      <c r="E51" s="5" t="s">
        <v>161</v>
      </c>
      <c r="F51" s="6">
        <v>57385701</v>
      </c>
      <c r="G51" s="5" t="s">
        <v>16</v>
      </c>
      <c r="H51" s="7">
        <v>45763</v>
      </c>
      <c r="I51" s="7">
        <v>45764</v>
      </c>
      <c r="J51" s="8">
        <v>150</v>
      </c>
      <c r="K51" s="9">
        <v>45781</v>
      </c>
      <c r="L51" s="7"/>
      <c r="O51" s="43" t="s">
        <v>594</v>
      </c>
      <c r="P51" s="23">
        <v>6</v>
      </c>
    </row>
    <row r="52" spans="1:16" ht="14.4" customHeight="1" x14ac:dyDescent="0.3">
      <c r="A52" s="5">
        <v>56</v>
      </c>
      <c r="B52" s="5" t="s">
        <v>171</v>
      </c>
      <c r="C52" s="5" t="s">
        <v>172</v>
      </c>
      <c r="D52" s="5" t="s">
        <v>83</v>
      </c>
      <c r="E52" s="5" t="s">
        <v>84</v>
      </c>
      <c r="F52" s="6">
        <v>59006601</v>
      </c>
      <c r="G52" s="5" t="s">
        <v>16</v>
      </c>
      <c r="H52" s="7">
        <v>45763</v>
      </c>
      <c r="I52" s="7">
        <v>45764</v>
      </c>
      <c r="J52" s="8">
        <v>150</v>
      </c>
      <c r="K52" s="9">
        <v>45781</v>
      </c>
      <c r="L52" s="7"/>
      <c r="O52" s="43" t="s">
        <v>857</v>
      </c>
      <c r="P52" s="23">
        <v>1</v>
      </c>
    </row>
    <row r="53" spans="1:16" ht="14.4" customHeight="1" x14ac:dyDescent="0.3">
      <c r="A53" s="5">
        <v>57</v>
      </c>
      <c r="B53" s="5" t="s">
        <v>173</v>
      </c>
      <c r="C53" s="5" t="s">
        <v>174</v>
      </c>
      <c r="D53" s="5" t="s">
        <v>26</v>
      </c>
      <c r="E53" s="5" t="s">
        <v>74</v>
      </c>
      <c r="F53" s="6">
        <v>57881293</v>
      </c>
      <c r="G53" s="5" t="s">
        <v>16</v>
      </c>
      <c r="H53" s="7">
        <v>45763</v>
      </c>
      <c r="I53" s="7">
        <v>45764</v>
      </c>
      <c r="J53" s="8">
        <v>150</v>
      </c>
      <c r="K53" s="9">
        <v>45781</v>
      </c>
      <c r="L53" s="7"/>
      <c r="O53" s="43" t="s">
        <v>847</v>
      </c>
      <c r="P53" s="23">
        <v>3</v>
      </c>
    </row>
    <row r="54" spans="1:16" ht="14.4" customHeight="1" x14ac:dyDescent="0.3">
      <c r="A54" s="5">
        <v>58</v>
      </c>
      <c r="B54" s="5" t="s">
        <v>175</v>
      </c>
      <c r="C54" s="5" t="s">
        <v>176</v>
      </c>
      <c r="D54" s="5" t="s">
        <v>22</v>
      </c>
      <c r="E54" s="5" t="s">
        <v>144</v>
      </c>
      <c r="F54" s="10" t="s">
        <v>177</v>
      </c>
      <c r="G54" s="5" t="s">
        <v>16</v>
      </c>
      <c r="H54" s="7">
        <v>45763</v>
      </c>
      <c r="I54" s="7">
        <v>45764</v>
      </c>
      <c r="J54" s="8">
        <v>150</v>
      </c>
      <c r="K54" s="9">
        <v>45781</v>
      </c>
      <c r="L54" s="7"/>
      <c r="O54" s="43" t="s">
        <v>1793</v>
      </c>
      <c r="P54" s="23">
        <v>1</v>
      </c>
    </row>
    <row r="55" spans="1:16" ht="14.4" customHeight="1" x14ac:dyDescent="0.3">
      <c r="A55" s="5">
        <v>59</v>
      </c>
      <c r="B55" s="5" t="s">
        <v>92</v>
      </c>
      <c r="C55" s="5" t="s">
        <v>93</v>
      </c>
      <c r="D55" s="5" t="s">
        <v>30</v>
      </c>
      <c r="E55" s="5" t="s">
        <v>77</v>
      </c>
      <c r="F55" s="6">
        <v>59169323</v>
      </c>
      <c r="G55" s="5" t="s">
        <v>16</v>
      </c>
      <c r="H55" s="7">
        <v>45763</v>
      </c>
      <c r="I55" s="7">
        <v>45764</v>
      </c>
      <c r="J55" s="8">
        <v>150</v>
      </c>
      <c r="K55" s="9">
        <v>45781</v>
      </c>
      <c r="L55" s="7"/>
      <c r="O55" s="43" t="s">
        <v>305</v>
      </c>
      <c r="P55" s="23">
        <v>12</v>
      </c>
    </row>
    <row r="56" spans="1:16" ht="14.4" customHeight="1" x14ac:dyDescent="0.3">
      <c r="A56" s="5">
        <v>60</v>
      </c>
      <c r="B56" s="5" t="s">
        <v>178</v>
      </c>
      <c r="C56" s="5" t="s">
        <v>179</v>
      </c>
      <c r="D56" s="5" t="s">
        <v>26</v>
      </c>
      <c r="E56" s="5" t="s">
        <v>49</v>
      </c>
      <c r="F56" s="6">
        <v>59285877</v>
      </c>
      <c r="G56" s="5" t="s">
        <v>16</v>
      </c>
      <c r="H56" s="7">
        <v>45763</v>
      </c>
      <c r="I56" s="7">
        <v>45764</v>
      </c>
      <c r="J56" s="8">
        <v>150</v>
      </c>
      <c r="K56" s="9">
        <v>45781</v>
      </c>
      <c r="L56" s="7"/>
      <c r="O56" s="43" t="s">
        <v>904</v>
      </c>
      <c r="P56" s="23">
        <v>1</v>
      </c>
    </row>
    <row r="57" spans="1:16" ht="14.4" customHeight="1" x14ac:dyDescent="0.3">
      <c r="A57" s="5">
        <v>62</v>
      </c>
      <c r="B57" s="5" t="s">
        <v>182</v>
      </c>
      <c r="C57" s="5" t="s">
        <v>183</v>
      </c>
      <c r="D57" s="5" t="s">
        <v>22</v>
      </c>
      <c r="E57" s="5" t="s">
        <v>23</v>
      </c>
      <c r="F57" s="6">
        <v>57819412</v>
      </c>
      <c r="G57" s="5" t="s">
        <v>16</v>
      </c>
      <c r="H57" s="7">
        <v>45763</v>
      </c>
      <c r="I57" s="7">
        <v>45764</v>
      </c>
      <c r="J57" s="8">
        <v>150</v>
      </c>
      <c r="K57" s="9">
        <v>45781</v>
      </c>
      <c r="L57" s="7"/>
      <c r="O57" s="43" t="s">
        <v>993</v>
      </c>
      <c r="P57" s="23">
        <v>1</v>
      </c>
    </row>
    <row r="58" spans="1:16" ht="14.4" customHeight="1" x14ac:dyDescent="0.3">
      <c r="A58" s="5">
        <v>64</v>
      </c>
      <c r="B58" s="5" t="s">
        <v>186</v>
      </c>
      <c r="C58" s="5" t="s">
        <v>187</v>
      </c>
      <c r="D58" s="5" t="s">
        <v>26</v>
      </c>
      <c r="E58" s="5" t="s">
        <v>187</v>
      </c>
      <c r="F58" s="6">
        <v>57058466</v>
      </c>
      <c r="G58" s="5" t="s">
        <v>16</v>
      </c>
      <c r="H58" s="7">
        <v>45763</v>
      </c>
      <c r="I58" s="7">
        <v>45764</v>
      </c>
      <c r="J58" s="8">
        <v>150</v>
      </c>
      <c r="K58" s="9">
        <v>45781</v>
      </c>
      <c r="L58" s="7"/>
      <c r="O58" s="43" t="s">
        <v>3307</v>
      </c>
      <c r="P58" s="23">
        <v>2</v>
      </c>
    </row>
    <row r="59" spans="1:16" ht="14.4" customHeight="1" x14ac:dyDescent="0.3">
      <c r="A59" s="5">
        <v>65</v>
      </c>
      <c r="B59" s="5" t="s">
        <v>188</v>
      </c>
      <c r="C59" s="5" t="s">
        <v>189</v>
      </c>
      <c r="D59" s="5" t="s">
        <v>68</v>
      </c>
      <c r="E59" s="5" t="s">
        <v>69</v>
      </c>
      <c r="F59" s="6">
        <v>57816878</v>
      </c>
      <c r="G59" s="5" t="s">
        <v>16</v>
      </c>
      <c r="H59" s="7">
        <v>45763</v>
      </c>
      <c r="I59" s="7">
        <v>45764</v>
      </c>
      <c r="J59" s="8">
        <v>150</v>
      </c>
      <c r="K59" s="9">
        <v>45781</v>
      </c>
      <c r="L59" s="7"/>
      <c r="O59" s="43" t="s">
        <v>756</v>
      </c>
      <c r="P59" s="23">
        <v>2</v>
      </c>
    </row>
    <row r="60" spans="1:16" ht="14.4" customHeight="1" x14ac:dyDescent="0.3">
      <c r="A60" s="5">
        <v>67</v>
      </c>
      <c r="B60" s="5" t="s">
        <v>192</v>
      </c>
      <c r="C60" s="5" t="s">
        <v>193</v>
      </c>
      <c r="D60" s="5" t="s">
        <v>116</v>
      </c>
      <c r="E60" s="5" t="s">
        <v>194</v>
      </c>
      <c r="F60" s="6">
        <v>58104468</v>
      </c>
      <c r="G60" s="5" t="s">
        <v>16</v>
      </c>
      <c r="H60" s="7">
        <v>45763</v>
      </c>
      <c r="I60" s="7">
        <v>45764</v>
      </c>
      <c r="J60" s="8">
        <v>150</v>
      </c>
      <c r="K60" s="9">
        <v>45781</v>
      </c>
      <c r="L60" s="7"/>
      <c r="O60" s="43" t="s">
        <v>77</v>
      </c>
      <c r="P60" s="23">
        <v>23</v>
      </c>
    </row>
    <row r="61" spans="1:16" ht="14.4" customHeight="1" x14ac:dyDescent="0.3">
      <c r="A61" s="5">
        <v>68</v>
      </c>
      <c r="B61" s="5" t="s">
        <v>195</v>
      </c>
      <c r="C61" s="5" t="s">
        <v>196</v>
      </c>
      <c r="D61" s="5" t="s">
        <v>116</v>
      </c>
      <c r="E61" s="5" t="s">
        <v>117</v>
      </c>
      <c r="F61" s="6">
        <v>58279196</v>
      </c>
      <c r="G61" s="5" t="s">
        <v>16</v>
      </c>
      <c r="H61" s="7">
        <v>45763</v>
      </c>
      <c r="I61" s="7">
        <v>45764</v>
      </c>
      <c r="J61" s="8">
        <v>150</v>
      </c>
      <c r="K61" s="9">
        <v>45781</v>
      </c>
      <c r="L61" s="7"/>
      <c r="O61" s="43" t="s">
        <v>2524</v>
      </c>
      <c r="P61" s="23">
        <v>1</v>
      </c>
    </row>
    <row r="62" spans="1:16" ht="14.4" customHeight="1" x14ac:dyDescent="0.3">
      <c r="A62" s="5">
        <v>70</v>
      </c>
      <c r="B62" s="5" t="s">
        <v>199</v>
      </c>
      <c r="C62" s="5" t="s">
        <v>200</v>
      </c>
      <c r="D62" s="5" t="s">
        <v>34</v>
      </c>
      <c r="E62" s="5" t="s">
        <v>201</v>
      </c>
      <c r="F62" s="6">
        <v>54790996</v>
      </c>
      <c r="G62" s="5" t="s">
        <v>16</v>
      </c>
      <c r="H62" s="7">
        <v>45763</v>
      </c>
      <c r="I62" s="7">
        <v>45764</v>
      </c>
      <c r="J62" s="8">
        <v>150</v>
      </c>
      <c r="K62" s="9">
        <v>45781</v>
      </c>
      <c r="L62" s="7"/>
      <c r="O62" s="43" t="s">
        <v>880</v>
      </c>
      <c r="P62" s="23">
        <v>2</v>
      </c>
    </row>
    <row r="63" spans="1:16" ht="14.4" customHeight="1" x14ac:dyDescent="0.3">
      <c r="A63" s="5">
        <v>71</v>
      </c>
      <c r="B63" s="5" t="s">
        <v>202</v>
      </c>
      <c r="C63" s="5" t="s">
        <v>203</v>
      </c>
      <c r="D63" s="5" t="s">
        <v>30</v>
      </c>
      <c r="E63" s="5" t="s">
        <v>204</v>
      </c>
      <c r="F63" s="6">
        <v>59079247</v>
      </c>
      <c r="G63" s="5" t="s">
        <v>16</v>
      </c>
      <c r="H63" s="7">
        <v>45763</v>
      </c>
      <c r="I63" s="7">
        <v>45764</v>
      </c>
      <c r="J63" s="8">
        <v>150</v>
      </c>
      <c r="K63" s="9">
        <v>45781</v>
      </c>
      <c r="L63" s="7"/>
      <c r="O63" s="43" t="s">
        <v>1140</v>
      </c>
      <c r="P63" s="23">
        <v>5</v>
      </c>
    </row>
    <row r="64" spans="1:16" ht="14.4" customHeight="1" x14ac:dyDescent="0.3">
      <c r="A64" s="5">
        <v>73</v>
      </c>
      <c r="B64" s="5" t="s">
        <v>206</v>
      </c>
      <c r="C64" s="5" t="s">
        <v>207</v>
      </c>
      <c r="D64" s="5" t="s">
        <v>26</v>
      </c>
      <c r="E64" s="5" t="s">
        <v>111</v>
      </c>
      <c r="F64" s="6">
        <v>57265037</v>
      </c>
      <c r="G64" s="5" t="s">
        <v>16</v>
      </c>
      <c r="H64" s="7">
        <v>45763</v>
      </c>
      <c r="I64" s="7">
        <v>45764</v>
      </c>
      <c r="J64" s="8">
        <v>150</v>
      </c>
      <c r="K64" s="9">
        <v>45781</v>
      </c>
      <c r="L64" s="7"/>
      <c r="O64" s="43" t="s">
        <v>384</v>
      </c>
      <c r="P64" s="23">
        <v>3</v>
      </c>
    </row>
    <row r="65" spans="1:16" ht="14.4" customHeight="1" x14ac:dyDescent="0.3">
      <c r="A65" s="5">
        <v>74</v>
      </c>
      <c r="B65" s="5" t="s">
        <v>1645</v>
      </c>
      <c r="C65" s="5" t="s">
        <v>208</v>
      </c>
      <c r="D65" s="5" t="s">
        <v>83</v>
      </c>
      <c r="E65" s="5" t="s">
        <v>84</v>
      </c>
      <c r="F65" s="6">
        <v>57103915</v>
      </c>
      <c r="G65" s="5" t="s">
        <v>16</v>
      </c>
      <c r="H65" s="7">
        <v>45763</v>
      </c>
      <c r="I65" s="7">
        <v>45764</v>
      </c>
      <c r="J65" s="8">
        <v>150</v>
      </c>
      <c r="K65" s="9">
        <v>45781</v>
      </c>
      <c r="L65" s="7"/>
      <c r="O65" s="43" t="s">
        <v>2513</v>
      </c>
      <c r="P65" s="23">
        <v>1</v>
      </c>
    </row>
    <row r="66" spans="1:16" ht="14.4" customHeight="1" x14ac:dyDescent="0.3">
      <c r="A66" s="5">
        <v>75</v>
      </c>
      <c r="B66" s="5" t="s">
        <v>209</v>
      </c>
      <c r="C66" s="5" t="s">
        <v>210</v>
      </c>
      <c r="D66" s="5" t="s">
        <v>14</v>
      </c>
      <c r="E66" s="5" t="s">
        <v>211</v>
      </c>
      <c r="F66" s="6">
        <v>59890536</v>
      </c>
      <c r="G66" s="5" t="s">
        <v>16</v>
      </c>
      <c r="H66" s="7">
        <v>45763</v>
      </c>
      <c r="I66" s="7">
        <v>45764</v>
      </c>
      <c r="J66" s="8">
        <v>150</v>
      </c>
      <c r="K66" s="9">
        <v>45781</v>
      </c>
      <c r="L66" s="7"/>
      <c r="O66" s="43" t="s">
        <v>1194</v>
      </c>
      <c r="P66" s="23">
        <v>1</v>
      </c>
    </row>
    <row r="67" spans="1:16" ht="14.4" customHeight="1" x14ac:dyDescent="0.3">
      <c r="A67" s="5">
        <v>76</v>
      </c>
      <c r="B67" s="5" t="s">
        <v>212</v>
      </c>
      <c r="C67" s="5" t="s">
        <v>213</v>
      </c>
      <c r="D67" s="5" t="s">
        <v>214</v>
      </c>
      <c r="E67" s="5" t="s">
        <v>442</v>
      </c>
      <c r="F67" s="6">
        <v>59463202</v>
      </c>
      <c r="G67" s="5" t="s">
        <v>16</v>
      </c>
      <c r="H67" s="7">
        <v>45763</v>
      </c>
      <c r="I67" s="7">
        <v>45764</v>
      </c>
      <c r="J67" s="8">
        <v>150</v>
      </c>
      <c r="K67" s="9">
        <v>45781</v>
      </c>
      <c r="L67" s="7"/>
      <c r="O67" s="43" t="s">
        <v>117</v>
      </c>
      <c r="P67" s="23">
        <v>10</v>
      </c>
    </row>
    <row r="68" spans="1:16" ht="14.4" customHeight="1" x14ac:dyDescent="0.3">
      <c r="A68" s="5">
        <v>77</v>
      </c>
      <c r="B68" s="5" t="s">
        <v>215</v>
      </c>
      <c r="C68" s="5" t="s">
        <v>216</v>
      </c>
      <c r="D68" s="5" t="s">
        <v>26</v>
      </c>
      <c r="E68" s="5" t="s">
        <v>74</v>
      </c>
      <c r="F68" s="6">
        <v>57863178</v>
      </c>
      <c r="G68" s="5" t="s">
        <v>16</v>
      </c>
      <c r="H68" s="7">
        <v>45763</v>
      </c>
      <c r="I68" s="7">
        <v>45764</v>
      </c>
      <c r="J68" s="8">
        <v>150</v>
      </c>
      <c r="K68" s="9">
        <v>45781</v>
      </c>
      <c r="L68" s="7"/>
      <c r="O68" s="43" t="s">
        <v>466</v>
      </c>
      <c r="P68" s="23">
        <v>5</v>
      </c>
    </row>
    <row r="69" spans="1:16" ht="14.4" customHeight="1" x14ac:dyDescent="0.3">
      <c r="A69" s="5">
        <v>78</v>
      </c>
      <c r="B69" s="5" t="s">
        <v>217</v>
      </c>
      <c r="C69" s="5" t="s">
        <v>218</v>
      </c>
      <c r="D69" s="5" t="s">
        <v>68</v>
      </c>
      <c r="E69" s="5" t="s">
        <v>69</v>
      </c>
      <c r="F69" s="6">
        <v>57757310</v>
      </c>
      <c r="G69" s="5" t="s">
        <v>16</v>
      </c>
      <c r="H69" s="7">
        <v>45763</v>
      </c>
      <c r="I69" s="7">
        <v>45764</v>
      </c>
      <c r="J69" s="8">
        <v>150</v>
      </c>
      <c r="K69" s="9">
        <v>45781</v>
      </c>
      <c r="L69" s="7"/>
      <c r="O69" s="43" t="s">
        <v>1076</v>
      </c>
      <c r="P69" s="23">
        <v>5</v>
      </c>
    </row>
    <row r="70" spans="1:16" ht="14.4" customHeight="1" x14ac:dyDescent="0.3">
      <c r="A70" s="5">
        <v>166</v>
      </c>
      <c r="B70" s="5" t="s">
        <v>112</v>
      </c>
      <c r="C70" s="5" t="s">
        <v>113</v>
      </c>
      <c r="D70" s="5" t="s">
        <v>14</v>
      </c>
      <c r="E70" s="5" t="s">
        <v>63</v>
      </c>
      <c r="F70" s="6">
        <v>57974532</v>
      </c>
      <c r="G70" s="5" t="s">
        <v>1024</v>
      </c>
      <c r="H70" s="7">
        <v>45760</v>
      </c>
      <c r="I70" s="7">
        <v>45764</v>
      </c>
      <c r="J70" s="8">
        <v>0</v>
      </c>
      <c r="K70" s="9">
        <v>45781</v>
      </c>
      <c r="L70" s="7"/>
      <c r="O70" s="43" t="s">
        <v>63</v>
      </c>
      <c r="P70" s="23">
        <v>54</v>
      </c>
    </row>
    <row r="71" spans="1:16" ht="14.4" customHeight="1" x14ac:dyDescent="0.3">
      <c r="A71" s="5">
        <v>41</v>
      </c>
      <c r="B71" s="5" t="s">
        <v>133</v>
      </c>
      <c r="C71" s="5" t="s">
        <v>134</v>
      </c>
      <c r="D71" s="5" t="s">
        <v>30</v>
      </c>
      <c r="E71" s="5" t="s">
        <v>77</v>
      </c>
      <c r="F71" s="6">
        <v>57323874</v>
      </c>
      <c r="G71" s="5" t="s">
        <v>16</v>
      </c>
      <c r="H71" s="7">
        <v>45763</v>
      </c>
      <c r="I71" s="7">
        <v>45765</v>
      </c>
      <c r="J71" s="8">
        <v>150</v>
      </c>
      <c r="K71" s="9">
        <v>45781</v>
      </c>
      <c r="L71" s="7"/>
      <c r="O71" s="43" t="s">
        <v>268</v>
      </c>
      <c r="P71" s="23">
        <v>5</v>
      </c>
    </row>
    <row r="72" spans="1:16" ht="14.4" customHeight="1" x14ac:dyDescent="0.3">
      <c r="A72" s="5">
        <v>44</v>
      </c>
      <c r="B72" s="5" t="s">
        <v>140</v>
      </c>
      <c r="C72" s="5" t="s">
        <v>141</v>
      </c>
      <c r="D72" s="5" t="s">
        <v>30</v>
      </c>
      <c r="E72" s="5" t="s">
        <v>223</v>
      </c>
      <c r="F72" s="6">
        <v>57832275</v>
      </c>
      <c r="G72" s="5" t="s">
        <v>16</v>
      </c>
      <c r="H72" s="7">
        <v>45763</v>
      </c>
      <c r="I72" s="7">
        <v>45765</v>
      </c>
      <c r="J72" s="8">
        <v>150</v>
      </c>
      <c r="K72" s="9">
        <v>45781</v>
      </c>
      <c r="L72" s="7"/>
      <c r="O72" s="43" t="s">
        <v>488</v>
      </c>
      <c r="P72" s="23">
        <v>1</v>
      </c>
    </row>
    <row r="73" spans="1:16" ht="14.4" customHeight="1" x14ac:dyDescent="0.3">
      <c r="A73" s="5">
        <v>45</v>
      </c>
      <c r="B73" s="5" t="s">
        <v>142</v>
      </c>
      <c r="C73" s="5" t="s">
        <v>143</v>
      </c>
      <c r="D73" s="5" t="s">
        <v>22</v>
      </c>
      <c r="E73" s="5" t="s">
        <v>144</v>
      </c>
      <c r="F73" s="6">
        <v>57909410</v>
      </c>
      <c r="G73" s="5" t="s">
        <v>16</v>
      </c>
      <c r="H73" s="7">
        <v>45763</v>
      </c>
      <c r="I73" s="7">
        <v>45765</v>
      </c>
      <c r="J73" s="8">
        <v>150</v>
      </c>
      <c r="K73" s="9">
        <v>45781</v>
      </c>
      <c r="L73" s="7"/>
      <c r="O73" s="43" t="s">
        <v>431</v>
      </c>
      <c r="P73" s="23">
        <v>2</v>
      </c>
    </row>
    <row r="74" spans="1:16" ht="14.4" customHeight="1" x14ac:dyDescent="0.3">
      <c r="A74" s="5">
        <v>46</v>
      </c>
      <c r="B74" s="5" t="s">
        <v>145</v>
      </c>
      <c r="C74" s="5" t="s">
        <v>146</v>
      </c>
      <c r="D74" s="5" t="s">
        <v>30</v>
      </c>
      <c r="E74" s="5" t="s">
        <v>223</v>
      </c>
      <c r="F74" s="6">
        <v>59263754</v>
      </c>
      <c r="G74" s="5" t="s">
        <v>16</v>
      </c>
      <c r="H74" s="7">
        <v>45763</v>
      </c>
      <c r="I74" s="7">
        <v>45765</v>
      </c>
      <c r="J74" s="8">
        <v>150</v>
      </c>
      <c r="K74" s="9">
        <v>45781</v>
      </c>
      <c r="L74" s="7"/>
      <c r="O74" s="43" t="s">
        <v>687</v>
      </c>
      <c r="P74" s="23">
        <v>1</v>
      </c>
    </row>
    <row r="75" spans="1:16" ht="14.4" customHeight="1" x14ac:dyDescent="0.3">
      <c r="A75" s="5">
        <v>49</v>
      </c>
      <c r="B75" s="5" t="s">
        <v>152</v>
      </c>
      <c r="C75" s="5" t="s">
        <v>153</v>
      </c>
      <c r="D75" s="5" t="s">
        <v>154</v>
      </c>
      <c r="E75" s="5" t="s">
        <v>155</v>
      </c>
      <c r="F75" s="6">
        <v>57996909</v>
      </c>
      <c r="G75" s="5" t="s">
        <v>16</v>
      </c>
      <c r="H75" s="7">
        <v>45763</v>
      </c>
      <c r="I75" s="7">
        <v>45765</v>
      </c>
      <c r="J75" s="8">
        <v>150</v>
      </c>
      <c r="K75" s="9">
        <v>45781</v>
      </c>
      <c r="L75" s="7"/>
      <c r="O75" s="43" t="s">
        <v>2392</v>
      </c>
      <c r="P75" s="23">
        <v>8</v>
      </c>
    </row>
    <row r="76" spans="1:16" ht="14.4" customHeight="1" x14ac:dyDescent="0.3">
      <c r="A76" s="5">
        <v>61</v>
      </c>
      <c r="B76" s="5" t="s">
        <v>180</v>
      </c>
      <c r="C76" s="5" t="s">
        <v>181</v>
      </c>
      <c r="D76" s="5" t="s">
        <v>116</v>
      </c>
      <c r="E76" s="5" t="s">
        <v>149</v>
      </c>
      <c r="F76" s="6">
        <v>57060726</v>
      </c>
      <c r="G76" s="5" t="s">
        <v>16</v>
      </c>
      <c r="H76" s="7">
        <v>45763</v>
      </c>
      <c r="I76" s="7">
        <v>45765</v>
      </c>
      <c r="J76" s="8">
        <v>150</v>
      </c>
      <c r="K76" s="9">
        <v>45781</v>
      </c>
      <c r="L76" s="7"/>
      <c r="O76" s="43" t="s">
        <v>226</v>
      </c>
      <c r="P76" s="23">
        <v>56</v>
      </c>
    </row>
    <row r="77" spans="1:16" ht="14.4" customHeight="1" x14ac:dyDescent="0.3">
      <c r="A77" s="5">
        <v>63</v>
      </c>
      <c r="B77" s="5" t="s">
        <v>184</v>
      </c>
      <c r="C77" s="5" t="s">
        <v>185</v>
      </c>
      <c r="D77" s="5" t="s">
        <v>83</v>
      </c>
      <c r="E77" s="5" t="s">
        <v>84</v>
      </c>
      <c r="F77" s="6">
        <v>59201416</v>
      </c>
      <c r="G77" s="5" t="s">
        <v>16</v>
      </c>
      <c r="H77" s="7">
        <v>45763</v>
      </c>
      <c r="I77" s="7">
        <v>45765</v>
      </c>
      <c r="J77" s="8">
        <v>150</v>
      </c>
      <c r="K77" s="9">
        <v>45781</v>
      </c>
      <c r="L77" s="7"/>
      <c r="O77" s="43" t="s">
        <v>797</v>
      </c>
      <c r="P77" s="23">
        <v>2</v>
      </c>
    </row>
    <row r="78" spans="1:16" ht="14.4" customHeight="1" x14ac:dyDescent="0.3">
      <c r="A78" s="5">
        <v>66</v>
      </c>
      <c r="B78" s="5" t="s">
        <v>190</v>
      </c>
      <c r="C78" s="5" t="s">
        <v>191</v>
      </c>
      <c r="D78" s="5" t="s">
        <v>30</v>
      </c>
      <c r="E78" s="5" t="s">
        <v>137</v>
      </c>
      <c r="F78" s="6">
        <v>59074170</v>
      </c>
      <c r="G78" s="5" t="s">
        <v>16</v>
      </c>
      <c r="H78" s="7">
        <v>45763</v>
      </c>
      <c r="I78" s="7">
        <v>45765</v>
      </c>
      <c r="J78" s="8">
        <v>150</v>
      </c>
      <c r="K78" s="9">
        <v>45781</v>
      </c>
      <c r="L78" s="7"/>
      <c r="O78" s="43" t="s">
        <v>2701</v>
      </c>
      <c r="P78" s="23">
        <v>1</v>
      </c>
    </row>
    <row r="79" spans="1:16" ht="14.4" customHeight="1" x14ac:dyDescent="0.3">
      <c r="A79" s="5">
        <v>69</v>
      </c>
      <c r="B79" s="5" t="s">
        <v>197</v>
      </c>
      <c r="C79" s="5" t="s">
        <v>198</v>
      </c>
      <c r="D79" s="5" t="s">
        <v>14</v>
      </c>
      <c r="E79" s="5" t="s">
        <v>1415</v>
      </c>
      <c r="F79" s="6">
        <v>57965628</v>
      </c>
      <c r="G79" s="5" t="s">
        <v>16</v>
      </c>
      <c r="H79" s="7">
        <v>45763</v>
      </c>
      <c r="I79" s="7">
        <v>45765</v>
      </c>
      <c r="J79" s="8">
        <v>150</v>
      </c>
      <c r="K79" s="9">
        <v>45781</v>
      </c>
      <c r="L79" s="7"/>
      <c r="O79" s="43" t="s">
        <v>3313</v>
      </c>
      <c r="P79" s="23">
        <v>1</v>
      </c>
    </row>
    <row r="80" spans="1:16" ht="14.4" customHeight="1" x14ac:dyDescent="0.3">
      <c r="A80" s="5">
        <v>72</v>
      </c>
      <c r="B80" s="5" t="s">
        <v>1644</v>
      </c>
      <c r="C80" s="5" t="s">
        <v>205</v>
      </c>
      <c r="D80" s="5" t="s">
        <v>154</v>
      </c>
      <c r="E80" s="5" t="s">
        <v>155</v>
      </c>
      <c r="F80" s="6">
        <v>57333585</v>
      </c>
      <c r="G80" s="5" t="s">
        <v>16</v>
      </c>
      <c r="H80" s="7">
        <v>45763</v>
      </c>
      <c r="I80" s="7">
        <v>45765</v>
      </c>
      <c r="J80" s="8">
        <v>150</v>
      </c>
      <c r="K80" s="9">
        <v>45781</v>
      </c>
      <c r="L80" s="7"/>
      <c r="O80" s="43" t="s">
        <v>137</v>
      </c>
      <c r="P80" s="23">
        <v>21</v>
      </c>
    </row>
    <row r="81" spans="1:16" ht="14.4" customHeight="1" x14ac:dyDescent="0.3">
      <c r="A81" s="5">
        <v>79</v>
      </c>
      <c r="B81" s="5" t="s">
        <v>219</v>
      </c>
      <c r="C81" s="5" t="s">
        <v>220</v>
      </c>
      <c r="D81" s="5" t="s">
        <v>30</v>
      </c>
      <c r="E81" s="5" t="s">
        <v>137</v>
      </c>
      <c r="F81" s="6">
        <v>59482268</v>
      </c>
      <c r="G81" s="5" t="s">
        <v>16</v>
      </c>
      <c r="H81" s="7">
        <v>45763</v>
      </c>
      <c r="I81" s="7">
        <v>45765</v>
      </c>
      <c r="J81" s="8">
        <v>150</v>
      </c>
      <c r="K81" s="9">
        <v>45781</v>
      </c>
      <c r="L81" s="7"/>
      <c r="O81" s="43" t="s">
        <v>1097</v>
      </c>
      <c r="P81" s="23">
        <v>12</v>
      </c>
    </row>
    <row r="82" spans="1:16" ht="14.4" customHeight="1" x14ac:dyDescent="0.3">
      <c r="A82" s="5">
        <v>80</v>
      </c>
      <c r="B82" s="5" t="s">
        <v>221</v>
      </c>
      <c r="C82" s="5" t="s">
        <v>222</v>
      </c>
      <c r="D82" s="5" t="s">
        <v>154</v>
      </c>
      <c r="E82" s="5" t="s">
        <v>223</v>
      </c>
      <c r="F82" s="6">
        <v>59664443</v>
      </c>
      <c r="G82" s="5" t="s">
        <v>16</v>
      </c>
      <c r="H82" s="7">
        <v>45765</v>
      </c>
      <c r="I82" s="7">
        <v>45765</v>
      </c>
      <c r="J82" s="8">
        <v>150</v>
      </c>
      <c r="K82" s="9">
        <v>45781</v>
      </c>
      <c r="L82" s="7"/>
      <c r="O82" s="43" t="s">
        <v>2007</v>
      </c>
      <c r="P82" s="23">
        <v>2</v>
      </c>
    </row>
    <row r="83" spans="1:16" ht="14.4" customHeight="1" x14ac:dyDescent="0.3">
      <c r="A83" s="5">
        <v>81</v>
      </c>
      <c r="B83" s="5" t="s">
        <v>224</v>
      </c>
      <c r="C83" s="5" t="s">
        <v>225</v>
      </c>
      <c r="D83" s="5" t="s">
        <v>26</v>
      </c>
      <c r="E83" s="5" t="s">
        <v>226</v>
      </c>
      <c r="F83" s="6">
        <v>59160770</v>
      </c>
      <c r="G83" s="5" t="s">
        <v>16</v>
      </c>
      <c r="H83" s="7">
        <v>45765</v>
      </c>
      <c r="I83" s="7">
        <v>45765</v>
      </c>
      <c r="J83" s="8">
        <v>150</v>
      </c>
      <c r="K83" s="9">
        <v>45781</v>
      </c>
      <c r="L83" s="7"/>
      <c r="O83" s="43" t="s">
        <v>60</v>
      </c>
      <c r="P83" s="23">
        <v>7</v>
      </c>
    </row>
    <row r="84" spans="1:16" ht="14.4" customHeight="1" x14ac:dyDescent="0.3">
      <c r="A84" s="5">
        <v>83</v>
      </c>
      <c r="B84" s="5" t="s">
        <v>229</v>
      </c>
      <c r="C84" s="5" t="s">
        <v>230</v>
      </c>
      <c r="D84" s="5" t="s">
        <v>34</v>
      </c>
      <c r="E84" s="5" t="s">
        <v>201</v>
      </c>
      <c r="F84" s="6">
        <v>58599922</v>
      </c>
      <c r="G84" s="5" t="s">
        <v>16</v>
      </c>
      <c r="H84" s="7">
        <v>45765</v>
      </c>
      <c r="I84" s="7">
        <v>45765</v>
      </c>
      <c r="J84" s="8">
        <v>150</v>
      </c>
      <c r="K84" s="9">
        <v>45781</v>
      </c>
      <c r="L84" s="7"/>
      <c r="O84" s="43" t="s">
        <v>1757</v>
      </c>
      <c r="P84" s="23">
        <v>11</v>
      </c>
    </row>
    <row r="85" spans="1:16" ht="14.4" customHeight="1" x14ac:dyDescent="0.3">
      <c r="A85" s="5">
        <v>84</v>
      </c>
      <c r="B85" s="5" t="s">
        <v>231</v>
      </c>
      <c r="C85" s="5" t="s">
        <v>232</v>
      </c>
      <c r="D85" s="5" t="s">
        <v>26</v>
      </c>
      <c r="E85" s="5" t="s">
        <v>226</v>
      </c>
      <c r="F85" s="6">
        <v>59055516</v>
      </c>
      <c r="G85" s="5" t="s">
        <v>16</v>
      </c>
      <c r="H85" s="7">
        <v>45765</v>
      </c>
      <c r="I85" s="7">
        <v>45765</v>
      </c>
      <c r="J85" s="8">
        <v>150</v>
      </c>
      <c r="K85" s="9">
        <v>45781</v>
      </c>
      <c r="L85" s="7"/>
      <c r="O85" s="43" t="s">
        <v>447</v>
      </c>
      <c r="P85" s="23">
        <v>9</v>
      </c>
    </row>
    <row r="86" spans="1:16" ht="14.4" customHeight="1" x14ac:dyDescent="0.3">
      <c r="A86" s="5">
        <v>85</v>
      </c>
      <c r="B86" s="5" t="s">
        <v>233</v>
      </c>
      <c r="C86" s="5" t="s">
        <v>234</v>
      </c>
      <c r="D86" s="5" t="s">
        <v>26</v>
      </c>
      <c r="E86" s="5" t="s">
        <v>226</v>
      </c>
      <c r="F86" s="6">
        <v>57601772</v>
      </c>
      <c r="G86" s="5" t="s">
        <v>16</v>
      </c>
      <c r="H86" s="7">
        <v>45765</v>
      </c>
      <c r="I86" s="7">
        <v>45765</v>
      </c>
      <c r="J86" s="8">
        <v>150</v>
      </c>
      <c r="K86" s="9">
        <v>45781</v>
      </c>
      <c r="L86" s="7"/>
      <c r="O86" s="43" t="s">
        <v>3316</v>
      </c>
      <c r="P86" s="23">
        <v>1</v>
      </c>
    </row>
    <row r="87" spans="1:16" ht="14.4" customHeight="1" x14ac:dyDescent="0.3">
      <c r="A87" s="5">
        <v>42</v>
      </c>
      <c r="B87" s="5" t="s">
        <v>135</v>
      </c>
      <c r="C87" s="5" t="s">
        <v>136</v>
      </c>
      <c r="D87" s="5" t="s">
        <v>30</v>
      </c>
      <c r="E87" s="5" t="s">
        <v>137</v>
      </c>
      <c r="F87" s="6">
        <v>4139934</v>
      </c>
      <c r="G87" s="5" t="s">
        <v>16</v>
      </c>
      <c r="H87" s="7">
        <v>45763</v>
      </c>
      <c r="I87" s="7">
        <v>45768</v>
      </c>
      <c r="J87" s="8">
        <v>150</v>
      </c>
      <c r="K87" s="9">
        <v>45781</v>
      </c>
      <c r="L87" s="7"/>
      <c r="O87" s="43" t="s">
        <v>276</v>
      </c>
      <c r="P87" s="23">
        <v>36</v>
      </c>
    </row>
    <row r="88" spans="1:16" ht="14.4" customHeight="1" x14ac:dyDescent="0.3">
      <c r="A88" s="5">
        <v>82</v>
      </c>
      <c r="B88" s="5" t="s">
        <v>227</v>
      </c>
      <c r="C88" s="5" t="s">
        <v>228</v>
      </c>
      <c r="D88" s="5" t="s">
        <v>83</v>
      </c>
      <c r="E88" s="5" t="s">
        <v>84</v>
      </c>
      <c r="F88" s="6">
        <v>59288347</v>
      </c>
      <c r="G88" s="5" t="s">
        <v>16</v>
      </c>
      <c r="H88" s="7">
        <v>45765</v>
      </c>
      <c r="I88" s="7">
        <v>45768</v>
      </c>
      <c r="J88" s="8">
        <v>150</v>
      </c>
      <c r="K88" s="9">
        <v>45781</v>
      </c>
      <c r="L88" s="7"/>
      <c r="O88" s="43" t="s">
        <v>368</v>
      </c>
      <c r="P88" s="23">
        <v>17</v>
      </c>
    </row>
    <row r="89" spans="1:16" ht="14.4" customHeight="1" x14ac:dyDescent="0.3">
      <c r="A89" s="5">
        <v>86</v>
      </c>
      <c r="B89" s="5" t="s">
        <v>235</v>
      </c>
      <c r="C89" s="5" t="s">
        <v>236</v>
      </c>
      <c r="D89" s="5" t="s">
        <v>154</v>
      </c>
      <c r="E89" s="5" t="s">
        <v>237</v>
      </c>
      <c r="F89" s="6">
        <v>54857761</v>
      </c>
      <c r="G89" s="5" t="s">
        <v>16</v>
      </c>
      <c r="H89" s="7">
        <v>45767</v>
      </c>
      <c r="I89" s="7">
        <v>45768</v>
      </c>
      <c r="J89" s="8">
        <v>150</v>
      </c>
      <c r="K89" s="9">
        <v>45781</v>
      </c>
      <c r="L89" s="7"/>
      <c r="O89" s="43" t="s">
        <v>3317</v>
      </c>
      <c r="P89" s="23">
        <v>2</v>
      </c>
    </row>
    <row r="90" spans="1:16" ht="14.4" customHeight="1" x14ac:dyDescent="0.3">
      <c r="A90" s="5">
        <v>88</v>
      </c>
      <c r="B90" s="5" t="s">
        <v>241</v>
      </c>
      <c r="C90" s="5" t="s">
        <v>242</v>
      </c>
      <c r="D90" s="5" t="s">
        <v>26</v>
      </c>
      <c r="E90" s="5" t="s">
        <v>60</v>
      </c>
      <c r="F90" s="6">
        <v>58344705</v>
      </c>
      <c r="G90" s="5" t="s">
        <v>16</v>
      </c>
      <c r="H90" s="7">
        <v>45767</v>
      </c>
      <c r="I90" s="7">
        <v>45768</v>
      </c>
      <c r="J90" s="8">
        <v>150</v>
      </c>
      <c r="K90" s="9">
        <v>45781</v>
      </c>
      <c r="L90" s="7"/>
      <c r="O90" s="43" t="s">
        <v>2940</v>
      </c>
      <c r="P90" s="23">
        <v>1</v>
      </c>
    </row>
    <row r="91" spans="1:16" ht="14.4" customHeight="1" x14ac:dyDescent="0.3">
      <c r="A91" s="5">
        <v>89</v>
      </c>
      <c r="B91" s="5" t="s">
        <v>243</v>
      </c>
      <c r="C91" s="5" t="s">
        <v>244</v>
      </c>
      <c r="D91" s="5" t="s">
        <v>68</v>
      </c>
      <c r="E91" s="5" t="s">
        <v>69</v>
      </c>
      <c r="F91" s="6">
        <v>57864289</v>
      </c>
      <c r="G91" s="5" t="s">
        <v>16</v>
      </c>
      <c r="H91" s="7">
        <v>45767</v>
      </c>
      <c r="I91" s="7">
        <v>45768</v>
      </c>
      <c r="J91" s="8">
        <v>150</v>
      </c>
      <c r="K91" s="9">
        <v>45781</v>
      </c>
      <c r="L91" s="7"/>
      <c r="O91" s="43" t="s">
        <v>19</v>
      </c>
      <c r="P91" s="23">
        <v>8</v>
      </c>
    </row>
    <row r="92" spans="1:16" ht="14.4" customHeight="1" x14ac:dyDescent="0.3">
      <c r="A92" s="5">
        <v>90</v>
      </c>
      <c r="B92" s="5" t="s">
        <v>121</v>
      </c>
      <c r="C92" s="5" t="s">
        <v>122</v>
      </c>
      <c r="D92" s="5" t="s">
        <v>30</v>
      </c>
      <c r="E92" s="5" t="s">
        <v>1279</v>
      </c>
      <c r="F92" s="6">
        <v>57801348</v>
      </c>
      <c r="G92" s="5" t="s">
        <v>16</v>
      </c>
      <c r="H92" s="7">
        <v>45767</v>
      </c>
      <c r="I92" s="7">
        <v>45768</v>
      </c>
      <c r="J92" s="8">
        <v>150</v>
      </c>
      <c r="K92" s="9">
        <v>45781</v>
      </c>
      <c r="L92" s="7"/>
      <c r="O92" s="43" t="s">
        <v>3318</v>
      </c>
      <c r="P92" s="23">
        <v>1</v>
      </c>
    </row>
    <row r="93" spans="1:16" ht="14.4" customHeight="1" x14ac:dyDescent="0.3">
      <c r="A93" s="5">
        <v>91</v>
      </c>
      <c r="B93" s="5" t="s">
        <v>245</v>
      </c>
      <c r="C93" s="5" t="s">
        <v>246</v>
      </c>
      <c r="D93" s="5" t="s">
        <v>26</v>
      </c>
      <c r="E93" s="5" t="s">
        <v>226</v>
      </c>
      <c r="F93" s="6">
        <v>58940407</v>
      </c>
      <c r="G93" s="5" t="s">
        <v>16</v>
      </c>
      <c r="H93" s="7">
        <v>45767</v>
      </c>
      <c r="I93" s="7">
        <v>45768</v>
      </c>
      <c r="J93" s="8">
        <v>150</v>
      </c>
      <c r="K93" s="9">
        <v>45781</v>
      </c>
      <c r="L93" s="7"/>
      <c r="O93" s="43" t="s">
        <v>201</v>
      </c>
      <c r="P93" s="23">
        <v>7</v>
      </c>
    </row>
    <row r="94" spans="1:16" ht="14.4" customHeight="1" x14ac:dyDescent="0.3">
      <c r="A94" s="5">
        <v>92</v>
      </c>
      <c r="B94" s="5" t="s">
        <v>247</v>
      </c>
      <c r="C94" s="5" t="s">
        <v>248</v>
      </c>
      <c r="D94" s="5" t="s">
        <v>22</v>
      </c>
      <c r="E94" s="5" t="s">
        <v>144</v>
      </c>
      <c r="F94" s="6">
        <v>58106705</v>
      </c>
      <c r="G94" s="5" t="s">
        <v>16</v>
      </c>
      <c r="H94" s="7">
        <v>45767</v>
      </c>
      <c r="I94" s="7">
        <v>45768</v>
      </c>
      <c r="J94" s="8">
        <v>150</v>
      </c>
      <c r="K94" s="9">
        <v>45781</v>
      </c>
      <c r="L94" s="7"/>
      <c r="O94" s="43" t="s">
        <v>379</v>
      </c>
      <c r="P94" s="23">
        <v>1</v>
      </c>
    </row>
    <row r="95" spans="1:16" ht="14.4" customHeight="1" x14ac:dyDescent="0.3">
      <c r="A95" s="5">
        <v>93</v>
      </c>
      <c r="B95" s="5" t="s">
        <v>249</v>
      </c>
      <c r="C95" s="5" t="s">
        <v>250</v>
      </c>
      <c r="D95" s="5" t="s">
        <v>214</v>
      </c>
      <c r="E95" s="5" t="s">
        <v>251</v>
      </c>
      <c r="F95" s="6">
        <v>55026321</v>
      </c>
      <c r="G95" s="5" t="s">
        <v>16</v>
      </c>
      <c r="H95" s="7">
        <v>45767</v>
      </c>
      <c r="I95" s="7">
        <v>45768</v>
      </c>
      <c r="J95" s="8">
        <v>150</v>
      </c>
      <c r="K95" s="9">
        <v>45781</v>
      </c>
      <c r="L95" s="7"/>
      <c r="O95" s="43" t="s">
        <v>491</v>
      </c>
      <c r="P95" s="23">
        <v>2</v>
      </c>
    </row>
    <row r="96" spans="1:16" ht="14.4" customHeight="1" x14ac:dyDescent="0.3">
      <c r="A96" s="5">
        <v>94</v>
      </c>
      <c r="B96" s="5" t="s">
        <v>252</v>
      </c>
      <c r="C96" s="5" t="s">
        <v>253</v>
      </c>
      <c r="D96" s="5" t="s">
        <v>14</v>
      </c>
      <c r="E96" s="5" t="s">
        <v>254</v>
      </c>
      <c r="F96" s="6">
        <v>59150990</v>
      </c>
      <c r="G96" s="5" t="s">
        <v>16</v>
      </c>
      <c r="H96" s="7">
        <v>45767</v>
      </c>
      <c r="I96" s="7">
        <v>45768</v>
      </c>
      <c r="J96" s="8">
        <v>150</v>
      </c>
      <c r="K96" s="9">
        <v>45781</v>
      </c>
      <c r="L96" s="7"/>
      <c r="O96" s="43" t="s">
        <v>1631</v>
      </c>
      <c r="P96" s="23">
        <v>1</v>
      </c>
    </row>
    <row r="97" spans="1:16" ht="14.4" customHeight="1" x14ac:dyDescent="0.3">
      <c r="A97" s="5">
        <v>95</v>
      </c>
      <c r="B97" s="5" t="s">
        <v>255</v>
      </c>
      <c r="C97" s="5" t="s">
        <v>256</v>
      </c>
      <c r="D97" s="5" t="s">
        <v>26</v>
      </c>
      <c r="E97" s="5" t="s">
        <v>49</v>
      </c>
      <c r="F97" s="6">
        <v>58060901</v>
      </c>
      <c r="G97" s="5" t="s">
        <v>16</v>
      </c>
      <c r="H97" s="7">
        <v>45767</v>
      </c>
      <c r="I97" s="7">
        <v>45768</v>
      </c>
      <c r="J97" s="8">
        <v>150</v>
      </c>
      <c r="K97" s="9">
        <v>45781</v>
      </c>
      <c r="L97" s="7"/>
      <c r="O97" s="43" t="s">
        <v>2786</v>
      </c>
      <c r="P97" s="23">
        <v>1</v>
      </c>
    </row>
    <row r="98" spans="1:16" ht="14.4" customHeight="1" x14ac:dyDescent="0.3">
      <c r="A98" s="5">
        <v>96</v>
      </c>
      <c r="B98" s="5" t="s">
        <v>257</v>
      </c>
      <c r="C98" s="5" t="s">
        <v>258</v>
      </c>
      <c r="D98" s="5" t="s">
        <v>14</v>
      </c>
      <c r="E98" s="5" t="s">
        <v>259</v>
      </c>
      <c r="F98" s="6">
        <v>59082537</v>
      </c>
      <c r="G98" s="5" t="s">
        <v>16</v>
      </c>
      <c r="H98" s="7">
        <v>45767</v>
      </c>
      <c r="I98" s="7">
        <v>45768</v>
      </c>
      <c r="J98" s="8">
        <v>150</v>
      </c>
      <c r="K98" s="9">
        <v>45781</v>
      </c>
      <c r="L98" s="7"/>
      <c r="O98" s="43" t="s">
        <v>237</v>
      </c>
      <c r="P98" s="23">
        <v>2</v>
      </c>
    </row>
    <row r="99" spans="1:16" ht="14.4" customHeight="1" x14ac:dyDescent="0.3">
      <c r="A99" s="5">
        <v>97</v>
      </c>
      <c r="B99" s="5" t="s">
        <v>260</v>
      </c>
      <c r="C99" s="5" t="s">
        <v>261</v>
      </c>
      <c r="D99" s="5" t="s">
        <v>14</v>
      </c>
      <c r="E99" s="5" t="s">
        <v>262</v>
      </c>
      <c r="F99" s="10" t="s">
        <v>263</v>
      </c>
      <c r="G99" s="5" t="s">
        <v>16</v>
      </c>
      <c r="H99" s="7">
        <v>45767</v>
      </c>
      <c r="I99" s="7">
        <v>45768</v>
      </c>
      <c r="J99" s="8">
        <v>150</v>
      </c>
      <c r="K99" s="9">
        <v>45781</v>
      </c>
      <c r="L99" s="7"/>
      <c r="O99" s="43" t="s">
        <v>168</v>
      </c>
      <c r="P99" s="23">
        <v>3</v>
      </c>
    </row>
    <row r="100" spans="1:16" ht="14.4" customHeight="1" x14ac:dyDescent="0.3">
      <c r="A100" s="5">
        <v>98</v>
      </c>
      <c r="B100" s="5" t="s">
        <v>264</v>
      </c>
      <c r="C100" s="5" t="s">
        <v>265</v>
      </c>
      <c r="D100" s="5" t="s">
        <v>26</v>
      </c>
      <c r="E100" s="5" t="s">
        <v>131</v>
      </c>
      <c r="F100" s="6">
        <v>57082569</v>
      </c>
      <c r="G100" s="5" t="s">
        <v>16</v>
      </c>
      <c r="H100" s="7">
        <v>45767</v>
      </c>
      <c r="I100" s="7">
        <v>45768</v>
      </c>
      <c r="J100" s="8">
        <v>150</v>
      </c>
      <c r="K100" s="9">
        <v>45781</v>
      </c>
      <c r="L100" s="7"/>
      <c r="O100" s="43" t="s">
        <v>163</v>
      </c>
      <c r="P100" s="23">
        <v>12</v>
      </c>
    </row>
    <row r="101" spans="1:16" ht="14.4" customHeight="1" x14ac:dyDescent="0.3">
      <c r="A101" s="5">
        <v>99</v>
      </c>
      <c r="B101" s="5" t="s">
        <v>266</v>
      </c>
      <c r="C101" s="5" t="s">
        <v>267</v>
      </c>
      <c r="D101" s="5" t="s">
        <v>26</v>
      </c>
      <c r="E101" s="5" t="s">
        <v>268</v>
      </c>
      <c r="F101" s="6">
        <v>57061106</v>
      </c>
      <c r="G101" s="5" t="s">
        <v>16</v>
      </c>
      <c r="H101" s="7">
        <v>45767</v>
      </c>
      <c r="I101" s="7">
        <v>45768</v>
      </c>
      <c r="J101" s="8">
        <v>150</v>
      </c>
      <c r="K101" s="9">
        <v>45781</v>
      </c>
      <c r="L101" s="7"/>
      <c r="O101" s="43" t="s">
        <v>1304</v>
      </c>
      <c r="P101" s="23">
        <v>1</v>
      </c>
    </row>
    <row r="102" spans="1:16" ht="14.4" customHeight="1" x14ac:dyDescent="0.3">
      <c r="A102" s="5">
        <v>100</v>
      </c>
      <c r="B102" s="5" t="s">
        <v>269</v>
      </c>
      <c r="C102" s="5" t="s">
        <v>270</v>
      </c>
      <c r="D102" s="5" t="s">
        <v>83</v>
      </c>
      <c r="E102" s="5" t="s">
        <v>84</v>
      </c>
      <c r="F102" s="6">
        <v>59292398</v>
      </c>
      <c r="G102" s="5" t="s">
        <v>16</v>
      </c>
      <c r="H102" s="7">
        <v>45767</v>
      </c>
      <c r="I102" s="7">
        <v>45768</v>
      </c>
      <c r="J102" s="8">
        <v>150</v>
      </c>
      <c r="K102" s="9">
        <v>45781</v>
      </c>
      <c r="L102" s="7"/>
      <c r="O102" s="43" t="s">
        <v>1615</v>
      </c>
      <c r="P102" s="23">
        <v>2</v>
      </c>
    </row>
    <row r="103" spans="1:16" ht="14.4" customHeight="1" x14ac:dyDescent="0.3">
      <c r="A103" s="5">
        <v>101</v>
      </c>
      <c r="B103" s="5" t="s">
        <v>271</v>
      </c>
      <c r="C103" s="5" t="s">
        <v>272</v>
      </c>
      <c r="D103" s="5" t="s">
        <v>68</v>
      </c>
      <c r="E103" s="5" t="s">
        <v>69</v>
      </c>
      <c r="F103" s="10" t="s">
        <v>273</v>
      </c>
      <c r="G103" s="5" t="s">
        <v>16</v>
      </c>
      <c r="H103" s="7">
        <v>45767</v>
      </c>
      <c r="I103" s="7">
        <v>45768</v>
      </c>
      <c r="J103" s="8">
        <v>150</v>
      </c>
      <c r="K103" s="9">
        <v>45781</v>
      </c>
      <c r="L103" s="7"/>
      <c r="O103" s="43" t="s">
        <v>850</v>
      </c>
      <c r="P103" s="23">
        <v>1</v>
      </c>
    </row>
    <row r="104" spans="1:16" ht="14.4" customHeight="1" x14ac:dyDescent="0.3">
      <c r="A104" s="5">
        <v>102</v>
      </c>
      <c r="B104" s="5" t="s">
        <v>274</v>
      </c>
      <c r="C104" s="5" t="s">
        <v>275</v>
      </c>
      <c r="D104" s="5" t="s">
        <v>22</v>
      </c>
      <c r="E104" s="5" t="s">
        <v>276</v>
      </c>
      <c r="F104" s="6">
        <v>54786996</v>
      </c>
      <c r="G104" s="5" t="s">
        <v>16</v>
      </c>
      <c r="H104" s="7">
        <v>45767</v>
      </c>
      <c r="I104" s="7">
        <v>45768</v>
      </c>
      <c r="J104" s="8">
        <v>150</v>
      </c>
      <c r="K104" s="9">
        <v>45781</v>
      </c>
      <c r="L104" s="7"/>
      <c r="O104" s="43" t="s">
        <v>560</v>
      </c>
      <c r="P104" s="23">
        <v>2</v>
      </c>
    </row>
    <row r="105" spans="1:16" ht="14.4" customHeight="1" x14ac:dyDescent="0.3">
      <c r="A105" s="5">
        <v>103</v>
      </c>
      <c r="B105" s="5" t="s">
        <v>277</v>
      </c>
      <c r="C105" s="5" t="s">
        <v>278</v>
      </c>
      <c r="D105" s="5" t="s">
        <v>26</v>
      </c>
      <c r="E105" s="5" t="s">
        <v>49</v>
      </c>
      <c r="F105" s="6">
        <v>58075756</v>
      </c>
      <c r="G105" s="5" t="s">
        <v>16</v>
      </c>
      <c r="H105" s="7">
        <v>45767</v>
      </c>
      <c r="I105" s="7">
        <v>45768</v>
      </c>
      <c r="J105" s="8">
        <v>150</v>
      </c>
      <c r="K105" s="9">
        <v>45781</v>
      </c>
      <c r="L105" s="7"/>
      <c r="O105" s="43" t="s">
        <v>597</v>
      </c>
      <c r="P105" s="23">
        <v>1</v>
      </c>
    </row>
    <row r="106" spans="1:16" ht="14.4" customHeight="1" x14ac:dyDescent="0.3">
      <c r="A106" s="5">
        <v>104</v>
      </c>
      <c r="B106" s="5" t="s">
        <v>279</v>
      </c>
      <c r="C106" s="5" t="s">
        <v>280</v>
      </c>
      <c r="D106" s="5" t="s">
        <v>22</v>
      </c>
      <c r="E106" s="5" t="s">
        <v>368</v>
      </c>
      <c r="F106" s="6">
        <v>57670296</v>
      </c>
      <c r="G106" s="5" t="s">
        <v>16</v>
      </c>
      <c r="H106" s="7">
        <v>45767</v>
      </c>
      <c r="I106" s="7">
        <v>45768</v>
      </c>
      <c r="J106" s="8">
        <v>150</v>
      </c>
      <c r="K106" s="9">
        <v>45781</v>
      </c>
      <c r="L106" s="7"/>
      <c r="O106" s="43" t="s">
        <v>357</v>
      </c>
      <c r="P106" s="23">
        <v>3</v>
      </c>
    </row>
    <row r="107" spans="1:16" ht="14.4" customHeight="1" x14ac:dyDescent="0.3">
      <c r="A107" s="5">
        <v>105</v>
      </c>
      <c r="B107" s="5" t="s">
        <v>282</v>
      </c>
      <c r="C107" s="5" t="s">
        <v>283</v>
      </c>
      <c r="D107" s="5" t="s">
        <v>116</v>
      </c>
      <c r="E107" s="5" t="s">
        <v>149</v>
      </c>
      <c r="F107" s="10" t="s">
        <v>284</v>
      </c>
      <c r="G107" s="5" t="s">
        <v>16</v>
      </c>
      <c r="H107" s="7">
        <v>45767</v>
      </c>
      <c r="I107" s="7">
        <v>45768</v>
      </c>
      <c r="J107" s="8">
        <v>150</v>
      </c>
      <c r="K107" s="9">
        <v>45781</v>
      </c>
      <c r="L107" s="7"/>
      <c r="O107" s="43" t="s">
        <v>497</v>
      </c>
      <c r="P107" s="23">
        <v>3</v>
      </c>
    </row>
    <row r="108" spans="1:16" ht="14.4" customHeight="1" x14ac:dyDescent="0.3">
      <c r="A108" s="5">
        <v>167</v>
      </c>
      <c r="B108" s="5" t="s">
        <v>289</v>
      </c>
      <c r="C108" s="5" t="s">
        <v>290</v>
      </c>
      <c r="D108" s="5" t="s">
        <v>22</v>
      </c>
      <c r="E108" s="5" t="s">
        <v>291</v>
      </c>
      <c r="F108" s="6">
        <v>57067009</v>
      </c>
      <c r="G108" s="5" t="s">
        <v>1024</v>
      </c>
      <c r="H108" s="7">
        <v>45767</v>
      </c>
      <c r="I108" s="7">
        <v>45768</v>
      </c>
      <c r="J108" s="8">
        <v>150</v>
      </c>
      <c r="K108" s="9">
        <v>45781</v>
      </c>
      <c r="L108" s="7"/>
      <c r="O108" s="43" t="s">
        <v>1734</v>
      </c>
      <c r="P108" s="23">
        <v>1</v>
      </c>
    </row>
    <row r="109" spans="1:16" ht="14.4" customHeight="1" x14ac:dyDescent="0.3">
      <c r="A109" s="5">
        <v>87</v>
      </c>
      <c r="B109" s="5" t="s">
        <v>238</v>
      </c>
      <c r="C109" s="5" t="s">
        <v>239</v>
      </c>
      <c r="D109" s="5" t="s">
        <v>26</v>
      </c>
      <c r="E109" s="5" t="s">
        <v>63</v>
      </c>
      <c r="F109" s="10" t="s">
        <v>240</v>
      </c>
      <c r="G109" s="5" t="s">
        <v>16</v>
      </c>
      <c r="H109" s="7">
        <v>45767</v>
      </c>
      <c r="I109" s="7">
        <v>45771</v>
      </c>
      <c r="J109" s="8">
        <v>150</v>
      </c>
      <c r="K109" s="9">
        <v>45781</v>
      </c>
      <c r="L109" s="7"/>
      <c r="O109" s="43" t="s">
        <v>2941</v>
      </c>
      <c r="P109" s="23">
        <v>2</v>
      </c>
    </row>
    <row r="110" spans="1:16" ht="14.4" customHeight="1" x14ac:dyDescent="0.3">
      <c r="A110" s="5">
        <v>106</v>
      </c>
      <c r="B110" s="5" t="s">
        <v>285</v>
      </c>
      <c r="C110" s="5" t="s">
        <v>286</v>
      </c>
      <c r="D110" s="5" t="s">
        <v>26</v>
      </c>
      <c r="E110" s="5" t="s">
        <v>168</v>
      </c>
      <c r="F110" s="6">
        <v>59777754</v>
      </c>
      <c r="G110" s="5" t="s">
        <v>16</v>
      </c>
      <c r="H110" s="7">
        <v>45767</v>
      </c>
      <c r="I110" s="7">
        <v>45771</v>
      </c>
      <c r="J110" s="8">
        <v>150</v>
      </c>
      <c r="K110" s="9">
        <v>45781</v>
      </c>
      <c r="L110" s="7"/>
      <c r="O110" s="43" t="s">
        <v>2456</v>
      </c>
      <c r="P110" s="23">
        <v>2</v>
      </c>
    </row>
    <row r="111" spans="1:16" ht="14.4" customHeight="1" x14ac:dyDescent="0.3">
      <c r="A111" s="5">
        <v>107</v>
      </c>
      <c r="B111" s="5" t="s">
        <v>287</v>
      </c>
      <c r="C111" s="5" t="s">
        <v>288</v>
      </c>
      <c r="D111" s="5" t="s">
        <v>83</v>
      </c>
      <c r="E111" s="5" t="s">
        <v>84</v>
      </c>
      <c r="F111" s="6">
        <v>59759450</v>
      </c>
      <c r="G111" s="5" t="s">
        <v>16</v>
      </c>
      <c r="H111" s="7">
        <v>45767</v>
      </c>
      <c r="I111" s="7">
        <v>45771</v>
      </c>
      <c r="J111" s="8">
        <v>150</v>
      </c>
      <c r="K111" s="9">
        <v>45781</v>
      </c>
      <c r="L111" s="7"/>
      <c r="O111" s="43" t="s">
        <v>1279</v>
      </c>
      <c r="P111" s="23">
        <v>17</v>
      </c>
    </row>
    <row r="112" spans="1:16" ht="14.4" customHeight="1" x14ac:dyDescent="0.3">
      <c r="A112" s="5">
        <v>108</v>
      </c>
      <c r="B112" s="5" t="s">
        <v>292</v>
      </c>
      <c r="C112" s="5" t="s">
        <v>293</v>
      </c>
      <c r="D112" s="5" t="s">
        <v>26</v>
      </c>
      <c r="E112" s="5" t="s">
        <v>49</v>
      </c>
      <c r="F112" s="6">
        <v>57673391</v>
      </c>
      <c r="G112" s="5" t="s">
        <v>16</v>
      </c>
      <c r="H112" s="7">
        <v>45770</v>
      </c>
      <c r="I112" s="7">
        <v>45771</v>
      </c>
      <c r="J112" s="8">
        <v>150</v>
      </c>
      <c r="K112" s="9">
        <v>45781</v>
      </c>
      <c r="L112" s="7"/>
      <c r="O112" s="43" t="s">
        <v>1018</v>
      </c>
      <c r="P112" s="23">
        <v>3</v>
      </c>
    </row>
    <row r="113" spans="1:16" ht="14.4" customHeight="1" x14ac:dyDescent="0.3">
      <c r="A113" s="5">
        <v>109</v>
      </c>
      <c r="B113" s="5" t="s">
        <v>294</v>
      </c>
      <c r="C113" s="5" t="s">
        <v>295</v>
      </c>
      <c r="D113" s="5" t="s">
        <v>68</v>
      </c>
      <c r="E113" s="5" t="s">
        <v>69</v>
      </c>
      <c r="F113" s="6">
        <v>57986302</v>
      </c>
      <c r="G113" s="5" t="s">
        <v>16</v>
      </c>
      <c r="H113" s="7">
        <v>45770</v>
      </c>
      <c r="I113" s="7">
        <v>45771</v>
      </c>
      <c r="J113" s="8">
        <v>150</v>
      </c>
      <c r="K113" s="9">
        <v>45781</v>
      </c>
      <c r="L113" s="7"/>
      <c r="O113" s="43" t="s">
        <v>929</v>
      </c>
      <c r="P113" s="23">
        <v>1</v>
      </c>
    </row>
    <row r="114" spans="1:16" ht="14.4" customHeight="1" x14ac:dyDescent="0.3">
      <c r="A114" s="5">
        <v>110</v>
      </c>
      <c r="B114" s="5" t="s">
        <v>296</v>
      </c>
      <c r="C114" s="5" t="s">
        <v>297</v>
      </c>
      <c r="D114" s="5" t="s">
        <v>26</v>
      </c>
      <c r="E114" s="5" t="s">
        <v>298</v>
      </c>
      <c r="F114" s="6">
        <v>58009660</v>
      </c>
      <c r="G114" s="5" t="s">
        <v>16</v>
      </c>
      <c r="H114" s="7">
        <v>45770</v>
      </c>
      <c r="I114" s="7">
        <v>45771</v>
      </c>
      <c r="J114" s="8">
        <v>150</v>
      </c>
      <c r="K114" s="9">
        <v>45781</v>
      </c>
      <c r="L114" s="7"/>
      <c r="O114" s="43" t="s">
        <v>262</v>
      </c>
      <c r="P114" s="23">
        <v>18</v>
      </c>
    </row>
    <row r="115" spans="1:16" ht="14.4" customHeight="1" x14ac:dyDescent="0.3">
      <c r="A115" s="5">
        <v>111</v>
      </c>
      <c r="B115" s="5" t="s">
        <v>299</v>
      </c>
      <c r="C115" s="5" t="s">
        <v>300</v>
      </c>
      <c r="D115" s="5" t="s">
        <v>30</v>
      </c>
      <c r="E115" s="5" t="s">
        <v>80</v>
      </c>
      <c r="F115" s="6">
        <v>59144058</v>
      </c>
      <c r="G115" s="5" t="s">
        <v>16</v>
      </c>
      <c r="H115" s="7">
        <v>45770</v>
      </c>
      <c r="I115" s="7">
        <v>45771</v>
      </c>
      <c r="J115" s="8">
        <v>150</v>
      </c>
      <c r="K115" s="9">
        <v>45781</v>
      </c>
      <c r="L115" s="7"/>
      <c r="O115" s="43" t="s">
        <v>2638</v>
      </c>
      <c r="P115" s="23">
        <v>1</v>
      </c>
    </row>
    <row r="116" spans="1:16" ht="14.4" customHeight="1" x14ac:dyDescent="0.3">
      <c r="A116" s="5">
        <v>112</v>
      </c>
      <c r="B116" s="5" t="s">
        <v>301</v>
      </c>
      <c r="C116" s="5" t="s">
        <v>302</v>
      </c>
      <c r="D116" s="5" t="s">
        <v>30</v>
      </c>
      <c r="E116" s="5" t="s">
        <v>77</v>
      </c>
      <c r="F116" s="6">
        <v>57687500</v>
      </c>
      <c r="G116" s="5" t="s">
        <v>16</v>
      </c>
      <c r="H116" s="7">
        <v>45770</v>
      </c>
      <c r="I116" s="7">
        <v>45771</v>
      </c>
      <c r="J116" s="8">
        <v>150</v>
      </c>
      <c r="K116" s="9">
        <v>45781</v>
      </c>
      <c r="L116" s="7"/>
      <c r="O116" s="43" t="s">
        <v>3320</v>
      </c>
      <c r="P116" s="23">
        <v>1</v>
      </c>
    </row>
    <row r="117" spans="1:16" ht="14.4" customHeight="1" x14ac:dyDescent="0.3">
      <c r="A117" s="5">
        <v>113</v>
      </c>
      <c r="B117" s="5" t="s">
        <v>303</v>
      </c>
      <c r="C117" s="5" t="s">
        <v>304</v>
      </c>
      <c r="D117" s="5" t="s">
        <v>22</v>
      </c>
      <c r="E117" s="5" t="s">
        <v>305</v>
      </c>
      <c r="F117" s="6">
        <v>57326905</v>
      </c>
      <c r="G117" s="5" t="s">
        <v>16</v>
      </c>
      <c r="H117" s="7">
        <v>45770</v>
      </c>
      <c r="I117" s="7">
        <v>45771</v>
      </c>
      <c r="J117" s="8">
        <v>150</v>
      </c>
      <c r="K117" s="9">
        <v>45781</v>
      </c>
      <c r="L117" s="7"/>
      <c r="O117" s="43" t="s">
        <v>126</v>
      </c>
      <c r="P117" s="23">
        <v>5</v>
      </c>
    </row>
    <row r="118" spans="1:16" ht="14.4" customHeight="1" x14ac:dyDescent="0.3">
      <c r="A118" s="5">
        <v>114</v>
      </c>
      <c r="B118" s="5" t="s">
        <v>306</v>
      </c>
      <c r="C118" s="5" t="s">
        <v>307</v>
      </c>
      <c r="D118" s="5" t="s">
        <v>22</v>
      </c>
      <c r="E118" s="5" t="s">
        <v>291</v>
      </c>
      <c r="F118" s="6">
        <v>58347280</v>
      </c>
      <c r="G118" s="5" t="s">
        <v>16</v>
      </c>
      <c r="H118" s="7">
        <v>45770</v>
      </c>
      <c r="I118" s="7">
        <v>45771</v>
      </c>
      <c r="J118" s="8">
        <v>150</v>
      </c>
      <c r="K118" s="9">
        <v>45781</v>
      </c>
      <c r="L118" s="7"/>
      <c r="O118" s="43" t="s">
        <v>709</v>
      </c>
      <c r="P118" s="23">
        <v>3</v>
      </c>
    </row>
    <row r="119" spans="1:16" ht="14.4" customHeight="1" x14ac:dyDescent="0.3">
      <c r="A119" s="5">
        <v>115</v>
      </c>
      <c r="B119" s="5" t="s">
        <v>308</v>
      </c>
      <c r="C119" s="5" t="s">
        <v>309</v>
      </c>
      <c r="D119" s="5" t="s">
        <v>83</v>
      </c>
      <c r="E119" s="5" t="s">
        <v>84</v>
      </c>
      <c r="F119" s="6">
        <v>59157334</v>
      </c>
      <c r="G119" s="5" t="s">
        <v>16</v>
      </c>
      <c r="H119" s="7">
        <v>45770</v>
      </c>
      <c r="I119" s="7">
        <v>45771</v>
      </c>
      <c r="J119" s="8">
        <v>150</v>
      </c>
      <c r="K119" s="9">
        <v>45781</v>
      </c>
      <c r="L119" s="7"/>
      <c r="O119" s="43" t="s">
        <v>546</v>
      </c>
      <c r="P119" s="23">
        <v>27</v>
      </c>
    </row>
    <row r="120" spans="1:16" ht="14.4" customHeight="1" x14ac:dyDescent="0.3">
      <c r="A120" s="5">
        <v>116</v>
      </c>
      <c r="B120" s="5" t="s">
        <v>310</v>
      </c>
      <c r="C120" s="5" t="s">
        <v>311</v>
      </c>
      <c r="D120" s="5" t="s">
        <v>83</v>
      </c>
      <c r="E120" s="5" t="s">
        <v>84</v>
      </c>
      <c r="F120" s="6">
        <v>59262648</v>
      </c>
      <c r="G120" s="5" t="s">
        <v>16</v>
      </c>
      <c r="H120" s="7">
        <v>45770</v>
      </c>
      <c r="I120" s="7">
        <v>45771</v>
      </c>
      <c r="J120" s="8">
        <v>150</v>
      </c>
      <c r="K120" s="9">
        <v>45781</v>
      </c>
      <c r="L120" s="7"/>
      <c r="O120" s="43" t="s">
        <v>1472</v>
      </c>
      <c r="P120" s="23">
        <v>1</v>
      </c>
    </row>
    <row r="121" spans="1:16" ht="14.4" customHeight="1" x14ac:dyDescent="0.3">
      <c r="A121" s="5">
        <v>117</v>
      </c>
      <c r="B121" s="5" t="s">
        <v>312</v>
      </c>
      <c r="C121" s="5" t="s">
        <v>313</v>
      </c>
      <c r="D121" s="5" t="s">
        <v>14</v>
      </c>
      <c r="E121" s="5" t="s">
        <v>314</v>
      </c>
      <c r="F121" s="6">
        <v>59100587</v>
      </c>
      <c r="G121" s="5" t="s">
        <v>16</v>
      </c>
      <c r="H121" s="7">
        <v>45770</v>
      </c>
      <c r="I121" s="7">
        <v>45771</v>
      </c>
      <c r="J121" s="8">
        <v>150</v>
      </c>
      <c r="K121" s="9">
        <v>45781</v>
      </c>
      <c r="L121" s="7"/>
      <c r="O121" s="43" t="s">
        <v>782</v>
      </c>
      <c r="P121" s="23">
        <v>3</v>
      </c>
    </row>
    <row r="122" spans="1:16" ht="14.4" customHeight="1" x14ac:dyDescent="0.3">
      <c r="A122" s="5">
        <v>118</v>
      </c>
      <c r="B122" s="5" t="s">
        <v>315</v>
      </c>
      <c r="C122" s="5" t="s">
        <v>316</v>
      </c>
      <c r="D122" s="5" t="s">
        <v>214</v>
      </c>
      <c r="E122" s="5" t="s">
        <v>251</v>
      </c>
      <c r="F122" s="6">
        <v>58225135</v>
      </c>
      <c r="G122" s="5" t="s">
        <v>16</v>
      </c>
      <c r="H122" s="7">
        <v>45770</v>
      </c>
      <c r="I122" s="7">
        <v>45771</v>
      </c>
      <c r="J122" s="8">
        <v>150</v>
      </c>
      <c r="K122" s="9">
        <v>45781</v>
      </c>
      <c r="L122" s="7"/>
      <c r="O122" s="43" t="s">
        <v>1999</v>
      </c>
      <c r="P122" s="23">
        <v>2</v>
      </c>
    </row>
    <row r="123" spans="1:16" ht="14.4" customHeight="1" x14ac:dyDescent="0.3">
      <c r="A123" s="5">
        <v>119</v>
      </c>
      <c r="B123" s="5" t="s">
        <v>317</v>
      </c>
      <c r="C123" s="5" t="s">
        <v>318</v>
      </c>
      <c r="D123" s="5" t="s">
        <v>30</v>
      </c>
      <c r="E123" s="5" t="s">
        <v>137</v>
      </c>
      <c r="F123" s="6">
        <v>58192241</v>
      </c>
      <c r="G123" s="5" t="s">
        <v>16</v>
      </c>
      <c r="H123" s="7">
        <v>45770</v>
      </c>
      <c r="I123" s="7">
        <v>45771</v>
      </c>
      <c r="J123" s="8">
        <v>150</v>
      </c>
      <c r="K123" s="9">
        <v>45781</v>
      </c>
      <c r="L123" s="7"/>
      <c r="O123" s="43" t="s">
        <v>673</v>
      </c>
      <c r="P123" s="23">
        <v>5</v>
      </c>
    </row>
    <row r="124" spans="1:16" ht="14.4" customHeight="1" x14ac:dyDescent="0.3">
      <c r="A124" s="5">
        <v>120</v>
      </c>
      <c r="B124" s="5" t="s">
        <v>319</v>
      </c>
      <c r="C124" s="5" t="s">
        <v>320</v>
      </c>
      <c r="D124" s="5" t="s">
        <v>30</v>
      </c>
      <c r="E124" s="5" t="s">
        <v>321</v>
      </c>
      <c r="F124" s="6">
        <v>54754790</v>
      </c>
      <c r="G124" s="5" t="s">
        <v>16</v>
      </c>
      <c r="H124" s="7">
        <v>45770</v>
      </c>
      <c r="I124" s="7">
        <v>45771</v>
      </c>
      <c r="J124" s="8">
        <v>150</v>
      </c>
      <c r="K124" s="9">
        <v>45781</v>
      </c>
      <c r="L124" s="7"/>
      <c r="O124" s="43" t="s">
        <v>254</v>
      </c>
      <c r="P124" s="23">
        <v>5</v>
      </c>
    </row>
    <row r="125" spans="1:16" ht="14.4" customHeight="1" x14ac:dyDescent="0.3">
      <c r="A125" s="5">
        <v>121</v>
      </c>
      <c r="B125" s="5" t="s">
        <v>322</v>
      </c>
      <c r="C125" s="5" t="s">
        <v>323</v>
      </c>
      <c r="D125" s="5" t="s">
        <v>26</v>
      </c>
      <c r="E125" s="5" t="s">
        <v>131</v>
      </c>
      <c r="F125" s="6">
        <v>57864343</v>
      </c>
      <c r="G125" s="5" t="s">
        <v>16</v>
      </c>
      <c r="H125" s="7">
        <v>45770</v>
      </c>
      <c r="I125" s="7">
        <v>45771</v>
      </c>
      <c r="J125" s="8">
        <v>150</v>
      </c>
      <c r="K125" s="9">
        <v>45781</v>
      </c>
      <c r="L125" s="7"/>
      <c r="O125" s="43" t="s">
        <v>1978</v>
      </c>
      <c r="P125" s="23">
        <v>1</v>
      </c>
    </row>
    <row r="126" spans="1:16" ht="14.4" customHeight="1" x14ac:dyDescent="0.3">
      <c r="A126" s="5">
        <v>122</v>
      </c>
      <c r="B126" s="5" t="s">
        <v>324</v>
      </c>
      <c r="C126" s="5" t="s">
        <v>325</v>
      </c>
      <c r="D126" s="5" t="s">
        <v>30</v>
      </c>
      <c r="E126" s="5" t="s">
        <v>211</v>
      </c>
      <c r="F126" s="6">
        <v>57566408</v>
      </c>
      <c r="G126" s="5" t="s">
        <v>16</v>
      </c>
      <c r="H126" s="7">
        <v>45770</v>
      </c>
      <c r="I126" s="7">
        <v>45771</v>
      </c>
      <c r="J126" s="8">
        <v>150</v>
      </c>
      <c r="K126" s="9">
        <v>45781</v>
      </c>
      <c r="L126" s="7"/>
      <c r="O126" s="43" t="s">
        <v>80</v>
      </c>
      <c r="P126" s="23">
        <v>5</v>
      </c>
    </row>
    <row r="127" spans="1:16" ht="14.4" customHeight="1" x14ac:dyDescent="0.3">
      <c r="A127" s="5">
        <v>123</v>
      </c>
      <c r="B127" s="5" t="s">
        <v>326</v>
      </c>
      <c r="C127" s="5" t="s">
        <v>327</v>
      </c>
      <c r="D127" s="5" t="s">
        <v>214</v>
      </c>
      <c r="E127" s="5" t="s">
        <v>251</v>
      </c>
      <c r="F127" s="6">
        <v>58262238</v>
      </c>
      <c r="G127" s="5" t="s">
        <v>16</v>
      </c>
      <c r="H127" s="7">
        <v>45770</v>
      </c>
      <c r="I127" s="7">
        <v>45771</v>
      </c>
      <c r="J127" s="8">
        <v>150</v>
      </c>
      <c r="K127" s="9">
        <v>45781</v>
      </c>
      <c r="L127" s="7"/>
      <c r="O127" s="43" t="s">
        <v>2947</v>
      </c>
      <c r="P127" s="23">
        <v>2</v>
      </c>
    </row>
    <row r="128" spans="1:16" ht="14.4" customHeight="1" x14ac:dyDescent="0.3">
      <c r="A128" s="5">
        <v>124</v>
      </c>
      <c r="B128" s="5" t="s">
        <v>328</v>
      </c>
      <c r="C128" s="5" t="s">
        <v>329</v>
      </c>
      <c r="D128" s="5" t="s">
        <v>26</v>
      </c>
      <c r="E128" s="5" t="s">
        <v>194</v>
      </c>
      <c r="F128" s="6">
        <v>59233319</v>
      </c>
      <c r="G128" s="5" t="s">
        <v>16</v>
      </c>
      <c r="H128" s="7">
        <v>45770</v>
      </c>
      <c r="I128" s="7">
        <v>45771</v>
      </c>
      <c r="J128" s="8">
        <v>150</v>
      </c>
      <c r="K128" s="9">
        <v>45781</v>
      </c>
      <c r="L128" s="7"/>
      <c r="O128" s="43" t="s">
        <v>578</v>
      </c>
      <c r="P128" s="23">
        <v>2</v>
      </c>
    </row>
    <row r="129" spans="1:16" ht="14.4" customHeight="1" x14ac:dyDescent="0.3">
      <c r="A129" s="5">
        <v>125</v>
      </c>
      <c r="B129" s="5" t="s">
        <v>330</v>
      </c>
      <c r="C129" s="5" t="s">
        <v>331</v>
      </c>
      <c r="D129" s="5" t="s">
        <v>30</v>
      </c>
      <c r="E129" s="5" t="s">
        <v>98</v>
      </c>
      <c r="F129" s="6">
        <v>57761275</v>
      </c>
      <c r="G129" s="5" t="s">
        <v>16</v>
      </c>
      <c r="H129" s="7">
        <v>45770</v>
      </c>
      <c r="I129" s="7">
        <v>45771</v>
      </c>
      <c r="J129" s="8">
        <v>150</v>
      </c>
      <c r="K129" s="9">
        <v>45781</v>
      </c>
      <c r="L129" s="7"/>
      <c r="O129" s="43" t="s">
        <v>1262</v>
      </c>
      <c r="P129" s="23">
        <v>6</v>
      </c>
    </row>
    <row r="130" spans="1:16" ht="14.4" customHeight="1" x14ac:dyDescent="0.3">
      <c r="A130" s="5">
        <v>126</v>
      </c>
      <c r="B130" s="5" t="s">
        <v>332</v>
      </c>
      <c r="C130" s="5" t="s">
        <v>333</v>
      </c>
      <c r="D130" s="5" t="s">
        <v>34</v>
      </c>
      <c r="E130" s="5" t="s">
        <v>41</v>
      </c>
      <c r="F130" s="6">
        <v>57605468</v>
      </c>
      <c r="G130" s="5" t="s">
        <v>16</v>
      </c>
      <c r="H130" s="7">
        <v>45770</v>
      </c>
      <c r="I130" s="7">
        <v>45771</v>
      </c>
      <c r="J130" s="8">
        <v>150</v>
      </c>
      <c r="K130" s="9">
        <v>45781</v>
      </c>
      <c r="L130" s="7"/>
      <c r="O130" s="43" t="s">
        <v>785</v>
      </c>
      <c r="P130" s="23">
        <v>5</v>
      </c>
    </row>
    <row r="131" spans="1:16" ht="14.4" customHeight="1" x14ac:dyDescent="0.3">
      <c r="A131" s="5">
        <v>127</v>
      </c>
      <c r="B131" s="5" t="s">
        <v>334</v>
      </c>
      <c r="C131" s="5" t="s">
        <v>335</v>
      </c>
      <c r="D131" s="5" t="s">
        <v>14</v>
      </c>
      <c r="E131" s="5" t="s">
        <v>259</v>
      </c>
      <c r="F131" s="6">
        <v>57529033</v>
      </c>
      <c r="G131" s="5" t="s">
        <v>16</v>
      </c>
      <c r="H131" s="7">
        <v>45770</v>
      </c>
      <c r="I131" s="7">
        <v>45771</v>
      </c>
      <c r="J131" s="8">
        <v>150</v>
      </c>
      <c r="K131" s="9">
        <v>45781</v>
      </c>
      <c r="L131" s="7"/>
      <c r="O131" s="43" t="s">
        <v>475</v>
      </c>
      <c r="P131" s="23">
        <v>13</v>
      </c>
    </row>
    <row r="132" spans="1:16" ht="14.4" customHeight="1" x14ac:dyDescent="0.3">
      <c r="A132" s="5">
        <v>129</v>
      </c>
      <c r="B132" s="7" t="s">
        <v>338</v>
      </c>
      <c r="C132" s="7" t="s">
        <v>339</v>
      </c>
      <c r="D132" s="5" t="s">
        <v>26</v>
      </c>
      <c r="E132" s="5" t="s">
        <v>74</v>
      </c>
      <c r="F132" s="6">
        <v>58084303</v>
      </c>
      <c r="G132" s="5" t="s">
        <v>16</v>
      </c>
      <c r="H132" s="7">
        <v>45770</v>
      </c>
      <c r="I132" s="7">
        <v>45771</v>
      </c>
      <c r="J132" s="8">
        <v>150</v>
      </c>
      <c r="K132" s="9">
        <v>45781</v>
      </c>
      <c r="L132" s="7"/>
      <c r="O132" s="43" t="s">
        <v>3323</v>
      </c>
      <c r="P132" s="23">
        <v>1</v>
      </c>
    </row>
    <row r="133" spans="1:16" ht="14.4" customHeight="1" x14ac:dyDescent="0.3">
      <c r="A133" s="5">
        <v>169</v>
      </c>
      <c r="B133" s="5" t="s">
        <v>340</v>
      </c>
      <c r="C133" s="5" t="s">
        <v>341</v>
      </c>
      <c r="D133" s="5" t="s">
        <v>68</v>
      </c>
      <c r="E133" s="5" t="s">
        <v>69</v>
      </c>
      <c r="F133" s="10">
        <v>59120596</v>
      </c>
      <c r="G133" s="5" t="s">
        <v>1024</v>
      </c>
      <c r="H133" s="7">
        <v>45770</v>
      </c>
      <c r="I133" s="7">
        <v>45771</v>
      </c>
      <c r="J133" s="8">
        <v>150</v>
      </c>
      <c r="K133" s="9">
        <v>45781</v>
      </c>
      <c r="L133" s="7"/>
      <c r="O133" s="43" t="s">
        <v>2260</v>
      </c>
      <c r="P133" s="23">
        <v>1</v>
      </c>
    </row>
    <row r="134" spans="1:16" ht="14.4" customHeight="1" x14ac:dyDescent="0.3">
      <c r="A134" s="5">
        <v>170</v>
      </c>
      <c r="B134" s="5" t="s">
        <v>342</v>
      </c>
      <c r="C134" s="5" t="s">
        <v>343</v>
      </c>
      <c r="D134" s="5" t="s">
        <v>30</v>
      </c>
      <c r="E134" s="5" t="s">
        <v>344</v>
      </c>
      <c r="F134" s="6">
        <v>52526373</v>
      </c>
      <c r="G134" s="5" t="s">
        <v>1024</v>
      </c>
      <c r="H134" s="7">
        <v>45770</v>
      </c>
      <c r="I134" s="7">
        <v>45771</v>
      </c>
      <c r="J134" s="8">
        <v>150</v>
      </c>
      <c r="K134" s="9">
        <v>45781</v>
      </c>
      <c r="L134" s="7"/>
      <c r="O134" s="43" t="s">
        <v>1245</v>
      </c>
      <c r="P134" s="23">
        <v>2</v>
      </c>
    </row>
    <row r="135" spans="1:16" ht="14.4" customHeight="1" x14ac:dyDescent="0.3">
      <c r="A135" s="5">
        <v>173</v>
      </c>
      <c r="B135" s="5" t="s">
        <v>345</v>
      </c>
      <c r="C135" s="5" t="s">
        <v>346</v>
      </c>
      <c r="D135" s="5" t="s">
        <v>26</v>
      </c>
      <c r="E135" s="5" t="s">
        <v>226</v>
      </c>
      <c r="F135" s="6">
        <v>59072677</v>
      </c>
      <c r="G135" s="5" t="s">
        <v>1024</v>
      </c>
      <c r="H135" s="7">
        <v>45770</v>
      </c>
      <c r="I135" s="7">
        <v>45771</v>
      </c>
      <c r="J135" s="8">
        <v>150</v>
      </c>
      <c r="K135" s="9">
        <v>45781</v>
      </c>
      <c r="L135" s="7"/>
      <c r="O135" s="43" t="s">
        <v>501</v>
      </c>
      <c r="P135" s="23">
        <v>8</v>
      </c>
    </row>
    <row r="136" spans="1:16" ht="14.4" customHeight="1" x14ac:dyDescent="0.3">
      <c r="A136" s="5">
        <v>179</v>
      </c>
      <c r="B136" s="5" t="s">
        <v>347</v>
      </c>
      <c r="C136" s="5" t="s">
        <v>348</v>
      </c>
      <c r="D136" s="5" t="s">
        <v>22</v>
      </c>
      <c r="E136" s="5" t="s">
        <v>38</v>
      </c>
      <c r="F136" s="6">
        <v>57555242</v>
      </c>
      <c r="G136" s="5" t="s">
        <v>1024</v>
      </c>
      <c r="H136" s="7">
        <v>45770</v>
      </c>
      <c r="I136" s="7">
        <v>45771</v>
      </c>
      <c r="J136" s="8">
        <v>150</v>
      </c>
      <c r="K136" s="9">
        <v>45781</v>
      </c>
      <c r="L136" s="7"/>
      <c r="O136" s="43" t="s">
        <v>2619</v>
      </c>
      <c r="P136" s="23">
        <v>1</v>
      </c>
    </row>
    <row r="137" spans="1:16" ht="14.4" customHeight="1" x14ac:dyDescent="0.3">
      <c r="A137" s="5">
        <v>128</v>
      </c>
      <c r="B137" s="5" t="s">
        <v>336</v>
      </c>
      <c r="C137" s="5" t="s">
        <v>337</v>
      </c>
      <c r="D137" s="5" t="s">
        <v>68</v>
      </c>
      <c r="E137" s="5" t="s">
        <v>101</v>
      </c>
      <c r="F137" s="6">
        <v>57495193</v>
      </c>
      <c r="G137" s="5" t="s">
        <v>16</v>
      </c>
      <c r="H137" s="7">
        <v>45770</v>
      </c>
      <c r="I137" s="7">
        <v>45775</v>
      </c>
      <c r="J137" s="8">
        <v>150</v>
      </c>
      <c r="K137" s="9">
        <v>45781</v>
      </c>
      <c r="L137" s="7"/>
      <c r="O137" s="43" t="s">
        <v>204</v>
      </c>
      <c r="P137" s="23">
        <v>23</v>
      </c>
    </row>
    <row r="138" spans="1:16" ht="14.4" customHeight="1" x14ac:dyDescent="0.3">
      <c r="A138" s="5">
        <v>130</v>
      </c>
      <c r="B138" s="5" t="s">
        <v>349</v>
      </c>
      <c r="C138" s="5" t="s">
        <v>350</v>
      </c>
      <c r="D138" s="5" t="s">
        <v>26</v>
      </c>
      <c r="E138" s="5" t="s">
        <v>49</v>
      </c>
      <c r="F138" s="6">
        <v>54899559</v>
      </c>
      <c r="G138" s="5" t="s">
        <v>16</v>
      </c>
      <c r="H138" s="7">
        <v>45774</v>
      </c>
      <c r="I138" s="7">
        <v>45775</v>
      </c>
      <c r="J138" s="8">
        <v>150</v>
      </c>
      <c r="K138" s="9">
        <v>45781</v>
      </c>
      <c r="L138" s="7"/>
      <c r="O138" s="43" t="s">
        <v>1322</v>
      </c>
      <c r="P138" s="23">
        <v>3</v>
      </c>
    </row>
    <row r="139" spans="1:16" ht="14.4" customHeight="1" x14ac:dyDescent="0.3">
      <c r="A139" s="5">
        <v>131</v>
      </c>
      <c r="B139" s="5" t="s">
        <v>351</v>
      </c>
      <c r="C139" s="5" t="s">
        <v>352</v>
      </c>
      <c r="D139" s="5" t="s">
        <v>26</v>
      </c>
      <c r="E139" s="5" t="s">
        <v>74</v>
      </c>
      <c r="F139" s="6">
        <v>57624316</v>
      </c>
      <c r="G139" s="5" t="s">
        <v>16</v>
      </c>
      <c r="H139" s="7">
        <v>45774</v>
      </c>
      <c r="I139" s="7">
        <v>45775</v>
      </c>
      <c r="J139" s="8">
        <v>150</v>
      </c>
      <c r="K139" s="9">
        <v>45781</v>
      </c>
      <c r="L139" s="7"/>
      <c r="O139" s="43" t="s">
        <v>2010</v>
      </c>
      <c r="P139" s="23">
        <v>1</v>
      </c>
    </row>
    <row r="140" spans="1:16" ht="14.4" customHeight="1" x14ac:dyDescent="0.3">
      <c r="A140" s="5">
        <v>134</v>
      </c>
      <c r="B140" s="5" t="s">
        <v>358</v>
      </c>
      <c r="C140" s="5" t="s">
        <v>359</v>
      </c>
      <c r="D140" s="5" t="s">
        <v>14</v>
      </c>
      <c r="E140" s="5" t="s">
        <v>360</v>
      </c>
      <c r="F140" s="6">
        <v>57045624</v>
      </c>
      <c r="G140" s="5" t="s">
        <v>16</v>
      </c>
      <c r="H140" s="7">
        <v>45774</v>
      </c>
      <c r="I140" s="7">
        <v>45775</v>
      </c>
      <c r="J140" s="8">
        <v>150</v>
      </c>
      <c r="K140" s="9">
        <v>45781</v>
      </c>
      <c r="L140" s="7"/>
      <c r="O140" s="43" t="s">
        <v>1996</v>
      </c>
      <c r="P140" s="23">
        <v>1</v>
      </c>
    </row>
    <row r="141" spans="1:16" ht="14.4" customHeight="1" x14ac:dyDescent="0.3">
      <c r="A141" s="5">
        <v>135</v>
      </c>
      <c r="B141" s="5" t="s">
        <v>361</v>
      </c>
      <c r="C141" s="5" t="s">
        <v>362</v>
      </c>
      <c r="D141" s="5" t="s">
        <v>14</v>
      </c>
      <c r="E141" s="5" t="s">
        <v>360</v>
      </c>
      <c r="F141" s="6">
        <v>57550990</v>
      </c>
      <c r="G141" s="5" t="s">
        <v>16</v>
      </c>
      <c r="H141" s="7">
        <v>45774</v>
      </c>
      <c r="I141" s="7">
        <v>45775</v>
      </c>
      <c r="J141" s="8">
        <v>150</v>
      </c>
      <c r="K141" s="9">
        <v>45781</v>
      </c>
      <c r="L141" s="7"/>
      <c r="O141" s="43" t="s">
        <v>2945</v>
      </c>
      <c r="P141" s="23">
        <v>2</v>
      </c>
    </row>
    <row r="142" spans="1:16" ht="14.4" customHeight="1" x14ac:dyDescent="0.3">
      <c r="A142" s="5">
        <v>136</v>
      </c>
      <c r="B142" s="5" t="s">
        <v>363</v>
      </c>
      <c r="C142" s="5" t="s">
        <v>364</v>
      </c>
      <c r="D142" s="5" t="s">
        <v>22</v>
      </c>
      <c r="E142" s="5" t="s">
        <v>365</v>
      </c>
      <c r="F142" s="6">
        <v>58157009</v>
      </c>
      <c r="G142" s="5" t="s">
        <v>16</v>
      </c>
      <c r="H142" s="7">
        <v>45774</v>
      </c>
      <c r="I142" s="7">
        <v>45775</v>
      </c>
      <c r="J142" s="8">
        <v>150</v>
      </c>
      <c r="K142" s="9">
        <v>45781</v>
      </c>
      <c r="L142" s="7"/>
      <c r="O142" s="43" t="s">
        <v>2948</v>
      </c>
      <c r="P142" s="23">
        <v>1</v>
      </c>
    </row>
    <row r="143" spans="1:16" ht="14.4" customHeight="1" x14ac:dyDescent="0.3">
      <c r="A143" s="5">
        <v>137</v>
      </c>
      <c r="B143" s="5" t="s">
        <v>366</v>
      </c>
      <c r="C143" s="5" t="s">
        <v>367</v>
      </c>
      <c r="D143" s="5" t="s">
        <v>22</v>
      </c>
      <c r="E143" s="5" t="s">
        <v>368</v>
      </c>
      <c r="F143" s="6">
        <v>57760424</v>
      </c>
      <c r="G143" s="5" t="s">
        <v>16</v>
      </c>
      <c r="H143" s="7">
        <v>45774</v>
      </c>
      <c r="I143" s="7">
        <v>45775</v>
      </c>
      <c r="J143" s="8">
        <v>150</v>
      </c>
      <c r="K143" s="9">
        <v>45781</v>
      </c>
      <c r="L143" s="7"/>
      <c r="O143" s="43" t="s">
        <v>259</v>
      </c>
      <c r="P143" s="23">
        <v>24</v>
      </c>
    </row>
    <row r="144" spans="1:16" ht="14.4" customHeight="1" x14ac:dyDescent="0.3">
      <c r="A144" s="5">
        <v>138</v>
      </c>
      <c r="B144" s="5" t="s">
        <v>369</v>
      </c>
      <c r="C144" s="5" t="s">
        <v>370</v>
      </c>
      <c r="D144" s="5" t="s">
        <v>30</v>
      </c>
      <c r="E144" s="5" t="s">
        <v>344</v>
      </c>
      <c r="F144" s="6">
        <v>58275693</v>
      </c>
      <c r="G144" s="5" t="s">
        <v>16</v>
      </c>
      <c r="H144" s="7">
        <v>45774</v>
      </c>
      <c r="I144" s="7">
        <v>45775</v>
      </c>
      <c r="J144" s="8">
        <v>150</v>
      </c>
      <c r="K144" s="9">
        <v>45781</v>
      </c>
      <c r="L144" s="7"/>
      <c r="O144" s="43" t="s">
        <v>684</v>
      </c>
      <c r="P144" s="23">
        <v>1</v>
      </c>
    </row>
    <row r="145" spans="1:16" ht="14.4" customHeight="1" x14ac:dyDescent="0.3">
      <c r="A145" s="5">
        <v>139</v>
      </c>
      <c r="B145" s="5" t="s">
        <v>371</v>
      </c>
      <c r="C145" s="5" t="s">
        <v>372</v>
      </c>
      <c r="D145" s="5" t="s">
        <v>26</v>
      </c>
      <c r="E145" s="5" t="s">
        <v>27</v>
      </c>
      <c r="F145" s="6">
        <v>57743751</v>
      </c>
      <c r="G145" s="5" t="s">
        <v>16</v>
      </c>
      <c r="H145" s="7">
        <v>45774</v>
      </c>
      <c r="I145" s="7">
        <v>45775</v>
      </c>
      <c r="J145" s="8">
        <v>150</v>
      </c>
      <c r="K145" s="9">
        <v>45781</v>
      </c>
      <c r="L145" s="7"/>
      <c r="O145" s="43" t="s">
        <v>1116</v>
      </c>
      <c r="P145" s="23">
        <v>3</v>
      </c>
    </row>
    <row r="146" spans="1:16" ht="14.4" customHeight="1" x14ac:dyDescent="0.3">
      <c r="A146" s="5">
        <v>140</v>
      </c>
      <c r="B146" s="5" t="s">
        <v>373</v>
      </c>
      <c r="C146" s="5" t="s">
        <v>374</v>
      </c>
      <c r="D146" s="5" t="s">
        <v>30</v>
      </c>
      <c r="E146" s="5" t="s">
        <v>80</v>
      </c>
      <c r="F146" s="6">
        <v>59278610</v>
      </c>
      <c r="G146" s="5" t="s">
        <v>16</v>
      </c>
      <c r="H146" s="7">
        <v>45774</v>
      </c>
      <c r="I146" s="7">
        <v>45775</v>
      </c>
      <c r="J146" s="8">
        <v>150</v>
      </c>
      <c r="K146" s="9">
        <v>45781</v>
      </c>
      <c r="L146" s="7"/>
      <c r="O146" s="43" t="s">
        <v>717</v>
      </c>
      <c r="P146" s="23">
        <v>1</v>
      </c>
    </row>
    <row r="147" spans="1:16" ht="14.4" customHeight="1" x14ac:dyDescent="0.3">
      <c r="A147" s="5">
        <v>141</v>
      </c>
      <c r="B147" s="5" t="s">
        <v>375</v>
      </c>
      <c r="C147" s="5" t="s">
        <v>376</v>
      </c>
      <c r="D147" s="5" t="s">
        <v>30</v>
      </c>
      <c r="E147" s="5" t="s">
        <v>137</v>
      </c>
      <c r="F147" s="6">
        <v>57942963</v>
      </c>
      <c r="G147" s="5" t="s">
        <v>16</v>
      </c>
      <c r="H147" s="7">
        <v>45774</v>
      </c>
      <c r="I147" s="7">
        <v>45775</v>
      </c>
      <c r="J147" s="8">
        <v>150</v>
      </c>
      <c r="K147" s="9">
        <v>45781</v>
      </c>
      <c r="L147" s="7"/>
      <c r="O147" s="43" t="s">
        <v>211</v>
      </c>
      <c r="P147" s="23">
        <v>11</v>
      </c>
    </row>
    <row r="148" spans="1:16" ht="14.4" customHeight="1" x14ac:dyDescent="0.3">
      <c r="A148" s="5">
        <v>142</v>
      </c>
      <c r="B148" s="5" t="s">
        <v>377</v>
      </c>
      <c r="C148" s="5" t="s">
        <v>378</v>
      </c>
      <c r="D148" s="5" t="s">
        <v>83</v>
      </c>
      <c r="E148" s="5" t="s">
        <v>379</v>
      </c>
      <c r="F148" s="6">
        <v>58323473</v>
      </c>
      <c r="G148" s="5" t="s">
        <v>16</v>
      </c>
      <c r="H148" s="7">
        <v>45774</v>
      </c>
      <c r="I148" s="7">
        <v>45775</v>
      </c>
      <c r="J148" s="8">
        <v>150</v>
      </c>
      <c r="K148" s="9">
        <v>45781</v>
      </c>
      <c r="L148" s="7"/>
      <c r="O148" s="43" t="s">
        <v>2647</v>
      </c>
      <c r="P148" s="23">
        <v>1</v>
      </c>
    </row>
    <row r="149" spans="1:16" ht="14.4" customHeight="1" x14ac:dyDescent="0.3">
      <c r="A149" s="5">
        <v>143</v>
      </c>
      <c r="B149" s="5" t="s">
        <v>380</v>
      </c>
      <c r="C149" s="5" t="s">
        <v>381</v>
      </c>
      <c r="D149" s="5" t="s">
        <v>154</v>
      </c>
      <c r="E149" s="5" t="s">
        <v>262</v>
      </c>
      <c r="F149" s="6">
        <v>58172717</v>
      </c>
      <c r="G149" s="5" t="s">
        <v>16</v>
      </c>
      <c r="H149" s="7">
        <v>45774</v>
      </c>
      <c r="I149" s="7">
        <v>45775</v>
      </c>
      <c r="J149" s="8">
        <v>150</v>
      </c>
      <c r="K149" s="9">
        <v>45781</v>
      </c>
      <c r="L149" s="7"/>
      <c r="O149" s="43" t="s">
        <v>149</v>
      </c>
      <c r="P149" s="23">
        <v>24</v>
      </c>
    </row>
    <row r="150" spans="1:16" ht="14.4" customHeight="1" x14ac:dyDescent="0.3">
      <c r="A150" s="5">
        <v>144</v>
      </c>
      <c r="B150" s="5" t="s">
        <v>382</v>
      </c>
      <c r="C150" s="5" t="s">
        <v>383</v>
      </c>
      <c r="D150" s="5" t="s">
        <v>154</v>
      </c>
      <c r="E150" s="5" t="s">
        <v>384</v>
      </c>
      <c r="F150" s="6">
        <v>58251896</v>
      </c>
      <c r="G150" s="5" t="s">
        <v>16</v>
      </c>
      <c r="H150" s="7">
        <v>45774</v>
      </c>
      <c r="I150" s="7">
        <v>45775</v>
      </c>
      <c r="J150" s="8">
        <v>150</v>
      </c>
      <c r="K150" s="9">
        <v>45781</v>
      </c>
      <c r="L150" s="7"/>
      <c r="O150" s="43" t="s">
        <v>3326</v>
      </c>
      <c r="P150" s="23">
        <v>1</v>
      </c>
    </row>
    <row r="151" spans="1:16" ht="14.4" customHeight="1" x14ac:dyDescent="0.3">
      <c r="A151" s="5">
        <v>145</v>
      </c>
      <c r="B151" s="5" t="s">
        <v>385</v>
      </c>
      <c r="C151" s="5" t="s">
        <v>386</v>
      </c>
      <c r="D151" s="5" t="s">
        <v>22</v>
      </c>
      <c r="E151" s="5" t="s">
        <v>144</v>
      </c>
      <c r="F151" s="6">
        <v>54578490</v>
      </c>
      <c r="G151" s="5" t="s">
        <v>16</v>
      </c>
      <c r="H151" s="7">
        <v>45774</v>
      </c>
      <c r="I151" s="7">
        <v>45775</v>
      </c>
      <c r="J151" s="8">
        <v>150</v>
      </c>
      <c r="K151" s="9">
        <v>45781</v>
      </c>
      <c r="L151" s="7"/>
      <c r="O151" s="43" t="s">
        <v>1719</v>
      </c>
      <c r="P151" s="23">
        <v>1</v>
      </c>
    </row>
    <row r="152" spans="1:16" ht="14.4" customHeight="1" x14ac:dyDescent="0.3">
      <c r="A152" s="5">
        <v>146</v>
      </c>
      <c r="B152" s="5" t="s">
        <v>387</v>
      </c>
      <c r="C152" s="5" t="s">
        <v>388</v>
      </c>
      <c r="D152" s="5" t="s">
        <v>26</v>
      </c>
      <c r="E152" s="5" t="s">
        <v>49</v>
      </c>
      <c r="F152" s="6">
        <v>59314546</v>
      </c>
      <c r="G152" s="5" t="s">
        <v>16</v>
      </c>
      <c r="H152" s="7">
        <v>45774</v>
      </c>
      <c r="I152" s="7">
        <v>45775</v>
      </c>
      <c r="J152" s="8">
        <v>150</v>
      </c>
      <c r="K152" s="9">
        <v>45781</v>
      </c>
      <c r="L152" s="7"/>
      <c r="O152" s="43" t="s">
        <v>1660</v>
      </c>
      <c r="P152" s="23">
        <v>1</v>
      </c>
    </row>
    <row r="153" spans="1:16" ht="14.4" customHeight="1" x14ac:dyDescent="0.3">
      <c r="A153" s="5">
        <v>147</v>
      </c>
      <c r="B153" s="5" t="s">
        <v>389</v>
      </c>
      <c r="C153" s="5" t="s">
        <v>390</v>
      </c>
      <c r="D153" s="5" t="s">
        <v>83</v>
      </c>
      <c r="E153" s="5" t="s">
        <v>84</v>
      </c>
      <c r="F153" s="6">
        <v>57525551</v>
      </c>
      <c r="G153" s="5" t="s">
        <v>16</v>
      </c>
      <c r="H153" s="7">
        <v>45774</v>
      </c>
      <c r="I153" s="7">
        <v>45775</v>
      </c>
      <c r="J153" s="8">
        <v>150</v>
      </c>
      <c r="K153" s="9">
        <v>45781</v>
      </c>
      <c r="L153" s="7"/>
      <c r="O153" s="43" t="s">
        <v>3328</v>
      </c>
      <c r="P153" s="23">
        <v>1</v>
      </c>
    </row>
    <row r="154" spans="1:16" ht="14.4" customHeight="1" x14ac:dyDescent="0.3">
      <c r="A154" s="5">
        <v>148</v>
      </c>
      <c r="B154" s="5" t="s">
        <v>391</v>
      </c>
      <c r="C154" s="5" t="s">
        <v>392</v>
      </c>
      <c r="D154" s="5" t="s">
        <v>34</v>
      </c>
      <c r="E154" s="5" t="s">
        <v>41</v>
      </c>
      <c r="F154" s="6">
        <v>59186019</v>
      </c>
      <c r="G154" s="5" t="s">
        <v>16</v>
      </c>
      <c r="H154" s="7">
        <v>45774</v>
      </c>
      <c r="I154" s="7">
        <v>45775</v>
      </c>
      <c r="J154" s="8">
        <v>150</v>
      </c>
      <c r="K154" s="9">
        <v>45781</v>
      </c>
      <c r="L154" s="7"/>
      <c r="O154" s="43" t="s">
        <v>41</v>
      </c>
      <c r="P154" s="23">
        <v>29</v>
      </c>
    </row>
    <row r="155" spans="1:16" ht="14.4" customHeight="1" x14ac:dyDescent="0.3">
      <c r="A155" s="5">
        <v>149</v>
      </c>
      <c r="B155" s="5" t="s">
        <v>393</v>
      </c>
      <c r="C155" s="5" t="s">
        <v>394</v>
      </c>
      <c r="D155" s="5" t="s">
        <v>26</v>
      </c>
      <c r="E155" s="5" t="s">
        <v>27</v>
      </c>
      <c r="F155" s="6">
        <v>57771164</v>
      </c>
      <c r="G155" s="5" t="s">
        <v>16</v>
      </c>
      <c r="H155" s="7">
        <v>45774</v>
      </c>
      <c r="I155" s="7">
        <v>45775</v>
      </c>
      <c r="J155" s="8">
        <v>150</v>
      </c>
      <c r="K155" s="9">
        <v>45781</v>
      </c>
      <c r="L155" s="7"/>
      <c r="O155" s="43" t="s">
        <v>656</v>
      </c>
      <c r="P155" s="23">
        <v>2</v>
      </c>
    </row>
    <row r="156" spans="1:16" ht="14.4" customHeight="1" x14ac:dyDescent="0.3">
      <c r="A156" s="5">
        <v>150</v>
      </c>
      <c r="B156" s="5" t="s">
        <v>395</v>
      </c>
      <c r="C156" s="5" t="s">
        <v>396</v>
      </c>
      <c r="D156" s="5" t="s">
        <v>14</v>
      </c>
      <c r="E156" s="5" t="s">
        <v>397</v>
      </c>
      <c r="F156" s="6">
        <v>57825226</v>
      </c>
      <c r="G156" s="5" t="s">
        <v>16</v>
      </c>
      <c r="H156" s="7">
        <v>45774</v>
      </c>
      <c r="I156" s="7">
        <v>45775</v>
      </c>
      <c r="J156" s="8">
        <v>150</v>
      </c>
      <c r="K156" s="9">
        <v>45781</v>
      </c>
      <c r="L156" s="7"/>
      <c r="O156" s="43" t="s">
        <v>291</v>
      </c>
      <c r="P156" s="23">
        <v>26</v>
      </c>
    </row>
    <row r="157" spans="1:16" ht="14.4" customHeight="1" x14ac:dyDescent="0.3">
      <c r="A157" s="5">
        <v>151</v>
      </c>
      <c r="B157" s="5" t="s">
        <v>398</v>
      </c>
      <c r="C157" s="5" t="s">
        <v>399</v>
      </c>
      <c r="D157" s="5" t="s">
        <v>154</v>
      </c>
      <c r="E157" s="5" t="s">
        <v>262</v>
      </c>
      <c r="F157" s="6">
        <v>57067565</v>
      </c>
      <c r="G157" s="5" t="s">
        <v>16</v>
      </c>
      <c r="H157" s="7">
        <v>45774</v>
      </c>
      <c r="I157" s="7">
        <v>45775</v>
      </c>
      <c r="J157" s="8">
        <v>150</v>
      </c>
      <c r="K157" s="9">
        <v>45781</v>
      </c>
      <c r="L157" s="7"/>
      <c r="O157" s="43" t="s">
        <v>1568</v>
      </c>
      <c r="P157" s="23">
        <v>1</v>
      </c>
    </row>
    <row r="158" spans="1:16" ht="14.4" customHeight="1" x14ac:dyDescent="0.3">
      <c r="A158" s="5">
        <v>152</v>
      </c>
      <c r="B158" s="5" t="s">
        <v>400</v>
      </c>
      <c r="C158" s="5" t="s">
        <v>401</v>
      </c>
      <c r="D158" s="5" t="s">
        <v>116</v>
      </c>
      <c r="E158" s="5" t="s">
        <v>402</v>
      </c>
      <c r="F158" s="6">
        <v>59718556</v>
      </c>
      <c r="G158" s="5" t="s">
        <v>16</v>
      </c>
      <c r="H158" s="7">
        <v>45774</v>
      </c>
      <c r="I158" s="7">
        <v>45775</v>
      </c>
      <c r="J158" s="8">
        <v>150</v>
      </c>
      <c r="K158" s="9">
        <v>45781</v>
      </c>
      <c r="L158" s="7"/>
      <c r="O158" s="43" t="s">
        <v>2463</v>
      </c>
      <c r="P158" s="23">
        <v>2</v>
      </c>
    </row>
    <row r="159" spans="1:16" ht="14.4" customHeight="1" x14ac:dyDescent="0.3">
      <c r="A159" s="5">
        <v>153</v>
      </c>
      <c r="B159" s="5" t="s">
        <v>182</v>
      </c>
      <c r="C159" s="5" t="s">
        <v>403</v>
      </c>
      <c r="D159" s="5" t="s">
        <v>22</v>
      </c>
      <c r="E159" s="5" t="s">
        <v>23</v>
      </c>
      <c r="F159" s="6">
        <v>57819412</v>
      </c>
      <c r="G159" s="5" t="s">
        <v>16</v>
      </c>
      <c r="H159" s="7">
        <v>45774</v>
      </c>
      <c r="I159" s="7">
        <v>45775</v>
      </c>
      <c r="J159" s="8">
        <v>150</v>
      </c>
      <c r="K159" s="9">
        <v>45781</v>
      </c>
      <c r="L159" s="7"/>
      <c r="O159" s="43" t="s">
        <v>74</v>
      </c>
      <c r="P159" s="23">
        <v>48</v>
      </c>
    </row>
    <row r="160" spans="1:16" ht="14.4" customHeight="1" x14ac:dyDescent="0.3">
      <c r="A160" s="5">
        <v>155</v>
      </c>
      <c r="B160" s="5" t="s">
        <v>406</v>
      </c>
      <c r="C160" s="5" t="s">
        <v>407</v>
      </c>
      <c r="D160" s="5" t="s">
        <v>22</v>
      </c>
      <c r="E160" s="5" t="s">
        <v>368</v>
      </c>
      <c r="F160" s="6">
        <v>52516583</v>
      </c>
      <c r="G160" s="5" t="s">
        <v>16</v>
      </c>
      <c r="H160" s="7">
        <v>45774</v>
      </c>
      <c r="I160" s="7">
        <v>45775</v>
      </c>
      <c r="J160" s="8">
        <v>150</v>
      </c>
      <c r="K160" s="9">
        <v>45781</v>
      </c>
      <c r="L160" s="7"/>
      <c r="O160" s="43" t="s">
        <v>804</v>
      </c>
      <c r="P160" s="23">
        <v>3</v>
      </c>
    </row>
    <row r="161" spans="1:16" ht="14.4" customHeight="1" x14ac:dyDescent="0.3">
      <c r="A161" s="5">
        <v>156</v>
      </c>
      <c r="B161" s="5" t="s">
        <v>408</v>
      </c>
      <c r="C161" s="5" t="s">
        <v>409</v>
      </c>
      <c r="D161" s="5" t="s">
        <v>214</v>
      </c>
      <c r="E161" s="5" t="s">
        <v>1097</v>
      </c>
      <c r="F161" s="6">
        <v>58161684</v>
      </c>
      <c r="G161" s="5" t="s">
        <v>16</v>
      </c>
      <c r="H161" s="7">
        <v>45774</v>
      </c>
      <c r="I161" s="7">
        <v>45775</v>
      </c>
      <c r="J161" s="8">
        <v>150</v>
      </c>
      <c r="K161" s="9">
        <v>45781</v>
      </c>
      <c r="L161" s="7"/>
      <c r="O161" s="43" t="s">
        <v>1315</v>
      </c>
      <c r="P161" s="23">
        <v>4</v>
      </c>
    </row>
    <row r="162" spans="1:16" ht="14.4" customHeight="1" x14ac:dyDescent="0.3">
      <c r="A162" s="5">
        <v>157</v>
      </c>
      <c r="B162" s="5" t="s">
        <v>410</v>
      </c>
      <c r="C162" s="5" t="s">
        <v>411</v>
      </c>
      <c r="D162" s="5" t="s">
        <v>83</v>
      </c>
      <c r="E162" s="5" t="s">
        <v>84</v>
      </c>
      <c r="F162" s="6">
        <v>57556989</v>
      </c>
      <c r="G162" s="5" t="s">
        <v>16</v>
      </c>
      <c r="H162" s="7">
        <v>45774</v>
      </c>
      <c r="I162" s="7">
        <v>45775</v>
      </c>
      <c r="J162" s="8">
        <v>150</v>
      </c>
      <c r="K162" s="9">
        <v>45781</v>
      </c>
      <c r="L162" s="7"/>
      <c r="O162" s="43" t="s">
        <v>155</v>
      </c>
      <c r="P162" s="23">
        <v>24</v>
      </c>
    </row>
    <row r="163" spans="1:16" ht="14.4" customHeight="1" x14ac:dyDescent="0.3">
      <c r="A163" s="5">
        <v>198</v>
      </c>
      <c r="B163" s="5" t="s">
        <v>109</v>
      </c>
      <c r="C163" s="5" t="s">
        <v>110</v>
      </c>
      <c r="D163" s="5" t="s">
        <v>26</v>
      </c>
      <c r="E163" s="5" t="s">
        <v>111</v>
      </c>
      <c r="F163" s="6">
        <v>57954180</v>
      </c>
      <c r="G163" s="5" t="s">
        <v>1024</v>
      </c>
      <c r="H163" s="7">
        <v>45774</v>
      </c>
      <c r="I163" s="7">
        <v>45775</v>
      </c>
      <c r="J163" s="8">
        <v>150</v>
      </c>
      <c r="K163" s="9">
        <v>45781</v>
      </c>
      <c r="L163" s="7"/>
      <c r="O163" s="43" t="s">
        <v>38</v>
      </c>
      <c r="P163" s="23">
        <v>5</v>
      </c>
    </row>
    <row r="164" spans="1:16" ht="14.4" customHeight="1" x14ac:dyDescent="0.3">
      <c r="A164" s="5">
        <v>203</v>
      </c>
      <c r="B164" s="5" t="s">
        <v>342</v>
      </c>
      <c r="C164" s="5" t="s">
        <v>343</v>
      </c>
      <c r="D164" s="5" t="s">
        <v>30</v>
      </c>
      <c r="E164" s="5" t="s">
        <v>344</v>
      </c>
      <c r="F164" s="6">
        <v>52526373</v>
      </c>
      <c r="G164" s="5" t="s">
        <v>1024</v>
      </c>
      <c r="H164" s="7">
        <v>45774</v>
      </c>
      <c r="I164" s="7">
        <v>45775</v>
      </c>
      <c r="J164" s="8">
        <v>150</v>
      </c>
      <c r="K164" s="9">
        <v>45781</v>
      </c>
      <c r="L164" s="7"/>
      <c r="O164" s="43" t="s">
        <v>1797</v>
      </c>
      <c r="P164" s="23">
        <v>5</v>
      </c>
    </row>
    <row r="165" spans="1:16" ht="14.4" customHeight="1" x14ac:dyDescent="0.3">
      <c r="A165" s="5">
        <v>132</v>
      </c>
      <c r="B165" s="5" t="s">
        <v>353</v>
      </c>
      <c r="C165" s="5" t="s">
        <v>354</v>
      </c>
      <c r="D165" s="5" t="s">
        <v>14</v>
      </c>
      <c r="E165" s="5" t="s">
        <v>211</v>
      </c>
      <c r="F165" s="6">
        <v>59125096</v>
      </c>
      <c r="G165" s="5" t="s">
        <v>16</v>
      </c>
      <c r="H165" s="7">
        <v>45774</v>
      </c>
      <c r="I165" s="7">
        <v>45777</v>
      </c>
      <c r="J165" s="8">
        <v>150</v>
      </c>
      <c r="K165" s="9">
        <v>45781</v>
      </c>
      <c r="L165" s="7"/>
      <c r="O165" s="43" t="s">
        <v>743</v>
      </c>
      <c r="P165" s="23">
        <v>5</v>
      </c>
    </row>
    <row r="166" spans="1:16" ht="14.4" customHeight="1" x14ac:dyDescent="0.3">
      <c r="A166" s="5">
        <v>133</v>
      </c>
      <c r="B166" s="5" t="s">
        <v>355</v>
      </c>
      <c r="C166" s="5" t="s">
        <v>356</v>
      </c>
      <c r="D166" s="5" t="s">
        <v>14</v>
      </c>
      <c r="E166" s="5" t="s">
        <v>357</v>
      </c>
      <c r="F166" s="6">
        <v>58229872</v>
      </c>
      <c r="G166" s="5" t="s">
        <v>16</v>
      </c>
      <c r="H166" s="7">
        <v>45774</v>
      </c>
      <c r="I166" s="7">
        <v>45777</v>
      </c>
      <c r="J166" s="8">
        <v>150</v>
      </c>
      <c r="K166" s="9">
        <v>45781</v>
      </c>
      <c r="L166" s="7"/>
      <c r="O166" s="43" t="s">
        <v>442</v>
      </c>
      <c r="P166" s="23">
        <v>5</v>
      </c>
    </row>
    <row r="167" spans="1:16" ht="14.4" customHeight="1" x14ac:dyDescent="0.3">
      <c r="A167" s="5">
        <v>158</v>
      </c>
      <c r="B167" s="5" t="s">
        <v>418</v>
      </c>
      <c r="C167" s="5" t="s">
        <v>419</v>
      </c>
      <c r="D167" s="5" t="s">
        <v>14</v>
      </c>
      <c r="E167" s="5" t="s">
        <v>155</v>
      </c>
      <c r="F167" s="6">
        <v>58245547</v>
      </c>
      <c r="G167" s="5" t="s">
        <v>16</v>
      </c>
      <c r="H167" s="7">
        <v>45776</v>
      </c>
      <c r="I167" s="7">
        <v>45777</v>
      </c>
      <c r="J167" s="8">
        <v>150</v>
      </c>
      <c r="K167" s="9">
        <v>45781</v>
      </c>
      <c r="L167" s="7"/>
      <c r="O167" s="43" t="s">
        <v>84</v>
      </c>
      <c r="P167" s="23">
        <v>118</v>
      </c>
    </row>
    <row r="168" spans="1:16" ht="14.4" customHeight="1" x14ac:dyDescent="0.3">
      <c r="A168" s="5">
        <v>159</v>
      </c>
      <c r="B168" s="5" t="s">
        <v>420</v>
      </c>
      <c r="C168" s="5" t="s">
        <v>421</v>
      </c>
      <c r="D168" s="5" t="s">
        <v>2941</v>
      </c>
      <c r="E168" s="5" t="s">
        <v>2941</v>
      </c>
      <c r="F168" s="6">
        <v>59894198</v>
      </c>
      <c r="G168" s="5" t="s">
        <v>16</v>
      </c>
      <c r="H168" s="7">
        <v>45776</v>
      </c>
      <c r="I168" s="7">
        <v>45777</v>
      </c>
      <c r="J168" s="8">
        <v>150</v>
      </c>
      <c r="K168" s="9">
        <v>45781</v>
      </c>
      <c r="L168" s="7"/>
      <c r="O168" s="43" t="s">
        <v>3032</v>
      </c>
      <c r="P168" s="23">
        <v>1</v>
      </c>
    </row>
    <row r="169" spans="1:16" ht="14.4" customHeight="1" x14ac:dyDescent="0.3">
      <c r="A169" s="5">
        <v>160</v>
      </c>
      <c r="B169" s="5" t="s">
        <v>422</v>
      </c>
      <c r="C169" s="5" t="s">
        <v>423</v>
      </c>
      <c r="D169" s="5" t="s">
        <v>14</v>
      </c>
      <c r="E169" s="5" t="s">
        <v>2941</v>
      </c>
      <c r="F169" s="6">
        <v>59892015</v>
      </c>
      <c r="G169" s="5" t="s">
        <v>16</v>
      </c>
      <c r="H169" s="7">
        <v>45776</v>
      </c>
      <c r="I169" s="7">
        <v>45777</v>
      </c>
      <c r="J169" s="8">
        <v>150</v>
      </c>
      <c r="K169" s="9">
        <v>45781</v>
      </c>
      <c r="L169" s="7"/>
      <c r="O169" s="43" t="s">
        <v>712</v>
      </c>
      <c r="P169" s="23">
        <v>1</v>
      </c>
    </row>
    <row r="170" spans="1:16" ht="14.4" customHeight="1" x14ac:dyDescent="0.3">
      <c r="A170" s="5">
        <v>163</v>
      </c>
      <c r="B170" s="5" t="s">
        <v>424</v>
      </c>
      <c r="C170" s="5" t="s">
        <v>425</v>
      </c>
      <c r="D170" s="5" t="s">
        <v>19</v>
      </c>
      <c r="E170" s="5" t="s">
        <v>19</v>
      </c>
      <c r="F170" s="6">
        <v>58290737</v>
      </c>
      <c r="G170" s="5" t="s">
        <v>16</v>
      </c>
      <c r="H170" s="7">
        <v>45776</v>
      </c>
      <c r="I170" s="7">
        <v>45777</v>
      </c>
      <c r="J170" s="8">
        <v>150</v>
      </c>
      <c r="K170" s="9">
        <v>45781</v>
      </c>
      <c r="L170" s="7"/>
      <c r="O170" s="43" t="s">
        <v>2746</v>
      </c>
      <c r="P170" s="23">
        <v>2</v>
      </c>
    </row>
    <row r="171" spans="1:16" ht="14.4" customHeight="1" x14ac:dyDescent="0.3">
      <c r="A171" s="5">
        <v>164</v>
      </c>
      <c r="B171" s="5" t="s">
        <v>427</v>
      </c>
      <c r="C171" s="5" t="s">
        <v>428</v>
      </c>
      <c r="D171" s="5" t="s">
        <v>137</v>
      </c>
      <c r="E171" s="5" t="s">
        <v>384</v>
      </c>
      <c r="F171" s="6">
        <v>58269525</v>
      </c>
      <c r="G171" s="5" t="s">
        <v>16</v>
      </c>
      <c r="H171" s="7">
        <v>45776</v>
      </c>
      <c r="I171" s="7">
        <v>45777</v>
      </c>
      <c r="J171" s="8">
        <v>150</v>
      </c>
      <c r="K171" s="9">
        <v>45781</v>
      </c>
      <c r="L171" s="7"/>
      <c r="O171" s="43" t="s">
        <v>2367</v>
      </c>
      <c r="P171" s="23">
        <v>3</v>
      </c>
    </row>
    <row r="172" spans="1:16" ht="14.4" customHeight="1" x14ac:dyDescent="0.3">
      <c r="A172" s="5">
        <v>211</v>
      </c>
      <c r="B172" s="5" t="s">
        <v>510</v>
      </c>
      <c r="C172" s="5" t="s">
        <v>325</v>
      </c>
      <c r="D172" s="5" t="s">
        <v>14</v>
      </c>
      <c r="E172" s="5" t="s">
        <v>211</v>
      </c>
      <c r="F172" s="6">
        <v>58150318</v>
      </c>
      <c r="G172" s="5" t="s">
        <v>1024</v>
      </c>
      <c r="H172" s="7">
        <v>45776</v>
      </c>
      <c r="I172" s="7">
        <v>45777</v>
      </c>
      <c r="J172" s="8">
        <v>150</v>
      </c>
      <c r="K172" s="9">
        <v>45781</v>
      </c>
      <c r="L172" s="7"/>
      <c r="O172" s="43" t="s">
        <v>3333</v>
      </c>
      <c r="P172" s="23">
        <v>2</v>
      </c>
    </row>
    <row r="173" spans="1:16" ht="14.4" customHeight="1" x14ac:dyDescent="0.3">
      <c r="A173" s="5">
        <v>154</v>
      </c>
      <c r="B173" s="5" t="s">
        <v>404</v>
      </c>
      <c r="C173" s="5" t="s">
        <v>405</v>
      </c>
      <c r="D173" s="5" t="s">
        <v>26</v>
      </c>
      <c r="E173" s="5" t="s">
        <v>63</v>
      </c>
      <c r="F173" s="6">
        <v>58115988</v>
      </c>
      <c r="G173" s="5" t="s">
        <v>16</v>
      </c>
      <c r="H173" s="7">
        <v>45774</v>
      </c>
      <c r="I173" s="7">
        <v>45778</v>
      </c>
      <c r="J173" s="8">
        <v>150</v>
      </c>
      <c r="K173" s="9">
        <v>45781</v>
      </c>
      <c r="L173" s="7"/>
      <c r="O173" s="43" t="s">
        <v>27</v>
      </c>
      <c r="P173" s="23">
        <v>22</v>
      </c>
    </row>
    <row r="174" spans="1:16" ht="14.4" customHeight="1" x14ac:dyDescent="0.3">
      <c r="A174" s="5">
        <v>161</v>
      </c>
      <c r="B174" s="5" t="s">
        <v>412</v>
      </c>
      <c r="C174" s="5" t="s">
        <v>413</v>
      </c>
      <c r="D174" s="5" t="s">
        <v>22</v>
      </c>
      <c r="E174" s="5" t="s">
        <v>1757</v>
      </c>
      <c r="F174" s="6">
        <v>57525609</v>
      </c>
      <c r="G174" s="5" t="s">
        <v>16</v>
      </c>
      <c r="H174" s="7">
        <v>45774</v>
      </c>
      <c r="I174" s="7">
        <v>45778</v>
      </c>
      <c r="J174" s="8">
        <v>150</v>
      </c>
      <c r="K174" s="9">
        <v>45781</v>
      </c>
      <c r="L174" s="7"/>
      <c r="O174" s="43" t="s">
        <v>69</v>
      </c>
      <c r="P174" s="23">
        <v>62</v>
      </c>
    </row>
    <row r="175" spans="1:16" ht="14.4" customHeight="1" x14ac:dyDescent="0.3">
      <c r="A175" s="5">
        <v>162</v>
      </c>
      <c r="B175" s="5" t="s">
        <v>415</v>
      </c>
      <c r="C175" s="5" t="s">
        <v>25</v>
      </c>
      <c r="D175" s="5" t="s">
        <v>26</v>
      </c>
      <c r="E175" s="5" t="s">
        <v>27</v>
      </c>
      <c r="F175" s="6">
        <v>57144639</v>
      </c>
      <c r="G175" s="5" t="s">
        <v>16</v>
      </c>
      <c r="H175" s="7">
        <v>45774</v>
      </c>
      <c r="I175" s="7">
        <v>45778</v>
      </c>
      <c r="J175" s="8">
        <v>150</v>
      </c>
      <c r="K175" s="9">
        <v>45781</v>
      </c>
      <c r="L175" s="7"/>
      <c r="O175" s="43" t="s">
        <v>720</v>
      </c>
      <c r="P175" s="23">
        <v>4</v>
      </c>
    </row>
    <row r="176" spans="1:16" ht="14.4" customHeight="1" x14ac:dyDescent="0.3">
      <c r="A176" s="5">
        <v>168</v>
      </c>
      <c r="B176" s="5" t="s">
        <v>416</v>
      </c>
      <c r="C176" s="5" t="s">
        <v>417</v>
      </c>
      <c r="D176" s="5" t="s">
        <v>26</v>
      </c>
      <c r="E176" s="5" t="s">
        <v>268</v>
      </c>
      <c r="F176" s="6">
        <v>57244070</v>
      </c>
      <c r="G176" s="5" t="s">
        <v>1024</v>
      </c>
      <c r="H176" s="7">
        <v>45774</v>
      </c>
      <c r="I176" s="7">
        <v>45778</v>
      </c>
      <c r="J176" s="8">
        <v>150</v>
      </c>
      <c r="K176" s="9">
        <v>45781</v>
      </c>
      <c r="L176" s="7"/>
      <c r="O176" s="43" t="s">
        <v>3250</v>
      </c>
      <c r="P176" s="23">
        <v>1</v>
      </c>
    </row>
    <row r="177" spans="1:16" ht="14.4" customHeight="1" x14ac:dyDescent="0.3">
      <c r="A177" s="5">
        <v>171</v>
      </c>
      <c r="B177" s="5" t="s">
        <v>429</v>
      </c>
      <c r="C177" s="5" t="s">
        <v>430</v>
      </c>
      <c r="D177" s="5" t="s">
        <v>14</v>
      </c>
      <c r="E177" s="5" t="s">
        <v>431</v>
      </c>
      <c r="F177" s="6">
        <v>58164806</v>
      </c>
      <c r="G177" s="5" t="s">
        <v>16</v>
      </c>
      <c r="H177" s="7">
        <v>45776</v>
      </c>
      <c r="I177" s="7">
        <v>45778</v>
      </c>
      <c r="J177" s="8">
        <v>150</v>
      </c>
      <c r="K177" s="9">
        <v>45781</v>
      </c>
      <c r="L177" s="7"/>
      <c r="O177" s="43" t="s">
        <v>111</v>
      </c>
      <c r="P177" s="23">
        <v>8</v>
      </c>
    </row>
    <row r="178" spans="1:16" ht="14.4" customHeight="1" x14ac:dyDescent="0.3">
      <c r="A178" s="5">
        <v>172</v>
      </c>
      <c r="B178" s="5" t="s">
        <v>432</v>
      </c>
      <c r="C178" s="5" t="s">
        <v>433</v>
      </c>
      <c r="D178" s="5" t="s">
        <v>22</v>
      </c>
      <c r="E178" s="5" t="s">
        <v>305</v>
      </c>
      <c r="F178" s="6">
        <v>54873998</v>
      </c>
      <c r="G178" s="5" t="s">
        <v>16</v>
      </c>
      <c r="H178" s="7">
        <v>45776</v>
      </c>
      <c r="I178" s="7">
        <v>45778</v>
      </c>
      <c r="J178" s="8">
        <v>150</v>
      </c>
      <c r="K178" s="9">
        <v>45781</v>
      </c>
      <c r="L178" s="7"/>
      <c r="O178" s="43" t="s">
        <v>1051</v>
      </c>
      <c r="P178" s="23">
        <v>1</v>
      </c>
    </row>
    <row r="179" spans="1:16" ht="14.4" customHeight="1" x14ac:dyDescent="0.3">
      <c r="A179" s="5">
        <v>175</v>
      </c>
      <c r="B179" s="5" t="s">
        <v>436</v>
      </c>
      <c r="C179" s="5" t="s">
        <v>437</v>
      </c>
      <c r="D179" s="5" t="s">
        <v>22</v>
      </c>
      <c r="E179" s="5" t="s">
        <v>276</v>
      </c>
      <c r="F179" s="6">
        <v>59470674</v>
      </c>
      <c r="G179" s="5" t="s">
        <v>16</v>
      </c>
      <c r="H179" s="7">
        <v>45776</v>
      </c>
      <c r="I179" s="7">
        <v>45778</v>
      </c>
      <c r="J179" s="8">
        <v>150</v>
      </c>
      <c r="K179" s="9">
        <v>45781</v>
      </c>
      <c r="L179" s="7"/>
      <c r="O179" s="43" t="s">
        <v>1700</v>
      </c>
      <c r="P179" s="23">
        <v>2</v>
      </c>
    </row>
    <row r="180" spans="1:16" ht="14.4" customHeight="1" x14ac:dyDescent="0.3">
      <c r="A180" s="5">
        <v>176</v>
      </c>
      <c r="B180" s="5" t="s">
        <v>438</v>
      </c>
      <c r="C180" s="5" t="s">
        <v>439</v>
      </c>
      <c r="D180" s="5" t="s">
        <v>26</v>
      </c>
      <c r="E180" s="5" t="s">
        <v>49</v>
      </c>
      <c r="F180" s="6">
        <v>57836894</v>
      </c>
      <c r="G180" s="5" t="s">
        <v>16</v>
      </c>
      <c r="H180" s="7">
        <v>45776</v>
      </c>
      <c r="I180" s="7">
        <v>45778</v>
      </c>
      <c r="J180" s="8">
        <v>150</v>
      </c>
      <c r="K180" s="9">
        <v>45781</v>
      </c>
      <c r="L180" s="7"/>
      <c r="O180" s="43" t="s">
        <v>1637</v>
      </c>
      <c r="P180" s="23">
        <v>2</v>
      </c>
    </row>
    <row r="181" spans="1:16" ht="14.4" customHeight="1" x14ac:dyDescent="0.3">
      <c r="A181" s="5">
        <v>177</v>
      </c>
      <c r="B181" s="5" t="s">
        <v>440</v>
      </c>
      <c r="C181" s="5" t="s">
        <v>441</v>
      </c>
      <c r="D181" s="5" t="s">
        <v>214</v>
      </c>
      <c r="E181" s="5" t="s">
        <v>442</v>
      </c>
      <c r="F181" s="6">
        <v>54932287</v>
      </c>
      <c r="G181" s="5" t="s">
        <v>16</v>
      </c>
      <c r="H181" s="7">
        <v>45776</v>
      </c>
      <c r="I181" s="7">
        <v>45778</v>
      </c>
      <c r="J181" s="8">
        <v>150</v>
      </c>
      <c r="K181" s="9">
        <v>45781</v>
      </c>
      <c r="L181" s="7"/>
      <c r="O181" s="43" t="s">
        <v>2943</v>
      </c>
      <c r="P181" s="23">
        <v>1</v>
      </c>
    </row>
    <row r="182" spans="1:16" ht="14.4" customHeight="1" x14ac:dyDescent="0.3">
      <c r="A182" s="5">
        <v>178</v>
      </c>
      <c r="B182" s="5" t="s">
        <v>443</v>
      </c>
      <c r="C182" s="5" t="s">
        <v>444</v>
      </c>
      <c r="D182" s="5" t="s">
        <v>26</v>
      </c>
      <c r="E182" s="5" t="s">
        <v>49</v>
      </c>
      <c r="F182" s="6">
        <v>59778727</v>
      </c>
      <c r="G182" s="5" t="s">
        <v>16</v>
      </c>
      <c r="H182" s="7">
        <v>45776</v>
      </c>
      <c r="I182" s="7">
        <v>45778</v>
      </c>
      <c r="J182" s="8">
        <v>150</v>
      </c>
      <c r="K182" s="9">
        <v>45781</v>
      </c>
      <c r="L182" s="7"/>
      <c r="O182" s="43" t="s">
        <v>3336</v>
      </c>
      <c r="P182" s="23">
        <v>1</v>
      </c>
    </row>
    <row r="183" spans="1:16" ht="14.4" customHeight="1" x14ac:dyDescent="0.3">
      <c r="A183" s="5">
        <v>180</v>
      </c>
      <c r="B183" s="5" t="s">
        <v>445</v>
      </c>
      <c r="C183" s="5" t="s">
        <v>446</v>
      </c>
      <c r="D183" s="5" t="s">
        <v>14</v>
      </c>
      <c r="E183" s="5" t="s">
        <v>447</v>
      </c>
      <c r="F183" s="6">
        <v>58321701</v>
      </c>
      <c r="G183" s="5" t="s">
        <v>16</v>
      </c>
      <c r="H183" s="7">
        <v>45776</v>
      </c>
      <c r="I183" s="7">
        <v>45778</v>
      </c>
      <c r="J183" s="8">
        <v>150</v>
      </c>
      <c r="K183" s="9">
        <v>45781</v>
      </c>
      <c r="L183" s="7"/>
      <c r="O183" s="43" t="s">
        <v>3337</v>
      </c>
      <c r="P183" s="23">
        <v>2</v>
      </c>
    </row>
    <row r="184" spans="1:16" ht="14.4" customHeight="1" x14ac:dyDescent="0.3">
      <c r="A184" s="5">
        <v>181</v>
      </c>
      <c r="B184" s="5" t="s">
        <v>448</v>
      </c>
      <c r="C184" s="5" t="s">
        <v>449</v>
      </c>
      <c r="D184" s="5" t="s">
        <v>68</v>
      </c>
      <c r="E184" s="5" t="s">
        <v>69</v>
      </c>
      <c r="F184" s="6">
        <v>57850366</v>
      </c>
      <c r="G184" s="5" t="s">
        <v>16</v>
      </c>
      <c r="H184" s="7">
        <v>45776</v>
      </c>
      <c r="I184" s="7">
        <v>45778</v>
      </c>
      <c r="J184" s="8">
        <v>150</v>
      </c>
      <c r="K184" s="9">
        <v>45781</v>
      </c>
      <c r="L184" s="7"/>
      <c r="O184" s="43" t="s">
        <v>1993</v>
      </c>
      <c r="P184" s="23">
        <v>8</v>
      </c>
    </row>
    <row r="185" spans="1:16" ht="14.4" customHeight="1" x14ac:dyDescent="0.3">
      <c r="A185" s="5">
        <v>182</v>
      </c>
      <c r="B185" s="5" t="s">
        <v>450</v>
      </c>
      <c r="C185" s="5" t="s">
        <v>451</v>
      </c>
      <c r="D185" s="5" t="s">
        <v>22</v>
      </c>
      <c r="E185" s="5" t="s">
        <v>291</v>
      </c>
      <c r="F185" s="6">
        <v>58304221</v>
      </c>
      <c r="G185" s="5" t="s">
        <v>16</v>
      </c>
      <c r="H185" s="7">
        <v>45776</v>
      </c>
      <c r="I185" s="7">
        <v>45778</v>
      </c>
      <c r="J185" s="8">
        <v>150</v>
      </c>
      <c r="K185" s="9">
        <v>45781</v>
      </c>
      <c r="L185" s="7"/>
      <c r="O185" s="43" t="s">
        <v>1475</v>
      </c>
      <c r="P185" s="23">
        <v>2</v>
      </c>
    </row>
    <row r="186" spans="1:16" ht="14.4" customHeight="1" x14ac:dyDescent="0.3">
      <c r="A186" s="5">
        <v>183</v>
      </c>
      <c r="B186" s="5" t="s">
        <v>452</v>
      </c>
      <c r="C186" s="5" t="s">
        <v>453</v>
      </c>
      <c r="D186" s="5" t="s">
        <v>26</v>
      </c>
      <c r="E186" s="5" t="s">
        <v>49</v>
      </c>
      <c r="F186" s="6">
        <v>59068217</v>
      </c>
      <c r="G186" s="5" t="s">
        <v>16</v>
      </c>
      <c r="H186" s="7">
        <v>45776</v>
      </c>
      <c r="I186" s="7">
        <v>45778</v>
      </c>
      <c r="J186" s="8">
        <v>150</v>
      </c>
      <c r="K186" s="9">
        <v>45781</v>
      </c>
      <c r="L186" s="7"/>
      <c r="O186" s="43" t="s">
        <v>1515</v>
      </c>
      <c r="P186" s="23">
        <v>1</v>
      </c>
    </row>
    <row r="187" spans="1:16" ht="14.4" customHeight="1" x14ac:dyDescent="0.3">
      <c r="A187" s="5">
        <v>184</v>
      </c>
      <c r="B187" s="5" t="s">
        <v>454</v>
      </c>
      <c r="C187" s="5" t="s">
        <v>455</v>
      </c>
      <c r="D187" s="5" t="s">
        <v>26</v>
      </c>
      <c r="E187" s="5" t="s">
        <v>49</v>
      </c>
      <c r="F187" s="6">
        <v>52570110</v>
      </c>
      <c r="G187" s="5" t="s">
        <v>16</v>
      </c>
      <c r="H187" s="7">
        <v>45776</v>
      </c>
      <c r="I187" s="7">
        <v>45778</v>
      </c>
      <c r="J187" s="8">
        <v>150</v>
      </c>
      <c r="K187" s="9">
        <v>45781</v>
      </c>
      <c r="L187" s="7"/>
      <c r="O187" s="43" t="s">
        <v>1170</v>
      </c>
      <c r="P187" s="23">
        <v>15</v>
      </c>
    </row>
    <row r="188" spans="1:16" ht="14.4" customHeight="1" x14ac:dyDescent="0.3">
      <c r="A188" s="5">
        <v>185</v>
      </c>
      <c r="B188" s="5" t="s">
        <v>456</v>
      </c>
      <c r="C188" s="5" t="s">
        <v>457</v>
      </c>
      <c r="D188" s="5" t="s">
        <v>14</v>
      </c>
      <c r="E188" s="5" t="s">
        <v>458</v>
      </c>
      <c r="F188" s="6">
        <v>59188047</v>
      </c>
      <c r="G188" s="5" t="s">
        <v>16</v>
      </c>
      <c r="H188" s="7">
        <v>45776</v>
      </c>
      <c r="I188" s="7">
        <v>45778</v>
      </c>
      <c r="J188" s="8">
        <v>150</v>
      </c>
      <c r="K188" s="9">
        <v>45781</v>
      </c>
      <c r="L188" s="7"/>
      <c r="O188" s="43" t="s">
        <v>2665</v>
      </c>
      <c r="P188" s="23">
        <v>1</v>
      </c>
    </row>
    <row r="189" spans="1:16" ht="14.4" customHeight="1" x14ac:dyDescent="0.3">
      <c r="A189" s="5">
        <v>186</v>
      </c>
      <c r="B189" s="5" t="s">
        <v>459</v>
      </c>
      <c r="C189" s="5" t="s">
        <v>460</v>
      </c>
      <c r="D189" s="5" t="s">
        <v>68</v>
      </c>
      <c r="E189" s="5" t="s">
        <v>447</v>
      </c>
      <c r="F189" s="10" t="s">
        <v>461</v>
      </c>
      <c r="G189" s="5" t="s">
        <v>16</v>
      </c>
      <c r="H189" s="7">
        <v>45776</v>
      </c>
      <c r="I189" s="7">
        <v>45778</v>
      </c>
      <c r="J189" s="8">
        <v>150</v>
      </c>
      <c r="K189" s="9">
        <v>45781</v>
      </c>
      <c r="L189" s="7"/>
      <c r="O189" s="43" t="s">
        <v>3338</v>
      </c>
      <c r="P189" s="23">
        <v>1</v>
      </c>
    </row>
    <row r="190" spans="1:16" ht="14.4" customHeight="1" x14ac:dyDescent="0.3">
      <c r="A190" s="5">
        <v>187</v>
      </c>
      <c r="B190" s="5" t="s">
        <v>462</v>
      </c>
      <c r="C190" s="5" t="s">
        <v>463</v>
      </c>
      <c r="D190" s="5" t="s">
        <v>68</v>
      </c>
      <c r="E190" s="5" t="s">
        <v>101</v>
      </c>
      <c r="F190" s="6">
        <v>58098404</v>
      </c>
      <c r="G190" s="5" t="s">
        <v>16</v>
      </c>
      <c r="H190" s="7">
        <v>45776</v>
      </c>
      <c r="I190" s="7">
        <v>45778</v>
      </c>
      <c r="J190" s="8">
        <v>150</v>
      </c>
      <c r="K190" s="9">
        <v>45781</v>
      </c>
      <c r="L190" s="7"/>
      <c r="O190" s="43" t="s">
        <v>1415</v>
      </c>
      <c r="P190" s="23">
        <v>2</v>
      </c>
    </row>
    <row r="191" spans="1:16" ht="14.4" customHeight="1" x14ac:dyDescent="0.3">
      <c r="A191" s="5">
        <v>189</v>
      </c>
      <c r="B191" s="5" t="s">
        <v>467</v>
      </c>
      <c r="C191" s="5" t="s">
        <v>468</v>
      </c>
      <c r="D191" s="5" t="s">
        <v>84</v>
      </c>
      <c r="E191" s="5" t="s">
        <v>469</v>
      </c>
      <c r="F191" s="6">
        <v>54875885</v>
      </c>
      <c r="G191" s="5" t="s">
        <v>16</v>
      </c>
      <c r="H191" s="7">
        <v>45776</v>
      </c>
      <c r="I191" s="7">
        <v>45778</v>
      </c>
      <c r="J191" s="8">
        <v>150</v>
      </c>
      <c r="K191" s="9">
        <v>45781</v>
      </c>
      <c r="L191" s="7"/>
      <c r="O191" s="43" t="s">
        <v>469</v>
      </c>
      <c r="P191" s="23">
        <v>1</v>
      </c>
    </row>
    <row r="192" spans="1:16" ht="14.4" customHeight="1" x14ac:dyDescent="0.3">
      <c r="A192" s="5">
        <v>190</v>
      </c>
      <c r="B192" s="5" t="s">
        <v>470</v>
      </c>
      <c r="C192" s="5" t="s">
        <v>471</v>
      </c>
      <c r="D192" s="5" t="s">
        <v>26</v>
      </c>
      <c r="E192" s="5" t="s">
        <v>268</v>
      </c>
      <c r="F192" s="6">
        <v>59203631</v>
      </c>
      <c r="G192" s="5" t="s">
        <v>16</v>
      </c>
      <c r="H192" s="7">
        <v>45776</v>
      </c>
      <c r="I192" s="7">
        <v>45778</v>
      </c>
      <c r="J192" s="8">
        <v>150</v>
      </c>
      <c r="K192" s="9">
        <v>45781</v>
      </c>
      <c r="L192" s="7"/>
      <c r="O192" s="43" t="s">
        <v>494</v>
      </c>
      <c r="P192" s="23">
        <v>3</v>
      </c>
    </row>
    <row r="193" spans="1:16" ht="14.4" customHeight="1" x14ac:dyDescent="0.3">
      <c r="A193" s="5">
        <v>192</v>
      </c>
      <c r="B193" s="5" t="s">
        <v>473</v>
      </c>
      <c r="C193" s="5" t="s">
        <v>474</v>
      </c>
      <c r="D193" s="5" t="s">
        <v>475</v>
      </c>
      <c r="E193" s="5" t="s">
        <v>126</v>
      </c>
      <c r="F193" s="6">
        <v>58014817</v>
      </c>
      <c r="G193" s="5" t="s">
        <v>16</v>
      </c>
      <c r="H193" s="7">
        <v>45776</v>
      </c>
      <c r="I193" s="7">
        <v>45778</v>
      </c>
      <c r="J193" s="8">
        <v>150</v>
      </c>
      <c r="K193" s="9">
        <v>45781</v>
      </c>
      <c r="L193" s="7"/>
      <c r="O193" s="43" t="s">
        <v>161</v>
      </c>
      <c r="P193" s="23">
        <v>5</v>
      </c>
    </row>
    <row r="194" spans="1:16" ht="14.4" customHeight="1" x14ac:dyDescent="0.3">
      <c r="A194" s="5">
        <v>193</v>
      </c>
      <c r="B194" s="5" t="s">
        <v>476</v>
      </c>
      <c r="C194" s="5" t="s">
        <v>477</v>
      </c>
      <c r="D194" s="5" t="s">
        <v>84</v>
      </c>
      <c r="E194" s="5" t="s">
        <v>84</v>
      </c>
      <c r="F194" s="6">
        <v>58106092</v>
      </c>
      <c r="G194" s="5" t="s">
        <v>16</v>
      </c>
      <c r="H194" s="7">
        <v>45776</v>
      </c>
      <c r="I194" s="7">
        <v>45778</v>
      </c>
      <c r="J194" s="8">
        <v>150</v>
      </c>
      <c r="K194" s="9">
        <v>45781</v>
      </c>
      <c r="L194" s="7"/>
      <c r="O194" s="43" t="s">
        <v>31</v>
      </c>
      <c r="P194" s="23">
        <v>9</v>
      </c>
    </row>
    <row r="195" spans="1:16" ht="14.4" customHeight="1" x14ac:dyDescent="0.3">
      <c r="A195" s="5">
        <v>194</v>
      </c>
      <c r="B195" s="5" t="s">
        <v>478</v>
      </c>
      <c r="C195" s="5" t="s">
        <v>479</v>
      </c>
      <c r="D195" s="5" t="s">
        <v>68</v>
      </c>
      <c r="E195" s="5" t="s">
        <v>69</v>
      </c>
      <c r="F195" s="6">
        <v>59166177</v>
      </c>
      <c r="G195" s="5" t="s">
        <v>16</v>
      </c>
      <c r="H195" s="7">
        <v>45776</v>
      </c>
      <c r="I195" s="7">
        <v>45778</v>
      </c>
      <c r="J195" s="8">
        <v>150</v>
      </c>
      <c r="K195" s="9">
        <v>45781</v>
      </c>
      <c r="L195" s="7"/>
      <c r="O195" s="43" t="s">
        <v>826</v>
      </c>
      <c r="P195" s="23">
        <v>2</v>
      </c>
    </row>
    <row r="196" spans="1:16" ht="14.4" customHeight="1" x14ac:dyDescent="0.3">
      <c r="A196" s="5">
        <v>196</v>
      </c>
      <c r="B196" s="5" t="s">
        <v>482</v>
      </c>
      <c r="C196" s="5" t="s">
        <v>483</v>
      </c>
      <c r="D196" s="5" t="s">
        <v>26</v>
      </c>
      <c r="E196" s="5" t="s">
        <v>466</v>
      </c>
      <c r="F196" s="6">
        <v>59099852</v>
      </c>
      <c r="G196" s="5" t="s">
        <v>16</v>
      </c>
      <c r="H196" s="7">
        <v>45776</v>
      </c>
      <c r="I196" s="7">
        <v>45778</v>
      </c>
      <c r="J196" s="8">
        <v>150</v>
      </c>
      <c r="K196" s="9">
        <v>45781</v>
      </c>
      <c r="L196" s="7"/>
      <c r="O196" s="43" t="s">
        <v>634</v>
      </c>
      <c r="P196" s="23">
        <v>11</v>
      </c>
    </row>
    <row r="197" spans="1:16" ht="14.4" customHeight="1" x14ac:dyDescent="0.3">
      <c r="A197" s="5">
        <v>200</v>
      </c>
      <c r="B197" s="5" t="s">
        <v>489</v>
      </c>
      <c r="C197" s="5" t="s">
        <v>490</v>
      </c>
      <c r="D197" s="5" t="s">
        <v>14</v>
      </c>
      <c r="E197" s="5" t="s">
        <v>491</v>
      </c>
      <c r="F197" s="6">
        <v>55022798</v>
      </c>
      <c r="G197" s="5" t="s">
        <v>16</v>
      </c>
      <c r="H197" s="7">
        <v>45776</v>
      </c>
      <c r="I197" s="7">
        <v>45778</v>
      </c>
      <c r="J197" s="8">
        <v>150</v>
      </c>
      <c r="K197" s="9">
        <v>45781</v>
      </c>
      <c r="L197" s="7"/>
      <c r="O197" s="43" t="s">
        <v>101</v>
      </c>
      <c r="P197" s="23">
        <v>46</v>
      </c>
    </row>
    <row r="198" spans="1:16" ht="14.4" customHeight="1" x14ac:dyDescent="0.3">
      <c r="A198" s="5">
        <v>201</v>
      </c>
      <c r="B198" s="5" t="s">
        <v>492</v>
      </c>
      <c r="C198" s="5" t="s">
        <v>493</v>
      </c>
      <c r="D198" s="5" t="s">
        <v>84</v>
      </c>
      <c r="E198" s="5" t="s">
        <v>494</v>
      </c>
      <c r="F198" s="6">
        <v>57389210</v>
      </c>
      <c r="G198" s="5" t="s">
        <v>16</v>
      </c>
      <c r="H198" s="7">
        <v>45776</v>
      </c>
      <c r="I198" s="7">
        <v>45778</v>
      </c>
      <c r="J198" s="8">
        <v>150</v>
      </c>
      <c r="K198" s="9">
        <v>45781</v>
      </c>
      <c r="L198" s="7"/>
      <c r="O198" s="43" t="s">
        <v>1643</v>
      </c>
      <c r="P198" s="23">
        <v>2</v>
      </c>
    </row>
    <row r="199" spans="1:16" ht="14.4" customHeight="1" x14ac:dyDescent="0.3">
      <c r="A199" s="5">
        <v>205</v>
      </c>
      <c r="B199" s="5" t="s">
        <v>502</v>
      </c>
      <c r="C199" s="5" t="s">
        <v>503</v>
      </c>
      <c r="D199" s="5" t="s">
        <v>68</v>
      </c>
      <c r="E199" s="5" t="s">
        <v>74</v>
      </c>
      <c r="F199" s="6">
        <v>54952189</v>
      </c>
      <c r="G199" s="5" t="s">
        <v>16</v>
      </c>
      <c r="H199" s="7">
        <v>45776</v>
      </c>
      <c r="I199" s="7">
        <v>45778</v>
      </c>
      <c r="J199" s="8">
        <v>150</v>
      </c>
      <c r="K199" s="9">
        <v>45781</v>
      </c>
      <c r="L199" s="7"/>
      <c r="O199" s="43" t="s">
        <v>2012</v>
      </c>
      <c r="P199" s="23">
        <v>2</v>
      </c>
    </row>
    <row r="200" spans="1:16" ht="14.4" customHeight="1" x14ac:dyDescent="0.3">
      <c r="A200" s="5">
        <v>206</v>
      </c>
      <c r="B200" s="5" t="s">
        <v>504</v>
      </c>
      <c r="C200" s="5" t="s">
        <v>505</v>
      </c>
      <c r="D200" s="5" t="s">
        <v>22</v>
      </c>
      <c r="E200" s="5" t="s">
        <v>201</v>
      </c>
      <c r="F200" s="6">
        <v>57031259</v>
      </c>
      <c r="G200" s="5" t="s">
        <v>16</v>
      </c>
      <c r="H200" s="7">
        <v>45776</v>
      </c>
      <c r="I200" s="7">
        <v>45778</v>
      </c>
      <c r="J200" s="8">
        <v>150</v>
      </c>
      <c r="K200" s="9">
        <v>45781</v>
      </c>
      <c r="L200" s="7"/>
      <c r="O200" s="43" t="s">
        <v>3341</v>
      </c>
      <c r="P200" s="23">
        <v>2</v>
      </c>
    </row>
    <row r="201" spans="1:16" ht="14.4" customHeight="1" x14ac:dyDescent="0.3">
      <c r="A201" s="5">
        <v>207</v>
      </c>
      <c r="B201" s="5" t="s">
        <v>303</v>
      </c>
      <c r="C201" s="5" t="s">
        <v>304</v>
      </c>
      <c r="D201" s="5" t="s">
        <v>22</v>
      </c>
      <c r="E201" s="5" t="s">
        <v>305</v>
      </c>
      <c r="F201" s="6">
        <v>57326905</v>
      </c>
      <c r="G201" s="5" t="s">
        <v>16</v>
      </c>
      <c r="H201" s="7">
        <v>45776</v>
      </c>
      <c r="I201" s="7">
        <v>45778</v>
      </c>
      <c r="J201" s="8">
        <v>150</v>
      </c>
      <c r="K201" s="9">
        <v>45781</v>
      </c>
      <c r="L201" s="7"/>
      <c r="O201" s="43" t="s">
        <v>1107</v>
      </c>
      <c r="P201" s="23">
        <v>2</v>
      </c>
    </row>
    <row r="202" spans="1:16" ht="14.4" customHeight="1" x14ac:dyDescent="0.3">
      <c r="A202" s="5">
        <v>208</v>
      </c>
      <c r="B202" s="5" t="s">
        <v>506</v>
      </c>
      <c r="C202" s="5" t="s">
        <v>507</v>
      </c>
      <c r="D202" s="5" t="s">
        <v>84</v>
      </c>
      <c r="E202" s="5" t="s">
        <v>84</v>
      </c>
      <c r="F202" s="6">
        <v>59461866</v>
      </c>
      <c r="G202" s="5" t="s">
        <v>16</v>
      </c>
      <c r="H202" s="7">
        <v>45776</v>
      </c>
      <c r="I202" s="7">
        <v>45778</v>
      </c>
      <c r="J202" s="8">
        <v>150</v>
      </c>
      <c r="K202" s="9">
        <v>45781</v>
      </c>
      <c r="L202" s="7"/>
      <c r="O202" s="43" t="s">
        <v>3340</v>
      </c>
      <c r="P202" s="23">
        <v>1</v>
      </c>
    </row>
    <row r="203" spans="1:16" ht="14.4" customHeight="1" x14ac:dyDescent="0.3">
      <c r="A203" s="5">
        <v>209</v>
      </c>
      <c r="B203" s="5" t="s">
        <v>508</v>
      </c>
      <c r="C203" s="5" t="s">
        <v>509</v>
      </c>
      <c r="D203" s="5" t="s">
        <v>26</v>
      </c>
      <c r="E203" s="5" t="s">
        <v>63</v>
      </c>
      <c r="F203" s="6">
        <v>59067797</v>
      </c>
      <c r="G203" s="5" t="s">
        <v>16</v>
      </c>
      <c r="H203" s="7">
        <v>45776</v>
      </c>
      <c r="I203" s="7">
        <v>45778</v>
      </c>
      <c r="J203" s="8">
        <v>150</v>
      </c>
      <c r="K203" s="9">
        <v>45781</v>
      </c>
      <c r="L203" s="7"/>
      <c r="O203" s="43" t="s">
        <v>397</v>
      </c>
      <c r="P203" s="23">
        <v>1</v>
      </c>
    </row>
    <row r="204" spans="1:16" ht="14.4" customHeight="1" x14ac:dyDescent="0.3">
      <c r="A204" s="5">
        <v>212</v>
      </c>
      <c r="B204" s="5" t="s">
        <v>511</v>
      </c>
      <c r="C204" s="5" t="s">
        <v>512</v>
      </c>
      <c r="D204" s="5" t="s">
        <v>26</v>
      </c>
      <c r="E204" s="5" t="s">
        <v>27</v>
      </c>
      <c r="F204" s="6">
        <v>57967785</v>
      </c>
      <c r="G204" s="5" t="s">
        <v>1024</v>
      </c>
      <c r="H204" s="7">
        <v>45776</v>
      </c>
      <c r="I204" s="7">
        <v>45778</v>
      </c>
      <c r="J204" s="8">
        <v>150</v>
      </c>
      <c r="K204" s="9">
        <v>45781</v>
      </c>
      <c r="L204" s="7"/>
      <c r="O204" s="43" t="s">
        <v>1389</v>
      </c>
      <c r="P204" s="23">
        <v>1</v>
      </c>
    </row>
    <row r="205" spans="1:16" ht="14.4" customHeight="1" x14ac:dyDescent="0.3">
      <c r="A205" s="5">
        <v>213</v>
      </c>
      <c r="B205" s="5" t="s">
        <v>513</v>
      </c>
      <c r="C205" s="5" t="s">
        <v>514</v>
      </c>
      <c r="D205" s="5" t="s">
        <v>26</v>
      </c>
      <c r="E205" s="5" t="s">
        <v>63</v>
      </c>
      <c r="F205" s="6">
        <v>55039098</v>
      </c>
      <c r="G205" s="5" t="s">
        <v>1024</v>
      </c>
      <c r="H205" s="7">
        <v>45776</v>
      </c>
      <c r="I205" s="7">
        <v>45778</v>
      </c>
      <c r="J205" s="8">
        <v>150</v>
      </c>
      <c r="K205" s="9">
        <v>45781</v>
      </c>
      <c r="L205" s="7"/>
      <c r="O205" s="43" t="s">
        <v>2267</v>
      </c>
      <c r="P205" s="23">
        <v>1</v>
      </c>
    </row>
    <row r="206" spans="1:16" ht="14.4" customHeight="1" x14ac:dyDescent="0.3">
      <c r="A206" s="5">
        <v>214</v>
      </c>
      <c r="B206" s="5" t="s">
        <v>515</v>
      </c>
      <c r="C206" s="5" t="s">
        <v>516</v>
      </c>
      <c r="D206" s="5" t="s">
        <v>22</v>
      </c>
      <c r="E206" s="5" t="s">
        <v>368</v>
      </c>
      <c r="F206" s="6">
        <v>58086084</v>
      </c>
      <c r="G206" s="5" t="s">
        <v>16</v>
      </c>
      <c r="H206" s="7">
        <v>45777</v>
      </c>
      <c r="I206" s="7">
        <v>45778</v>
      </c>
      <c r="J206" s="8">
        <v>150</v>
      </c>
      <c r="K206" s="9">
        <v>45781</v>
      </c>
      <c r="L206" s="7"/>
      <c r="O206" s="43" t="s">
        <v>2750</v>
      </c>
      <c r="P206" s="23">
        <v>1</v>
      </c>
    </row>
    <row r="207" spans="1:16" ht="14.4" customHeight="1" x14ac:dyDescent="0.3">
      <c r="A207" s="5">
        <v>215</v>
      </c>
      <c r="B207" s="5" t="s">
        <v>517</v>
      </c>
      <c r="C207" s="5" t="s">
        <v>518</v>
      </c>
      <c r="D207" s="5" t="s">
        <v>22</v>
      </c>
      <c r="E207" s="5" t="s">
        <v>2948</v>
      </c>
      <c r="F207" s="6">
        <v>57691244</v>
      </c>
      <c r="G207" s="5" t="s">
        <v>16</v>
      </c>
      <c r="H207" s="7">
        <v>45777</v>
      </c>
      <c r="I207" s="7">
        <v>45778</v>
      </c>
      <c r="J207" s="8">
        <v>150</v>
      </c>
      <c r="K207" s="9">
        <v>45781</v>
      </c>
      <c r="L207" s="7"/>
      <c r="O207" s="43" t="s">
        <v>131</v>
      </c>
      <c r="P207" s="23">
        <v>10</v>
      </c>
    </row>
    <row r="208" spans="1:16" ht="14.4" customHeight="1" x14ac:dyDescent="0.3">
      <c r="A208" s="5">
        <v>216</v>
      </c>
      <c r="B208" s="5" t="s">
        <v>519</v>
      </c>
      <c r="C208" s="5" t="s">
        <v>520</v>
      </c>
      <c r="D208" s="5" t="s">
        <v>22</v>
      </c>
      <c r="E208" s="5" t="s">
        <v>144</v>
      </c>
      <c r="F208" s="6">
        <v>59063468</v>
      </c>
      <c r="G208" s="5" t="s">
        <v>16</v>
      </c>
      <c r="H208" s="7">
        <v>45777</v>
      </c>
      <c r="I208" s="7">
        <v>45778</v>
      </c>
      <c r="J208" s="8">
        <v>150</v>
      </c>
      <c r="K208" s="9">
        <v>45781</v>
      </c>
      <c r="L208" s="7"/>
      <c r="O208" s="43" t="s">
        <v>791</v>
      </c>
      <c r="P208" s="23">
        <v>3</v>
      </c>
    </row>
    <row r="209" spans="1:16" ht="14.4" customHeight="1" x14ac:dyDescent="0.3">
      <c r="A209" s="5">
        <v>217</v>
      </c>
      <c r="B209" s="5" t="s">
        <v>521</v>
      </c>
      <c r="C209" s="5" t="s">
        <v>522</v>
      </c>
      <c r="D209" s="5" t="s">
        <v>26</v>
      </c>
      <c r="E209" s="5" t="s">
        <v>49</v>
      </c>
      <c r="F209" s="6">
        <v>57761412</v>
      </c>
      <c r="G209" s="5" t="s">
        <v>16</v>
      </c>
      <c r="H209" s="7">
        <v>45777</v>
      </c>
      <c r="I209" s="7">
        <v>45778</v>
      </c>
      <c r="J209" s="8">
        <v>150</v>
      </c>
      <c r="K209" s="9">
        <v>45781</v>
      </c>
      <c r="L209" s="7"/>
      <c r="O209" s="43" t="s">
        <v>874</v>
      </c>
      <c r="P209" s="23">
        <v>3</v>
      </c>
    </row>
    <row r="210" spans="1:16" ht="14.4" customHeight="1" x14ac:dyDescent="0.3">
      <c r="A210" s="5">
        <v>219</v>
      </c>
      <c r="B210" s="5" t="s">
        <v>525</v>
      </c>
      <c r="C210" s="5" t="s">
        <v>526</v>
      </c>
      <c r="D210" s="5" t="s">
        <v>22</v>
      </c>
      <c r="E210" s="5" t="s">
        <v>144</v>
      </c>
      <c r="F210" s="6">
        <v>58125039</v>
      </c>
      <c r="G210" s="5" t="s">
        <v>16</v>
      </c>
      <c r="H210" s="7">
        <v>45777</v>
      </c>
      <c r="I210" s="7">
        <v>45778</v>
      </c>
      <c r="J210" s="8">
        <v>150</v>
      </c>
      <c r="K210" s="9">
        <v>45781</v>
      </c>
      <c r="L210" s="7"/>
      <c r="O210" s="43" t="s">
        <v>1143</v>
      </c>
      <c r="P210" s="23">
        <v>2</v>
      </c>
    </row>
    <row r="211" spans="1:16" ht="14.4" customHeight="1" x14ac:dyDescent="0.3">
      <c r="A211" s="5">
        <v>220</v>
      </c>
      <c r="B211" s="5" t="s">
        <v>527</v>
      </c>
      <c r="C211" s="5" t="s">
        <v>528</v>
      </c>
      <c r="D211" s="5" t="s">
        <v>68</v>
      </c>
      <c r="E211" s="5" t="s">
        <v>69</v>
      </c>
      <c r="F211" s="6">
        <v>59038642</v>
      </c>
      <c r="G211" s="5" t="s">
        <v>16</v>
      </c>
      <c r="H211" s="7">
        <v>45777</v>
      </c>
      <c r="I211" s="7">
        <v>45778</v>
      </c>
      <c r="J211" s="8">
        <v>150</v>
      </c>
      <c r="K211" s="9">
        <v>45781</v>
      </c>
      <c r="L211" s="7"/>
      <c r="O211" s="43" t="s">
        <v>2965</v>
      </c>
      <c r="P211" s="23">
        <v>1</v>
      </c>
    </row>
    <row r="212" spans="1:16" ht="14.4" customHeight="1" x14ac:dyDescent="0.3">
      <c r="A212" s="5">
        <v>221</v>
      </c>
      <c r="B212" s="5" t="s">
        <v>529</v>
      </c>
      <c r="C212" s="5" t="s">
        <v>530</v>
      </c>
      <c r="D212" s="5" t="s">
        <v>26</v>
      </c>
      <c r="E212" s="5" t="s">
        <v>163</v>
      </c>
      <c r="F212" s="6">
        <v>58203530</v>
      </c>
      <c r="G212" s="5" t="s">
        <v>16</v>
      </c>
      <c r="H212" s="7">
        <v>45777</v>
      </c>
      <c r="I212" s="7">
        <v>45778</v>
      </c>
      <c r="J212" s="8">
        <v>150</v>
      </c>
      <c r="K212" s="9">
        <v>45781</v>
      </c>
      <c r="L212" s="7"/>
      <c r="O212" s="43" t="s">
        <v>558</v>
      </c>
      <c r="P212" s="23">
        <v>4</v>
      </c>
    </row>
    <row r="213" spans="1:16" ht="14.4" customHeight="1" x14ac:dyDescent="0.3">
      <c r="A213" s="5">
        <v>223</v>
      </c>
      <c r="B213" s="5" t="s">
        <v>533</v>
      </c>
      <c r="C213" s="5" t="s">
        <v>534</v>
      </c>
      <c r="D213" s="5" t="s">
        <v>26</v>
      </c>
      <c r="E213" s="5" t="s">
        <v>447</v>
      </c>
      <c r="F213" s="6">
        <v>59486718</v>
      </c>
      <c r="G213" s="5" t="s">
        <v>16</v>
      </c>
      <c r="H213" s="7">
        <v>45777</v>
      </c>
      <c r="I213" s="7">
        <v>45778</v>
      </c>
      <c r="J213" s="8">
        <v>150</v>
      </c>
      <c r="K213" s="9">
        <v>45781</v>
      </c>
      <c r="L213" s="7"/>
      <c r="O213" s="43" t="s">
        <v>2969</v>
      </c>
      <c r="P213" s="23">
        <v>1</v>
      </c>
    </row>
    <row r="214" spans="1:16" ht="14.4" customHeight="1" x14ac:dyDescent="0.3">
      <c r="A214" s="5">
        <v>225</v>
      </c>
      <c r="B214" s="5" t="s">
        <v>538</v>
      </c>
      <c r="C214" s="5" t="s">
        <v>539</v>
      </c>
      <c r="D214" s="5" t="s">
        <v>30</v>
      </c>
      <c r="E214" s="5" t="s">
        <v>137</v>
      </c>
      <c r="F214" s="6">
        <v>57343139</v>
      </c>
      <c r="G214" s="5" t="s">
        <v>16</v>
      </c>
      <c r="H214" s="7">
        <v>45777</v>
      </c>
      <c r="I214" s="7">
        <v>45778</v>
      </c>
      <c r="J214" s="8">
        <v>150</v>
      </c>
      <c r="K214" s="9">
        <v>45781</v>
      </c>
      <c r="L214" s="7"/>
      <c r="O214" s="43" t="s">
        <v>1437</v>
      </c>
      <c r="P214" s="23">
        <v>1</v>
      </c>
    </row>
    <row r="215" spans="1:16" ht="14.4" customHeight="1" x14ac:dyDescent="0.3">
      <c r="A215" s="5">
        <v>226</v>
      </c>
      <c r="B215" s="5" t="s">
        <v>540</v>
      </c>
      <c r="C215" s="5" t="s">
        <v>541</v>
      </c>
      <c r="D215" s="5" t="s">
        <v>22</v>
      </c>
      <c r="E215" s="5" t="s">
        <v>542</v>
      </c>
      <c r="F215" s="6">
        <v>58119912</v>
      </c>
      <c r="G215" s="5" t="s">
        <v>16</v>
      </c>
      <c r="H215" s="7">
        <v>45777</v>
      </c>
      <c r="I215" s="7">
        <v>45778</v>
      </c>
      <c r="J215" s="8">
        <v>150</v>
      </c>
      <c r="K215" s="9">
        <v>45781</v>
      </c>
      <c r="L215" s="7"/>
      <c r="O215" s="43" t="s">
        <v>2946</v>
      </c>
      <c r="P215" s="23">
        <v>1</v>
      </c>
    </row>
    <row r="216" spans="1:16" ht="14.4" customHeight="1" x14ac:dyDescent="0.3">
      <c r="A216" s="5">
        <v>174</v>
      </c>
      <c r="B216" s="5" t="s">
        <v>434</v>
      </c>
      <c r="C216" s="5" t="s">
        <v>435</v>
      </c>
      <c r="D216" s="5" t="s">
        <v>26</v>
      </c>
      <c r="E216" s="5" t="s">
        <v>149</v>
      </c>
      <c r="F216" s="6">
        <v>59341806</v>
      </c>
      <c r="G216" s="5" t="s">
        <v>16</v>
      </c>
      <c r="H216" s="7">
        <v>45776</v>
      </c>
      <c r="I216" s="7">
        <v>45780</v>
      </c>
      <c r="J216" s="8">
        <v>150</v>
      </c>
      <c r="K216" s="9">
        <v>45781</v>
      </c>
      <c r="L216" s="7"/>
      <c r="O216" s="43" t="s">
        <v>1704</v>
      </c>
      <c r="P216" s="23">
        <v>1</v>
      </c>
    </row>
    <row r="217" spans="1:16" ht="14.4" customHeight="1" x14ac:dyDescent="0.3">
      <c r="A217" s="5">
        <v>197</v>
      </c>
      <c r="B217" s="5" t="s">
        <v>484</v>
      </c>
      <c r="C217" s="5" t="s">
        <v>485</v>
      </c>
      <c r="D217" s="5" t="s">
        <v>68</v>
      </c>
      <c r="E217" s="5" t="s">
        <v>74</v>
      </c>
      <c r="F217" s="6">
        <v>58295729</v>
      </c>
      <c r="G217" s="5" t="s">
        <v>16</v>
      </c>
      <c r="H217" s="7">
        <v>45776</v>
      </c>
      <c r="I217" s="7">
        <v>45780</v>
      </c>
      <c r="J217" s="8">
        <v>150</v>
      </c>
      <c r="K217" s="9">
        <v>45781</v>
      </c>
      <c r="L217" s="7"/>
      <c r="O217" s="43" t="s">
        <v>344</v>
      </c>
      <c r="P217" s="23">
        <v>12</v>
      </c>
    </row>
    <row r="218" spans="1:16" ht="14.4" customHeight="1" x14ac:dyDescent="0.3">
      <c r="A218" s="5">
        <v>199</v>
      </c>
      <c r="B218" s="5" t="s">
        <v>486</v>
      </c>
      <c r="C218" s="5" t="s">
        <v>487</v>
      </c>
      <c r="D218" s="5" t="s">
        <v>426</v>
      </c>
      <c r="E218" s="5" t="s">
        <v>488</v>
      </c>
      <c r="F218" s="6">
        <v>59779756</v>
      </c>
      <c r="G218" s="5" t="s">
        <v>16</v>
      </c>
      <c r="H218" s="7">
        <v>45776</v>
      </c>
      <c r="I218" s="7">
        <v>45780</v>
      </c>
      <c r="J218" s="8">
        <v>150</v>
      </c>
      <c r="K218" s="9">
        <v>45781</v>
      </c>
      <c r="L218" s="7"/>
      <c r="O218" s="43" t="s">
        <v>1155</v>
      </c>
      <c r="P218" s="23">
        <v>1</v>
      </c>
    </row>
    <row r="219" spans="1:16" ht="14.4" customHeight="1" x14ac:dyDescent="0.3">
      <c r="A219" s="5">
        <v>202</v>
      </c>
      <c r="B219" s="5" t="s">
        <v>495</v>
      </c>
      <c r="C219" s="5" t="s">
        <v>496</v>
      </c>
      <c r="D219" s="5" t="s">
        <v>426</v>
      </c>
      <c r="E219" s="5" t="s">
        <v>497</v>
      </c>
      <c r="F219" s="10" t="s">
        <v>498</v>
      </c>
      <c r="G219" s="5" t="s">
        <v>16</v>
      </c>
      <c r="H219" s="7">
        <v>45776</v>
      </c>
      <c r="I219" s="7">
        <v>45780</v>
      </c>
      <c r="J219" s="8">
        <v>150</v>
      </c>
      <c r="K219" s="9">
        <v>45781</v>
      </c>
      <c r="L219" s="7"/>
      <c r="O219" s="43" t="s">
        <v>807</v>
      </c>
      <c r="P219" s="23">
        <v>17</v>
      </c>
    </row>
    <row r="220" spans="1:16" ht="14.4" customHeight="1" x14ac:dyDescent="0.3">
      <c r="A220" s="5">
        <v>204</v>
      </c>
      <c r="B220" s="5" t="s">
        <v>499</v>
      </c>
      <c r="C220" s="5" t="s">
        <v>500</v>
      </c>
      <c r="D220" s="5" t="s">
        <v>475</v>
      </c>
      <c r="E220" s="5" t="s">
        <v>501</v>
      </c>
      <c r="F220" s="6">
        <v>58347822</v>
      </c>
      <c r="G220" s="5" t="s">
        <v>16</v>
      </c>
      <c r="H220" s="7">
        <v>45776</v>
      </c>
      <c r="I220" s="7">
        <v>45780</v>
      </c>
      <c r="J220" s="8">
        <v>150</v>
      </c>
      <c r="K220" s="9">
        <v>45781</v>
      </c>
      <c r="L220" s="7"/>
      <c r="O220" s="43" t="s">
        <v>1186</v>
      </c>
      <c r="P220" s="23">
        <v>1</v>
      </c>
    </row>
    <row r="221" spans="1:16" ht="14.4" customHeight="1" x14ac:dyDescent="0.3">
      <c r="A221" s="5">
        <v>218</v>
      </c>
      <c r="B221" s="5" t="s">
        <v>523</v>
      </c>
      <c r="C221" s="5" t="s">
        <v>524</v>
      </c>
      <c r="D221" s="5" t="s">
        <v>30</v>
      </c>
      <c r="E221" s="5" t="s">
        <v>223</v>
      </c>
      <c r="F221" s="6">
        <v>58223710</v>
      </c>
      <c r="G221" s="5" t="s">
        <v>16</v>
      </c>
      <c r="H221" s="7">
        <v>45777</v>
      </c>
      <c r="I221" s="7">
        <v>45780</v>
      </c>
      <c r="J221" s="8">
        <v>150</v>
      </c>
      <c r="K221" s="9">
        <v>45781</v>
      </c>
      <c r="L221" s="7"/>
      <c r="O221" s="43" t="s">
        <v>1057</v>
      </c>
      <c r="P221" s="23">
        <v>2</v>
      </c>
    </row>
    <row r="222" spans="1:16" ht="14.4" customHeight="1" x14ac:dyDescent="0.3">
      <c r="A222" s="5">
        <v>222</v>
      </c>
      <c r="B222" s="5" t="s">
        <v>531</v>
      </c>
      <c r="C222" s="5" t="s">
        <v>532</v>
      </c>
      <c r="D222" s="5" t="s">
        <v>26</v>
      </c>
      <c r="E222" s="5" t="s">
        <v>74</v>
      </c>
      <c r="F222" s="6">
        <v>57658964</v>
      </c>
      <c r="G222" s="5" t="s">
        <v>16</v>
      </c>
      <c r="H222" s="7">
        <v>45777</v>
      </c>
      <c r="I222" s="7">
        <v>45780</v>
      </c>
      <c r="J222" s="8">
        <v>150</v>
      </c>
      <c r="K222" s="9">
        <v>45781</v>
      </c>
      <c r="L222" s="7"/>
      <c r="O222" s="43" t="s">
        <v>314</v>
      </c>
      <c r="P222" s="23">
        <v>8</v>
      </c>
    </row>
    <row r="223" spans="1:16" ht="14.4" customHeight="1" x14ac:dyDescent="0.3">
      <c r="A223" s="5">
        <v>224</v>
      </c>
      <c r="B223" s="5" t="s">
        <v>535</v>
      </c>
      <c r="C223" s="5" t="s">
        <v>536</v>
      </c>
      <c r="D223" s="5" t="s">
        <v>14</v>
      </c>
      <c r="E223" s="5" t="s">
        <v>537</v>
      </c>
      <c r="F223" s="6">
        <v>57474288</v>
      </c>
      <c r="G223" s="5" t="s">
        <v>16</v>
      </c>
      <c r="H223" s="7">
        <v>45777</v>
      </c>
      <c r="I223" s="7">
        <v>45780</v>
      </c>
      <c r="J223" s="8">
        <v>150</v>
      </c>
      <c r="K223" s="9">
        <v>45781</v>
      </c>
      <c r="L223" s="7"/>
      <c r="O223" s="43" t="s">
        <v>3343</v>
      </c>
      <c r="P223" s="23">
        <v>1</v>
      </c>
    </row>
    <row r="224" spans="1:16" ht="14.4" customHeight="1" x14ac:dyDescent="0.3">
      <c r="A224" s="5">
        <v>227</v>
      </c>
      <c r="B224" s="5" t="s">
        <v>543</v>
      </c>
      <c r="C224" s="5" t="s">
        <v>544</v>
      </c>
      <c r="D224" s="5" t="s">
        <v>545</v>
      </c>
      <c r="E224" s="5" t="s">
        <v>546</v>
      </c>
      <c r="F224" s="6">
        <v>57667637</v>
      </c>
      <c r="G224" s="5" t="s">
        <v>16</v>
      </c>
      <c r="H224" s="7">
        <v>45777</v>
      </c>
      <c r="I224" s="7">
        <v>45780</v>
      </c>
      <c r="J224" s="8">
        <v>150</v>
      </c>
      <c r="K224" s="9">
        <v>45781</v>
      </c>
      <c r="L224" s="7"/>
      <c r="O224" s="43" t="s">
        <v>3344</v>
      </c>
      <c r="P224" s="23">
        <v>1</v>
      </c>
    </row>
    <row r="225" spans="1:16" ht="14.4" customHeight="1" x14ac:dyDescent="0.3">
      <c r="A225" s="5">
        <v>228</v>
      </c>
      <c r="B225" s="5" t="s">
        <v>547</v>
      </c>
      <c r="C225" s="5" t="s">
        <v>548</v>
      </c>
      <c r="D225" s="5" t="s">
        <v>30</v>
      </c>
      <c r="E225" s="5" t="s">
        <v>204</v>
      </c>
      <c r="F225" s="6">
        <v>58166130</v>
      </c>
      <c r="G225" s="5" t="s">
        <v>16</v>
      </c>
      <c r="H225" s="7">
        <v>45777</v>
      </c>
      <c r="I225" s="7">
        <v>45780</v>
      </c>
      <c r="J225" s="8">
        <v>150</v>
      </c>
      <c r="K225" s="9">
        <v>45781</v>
      </c>
      <c r="L225" s="7"/>
      <c r="O225" s="43" t="s">
        <v>2424</v>
      </c>
      <c r="P225" s="23">
        <v>1</v>
      </c>
    </row>
    <row r="226" spans="1:16" ht="14.4" customHeight="1" x14ac:dyDescent="0.3">
      <c r="A226" s="5">
        <v>229</v>
      </c>
      <c r="B226" s="5" t="s">
        <v>549</v>
      </c>
      <c r="C226" s="5" t="s">
        <v>550</v>
      </c>
      <c r="D226" s="5" t="s">
        <v>14</v>
      </c>
      <c r="E226" s="5" t="s">
        <v>259</v>
      </c>
      <c r="F226" s="6">
        <v>57945516</v>
      </c>
      <c r="G226" s="5" t="s">
        <v>16</v>
      </c>
      <c r="H226" s="7">
        <v>45777</v>
      </c>
      <c r="I226" s="7">
        <v>45780</v>
      </c>
      <c r="J226" s="8">
        <v>150</v>
      </c>
      <c r="K226" s="9">
        <v>45781</v>
      </c>
      <c r="L226" s="7"/>
      <c r="O226" s="43" t="s">
        <v>23</v>
      </c>
      <c r="P226" s="23">
        <v>19</v>
      </c>
    </row>
    <row r="227" spans="1:16" ht="14.4" customHeight="1" x14ac:dyDescent="0.3">
      <c r="A227" s="5">
        <v>230</v>
      </c>
      <c r="B227" s="5" t="s">
        <v>551</v>
      </c>
      <c r="C227" s="5" t="s">
        <v>552</v>
      </c>
      <c r="D227" s="5" t="s">
        <v>30</v>
      </c>
      <c r="E227" s="5" t="s">
        <v>223</v>
      </c>
      <c r="F227" s="6">
        <v>57086557</v>
      </c>
      <c r="G227" s="5" t="s">
        <v>1024</v>
      </c>
      <c r="H227" s="7">
        <v>45777</v>
      </c>
      <c r="I227" s="7">
        <v>45780</v>
      </c>
      <c r="J227" s="8">
        <v>150</v>
      </c>
      <c r="K227" s="9">
        <v>45781</v>
      </c>
      <c r="L227" s="7"/>
      <c r="O227" s="43" t="s">
        <v>3038</v>
      </c>
      <c r="P227" s="23">
        <v>1</v>
      </c>
    </row>
    <row r="228" spans="1:16" ht="14.4" customHeight="1" x14ac:dyDescent="0.3">
      <c r="A228" s="5">
        <v>244</v>
      </c>
      <c r="B228" s="7" t="s">
        <v>583</v>
      </c>
      <c r="C228" s="7" t="s">
        <v>584</v>
      </c>
      <c r="D228" s="5" t="s">
        <v>585</v>
      </c>
      <c r="E228" s="5" t="s">
        <v>63</v>
      </c>
      <c r="F228" s="6">
        <v>57571821</v>
      </c>
      <c r="G228" s="5" t="s">
        <v>16</v>
      </c>
      <c r="H228" s="7">
        <v>45780</v>
      </c>
      <c r="I228" s="7">
        <v>45780</v>
      </c>
      <c r="J228" s="8">
        <v>150</v>
      </c>
      <c r="K228" s="7">
        <v>45809</v>
      </c>
      <c r="L228" s="7"/>
      <c r="O228" s="43" t="s">
        <v>2991</v>
      </c>
      <c r="P228" s="23">
        <v>1</v>
      </c>
    </row>
    <row r="229" spans="1:16" ht="14.4" customHeight="1" x14ac:dyDescent="0.3">
      <c r="A229" s="5">
        <v>245</v>
      </c>
      <c r="B229" s="7" t="s">
        <v>586</v>
      </c>
      <c r="C229" s="7" t="s">
        <v>587</v>
      </c>
      <c r="D229" s="5" t="s">
        <v>68</v>
      </c>
      <c r="E229" s="5" t="s">
        <v>49</v>
      </c>
      <c r="F229" s="6">
        <v>58071160</v>
      </c>
      <c r="G229" s="5" t="s">
        <v>16</v>
      </c>
      <c r="H229" s="7">
        <v>45780</v>
      </c>
      <c r="I229" s="7">
        <v>45780</v>
      </c>
      <c r="J229" s="8">
        <v>150</v>
      </c>
      <c r="K229" s="7">
        <v>45809</v>
      </c>
      <c r="L229" s="7"/>
      <c r="O229" s="43" t="s">
        <v>2193</v>
      </c>
      <c r="P229" s="23">
        <v>2</v>
      </c>
    </row>
    <row r="230" spans="1:16" ht="14.4" customHeight="1" x14ac:dyDescent="0.3">
      <c r="A230" s="5">
        <v>246</v>
      </c>
      <c r="B230" s="7" t="s">
        <v>588</v>
      </c>
      <c r="C230" s="7" t="s">
        <v>589</v>
      </c>
      <c r="D230" s="5" t="s">
        <v>68</v>
      </c>
      <c r="E230" s="5" t="s">
        <v>49</v>
      </c>
      <c r="F230" s="6">
        <v>57777059</v>
      </c>
      <c r="G230" s="5" t="s">
        <v>16</v>
      </c>
      <c r="H230" s="7">
        <v>45780</v>
      </c>
      <c r="I230" s="7">
        <v>45780</v>
      </c>
      <c r="J230" s="8">
        <v>150</v>
      </c>
      <c r="K230" s="7">
        <v>45809</v>
      </c>
      <c r="L230" s="7"/>
      <c r="O230" s="43" t="s">
        <v>2699</v>
      </c>
      <c r="P230" s="23">
        <v>1</v>
      </c>
    </row>
    <row r="231" spans="1:16" ht="14.4" customHeight="1" x14ac:dyDescent="0.3">
      <c r="A231" s="5">
        <v>250</v>
      </c>
      <c r="B231" s="7" t="s">
        <v>1646</v>
      </c>
      <c r="C231" s="7" t="s">
        <v>598</v>
      </c>
      <c r="D231" s="5" t="s">
        <v>68</v>
      </c>
      <c r="E231" s="5" t="s">
        <v>49</v>
      </c>
      <c r="F231" s="6">
        <v>59335265</v>
      </c>
      <c r="G231" s="5" t="s">
        <v>16</v>
      </c>
      <c r="H231" s="7">
        <v>45780</v>
      </c>
      <c r="I231" s="7">
        <v>45780</v>
      </c>
      <c r="J231" s="8">
        <v>150</v>
      </c>
      <c r="K231" s="7">
        <v>45809</v>
      </c>
      <c r="L231" s="7"/>
      <c r="O231" s="43" t="s">
        <v>46</v>
      </c>
      <c r="P231" s="23">
        <v>1</v>
      </c>
    </row>
    <row r="232" spans="1:16" ht="14.4" customHeight="1" x14ac:dyDescent="0.3">
      <c r="A232" s="5">
        <v>251</v>
      </c>
      <c r="B232" s="7" t="s">
        <v>599</v>
      </c>
      <c r="C232" s="7" t="s">
        <v>600</v>
      </c>
      <c r="D232" s="5" t="s">
        <v>601</v>
      </c>
      <c r="E232" s="5" t="s">
        <v>155</v>
      </c>
      <c r="F232" s="6">
        <v>59189038</v>
      </c>
      <c r="G232" s="5" t="s">
        <v>16</v>
      </c>
      <c r="H232" s="7">
        <v>45780</v>
      </c>
      <c r="I232" s="7">
        <v>45780</v>
      </c>
      <c r="J232" s="8">
        <v>150</v>
      </c>
      <c r="K232" s="7">
        <v>45809</v>
      </c>
      <c r="L232" s="7"/>
      <c r="O232" s="43" t="s">
        <v>2155</v>
      </c>
      <c r="P232" s="23">
        <v>1</v>
      </c>
    </row>
    <row r="233" spans="1:16" ht="14.4" customHeight="1" x14ac:dyDescent="0.3">
      <c r="A233" s="5">
        <v>252</v>
      </c>
      <c r="B233" s="7" t="s">
        <v>602</v>
      </c>
      <c r="C233" s="7" t="s">
        <v>603</v>
      </c>
      <c r="D233" s="5" t="s">
        <v>68</v>
      </c>
      <c r="E233" s="5" t="s">
        <v>560</v>
      </c>
      <c r="F233" s="6">
        <v>59241697</v>
      </c>
      <c r="G233" s="5" t="s">
        <v>16</v>
      </c>
      <c r="H233" s="7">
        <v>45780</v>
      </c>
      <c r="I233" s="7">
        <v>45780</v>
      </c>
      <c r="J233" s="8">
        <v>150</v>
      </c>
      <c r="K233" s="7">
        <v>45809</v>
      </c>
      <c r="L233" s="7"/>
      <c r="O233" s="43" t="s">
        <v>2715</v>
      </c>
      <c r="P233" s="23">
        <v>1</v>
      </c>
    </row>
    <row r="234" spans="1:16" ht="14.4" customHeight="1" x14ac:dyDescent="0.3">
      <c r="A234" s="5">
        <v>253</v>
      </c>
      <c r="B234" s="7" t="s">
        <v>604</v>
      </c>
      <c r="C234" s="7" t="s">
        <v>605</v>
      </c>
      <c r="D234" s="5" t="s">
        <v>137</v>
      </c>
      <c r="E234" s="5" t="s">
        <v>204</v>
      </c>
      <c r="F234" s="6">
        <v>58137442</v>
      </c>
      <c r="G234" s="5" t="s">
        <v>16</v>
      </c>
      <c r="H234" s="7">
        <v>45780</v>
      </c>
      <c r="I234" s="7">
        <v>45780</v>
      </c>
      <c r="J234" s="8">
        <v>150</v>
      </c>
      <c r="K234" s="7">
        <v>45809</v>
      </c>
      <c r="L234" s="7"/>
      <c r="O234" s="43" t="s">
        <v>144</v>
      </c>
      <c r="P234" s="23">
        <v>38</v>
      </c>
    </row>
    <row r="235" spans="1:16" ht="14.4" customHeight="1" x14ac:dyDescent="0.3">
      <c r="A235" s="5">
        <v>254</v>
      </c>
      <c r="B235" s="7" t="s">
        <v>606</v>
      </c>
      <c r="C235" s="7" t="s">
        <v>607</v>
      </c>
      <c r="D235" s="5" t="s">
        <v>68</v>
      </c>
      <c r="E235" s="5" t="s">
        <v>63</v>
      </c>
      <c r="F235" s="6">
        <v>58466352</v>
      </c>
      <c r="G235" s="5" t="s">
        <v>16</v>
      </c>
      <c r="H235" s="7">
        <v>45780</v>
      </c>
      <c r="I235" s="7">
        <v>45780</v>
      </c>
      <c r="J235" s="8">
        <v>150</v>
      </c>
      <c r="K235" s="7">
        <v>45809</v>
      </c>
      <c r="L235" s="7"/>
      <c r="O235" s="43" t="s">
        <v>3036</v>
      </c>
      <c r="P235" s="23">
        <v>1</v>
      </c>
    </row>
    <row r="236" spans="1:16" ht="14.4" customHeight="1" x14ac:dyDescent="0.3">
      <c r="A236" s="5">
        <v>188</v>
      </c>
      <c r="B236" s="5" t="s">
        <v>464</v>
      </c>
      <c r="C236" s="5" t="s">
        <v>465</v>
      </c>
      <c r="D236" s="5" t="s">
        <v>26</v>
      </c>
      <c r="E236" s="5" t="s">
        <v>466</v>
      </c>
      <c r="F236" s="6">
        <v>58042830</v>
      </c>
      <c r="G236" s="5" t="s">
        <v>16</v>
      </c>
      <c r="H236" s="7">
        <v>45776</v>
      </c>
      <c r="I236" s="7">
        <v>45782</v>
      </c>
      <c r="J236" s="8">
        <v>150</v>
      </c>
      <c r="K236" s="7">
        <v>45809</v>
      </c>
      <c r="L236" s="7"/>
      <c r="O236" s="43" t="s">
        <v>3345</v>
      </c>
      <c r="P236" s="23">
        <v>1</v>
      </c>
    </row>
    <row r="237" spans="1:16" ht="14.4" customHeight="1" x14ac:dyDescent="0.3">
      <c r="A237" s="5">
        <v>191</v>
      </c>
      <c r="B237" s="5" t="s">
        <v>328</v>
      </c>
      <c r="C237" s="5" t="s">
        <v>472</v>
      </c>
      <c r="D237" s="5" t="s">
        <v>26</v>
      </c>
      <c r="E237" s="5" t="s">
        <v>194</v>
      </c>
      <c r="F237" s="6">
        <v>59233319</v>
      </c>
      <c r="G237" s="5" t="s">
        <v>16</v>
      </c>
      <c r="H237" s="7">
        <v>45776</v>
      </c>
      <c r="I237" s="7">
        <v>45782</v>
      </c>
      <c r="J237" s="8">
        <v>150</v>
      </c>
      <c r="K237" s="7">
        <v>45809</v>
      </c>
      <c r="L237" s="7"/>
      <c r="O237" s="43" t="s">
        <v>1674</v>
      </c>
      <c r="P237" s="23">
        <v>1</v>
      </c>
    </row>
    <row r="238" spans="1:16" ht="14.4" customHeight="1" x14ac:dyDescent="0.3">
      <c r="A238" s="5">
        <v>195</v>
      </c>
      <c r="B238" s="5" t="s">
        <v>480</v>
      </c>
      <c r="C238" s="5" t="s">
        <v>481</v>
      </c>
      <c r="D238" s="5" t="s">
        <v>22</v>
      </c>
      <c r="E238" s="5" t="s">
        <v>144</v>
      </c>
      <c r="F238" s="6">
        <v>57643513</v>
      </c>
      <c r="G238" s="5" t="s">
        <v>16</v>
      </c>
      <c r="H238" s="7">
        <v>45776</v>
      </c>
      <c r="I238" s="7">
        <v>45782</v>
      </c>
      <c r="J238" s="8">
        <v>150</v>
      </c>
      <c r="K238" s="7">
        <v>45809</v>
      </c>
      <c r="L238" s="7"/>
      <c r="O238" s="43" t="s">
        <v>3346</v>
      </c>
      <c r="P238" s="23">
        <v>1</v>
      </c>
    </row>
    <row r="239" spans="1:16" ht="14.4" customHeight="1" x14ac:dyDescent="0.3">
      <c r="A239" s="5">
        <v>210</v>
      </c>
      <c r="B239" s="5" t="s">
        <v>109</v>
      </c>
      <c r="C239" s="5" t="s">
        <v>110</v>
      </c>
      <c r="D239" s="5" t="s">
        <v>26</v>
      </c>
      <c r="E239" s="5" t="s">
        <v>111</v>
      </c>
      <c r="F239" s="6">
        <v>57954180</v>
      </c>
      <c r="G239" s="5" t="s">
        <v>1024</v>
      </c>
      <c r="H239" s="7">
        <v>45776</v>
      </c>
      <c r="I239" s="7">
        <v>45782</v>
      </c>
      <c r="J239" s="8">
        <v>150</v>
      </c>
      <c r="K239" s="7">
        <v>45809</v>
      </c>
      <c r="L239" s="7"/>
      <c r="O239" s="43" t="s">
        <v>3347</v>
      </c>
      <c r="P239" s="23">
        <v>1</v>
      </c>
    </row>
    <row r="240" spans="1:16" ht="14.4" customHeight="1" x14ac:dyDescent="0.3">
      <c r="A240" s="5">
        <v>231</v>
      </c>
      <c r="B240" s="5" t="s">
        <v>553</v>
      </c>
      <c r="C240" s="5" t="s">
        <v>554</v>
      </c>
      <c r="D240" s="5" t="s">
        <v>22</v>
      </c>
      <c r="E240" s="5" t="s">
        <v>144</v>
      </c>
      <c r="F240" s="6">
        <v>58029594</v>
      </c>
      <c r="G240" s="5" t="s">
        <v>1024</v>
      </c>
      <c r="H240" s="7">
        <v>45777</v>
      </c>
      <c r="I240" s="7">
        <v>45782</v>
      </c>
      <c r="J240" s="8">
        <v>150</v>
      </c>
      <c r="K240" s="7">
        <v>45809</v>
      </c>
      <c r="L240" s="5" t="s">
        <v>555</v>
      </c>
      <c r="O240" s="43" t="s">
        <v>1369</v>
      </c>
      <c r="P240" s="23">
        <v>6</v>
      </c>
    </row>
    <row r="241" spans="1:16" ht="14.4" customHeight="1" x14ac:dyDescent="0.3">
      <c r="A241" s="5">
        <v>232</v>
      </c>
      <c r="B241" s="7" t="s">
        <v>556</v>
      </c>
      <c r="C241" s="7" t="s">
        <v>557</v>
      </c>
      <c r="D241" s="5" t="s">
        <v>426</v>
      </c>
      <c r="E241" s="5" t="s">
        <v>558</v>
      </c>
      <c r="F241" s="6">
        <v>58150895</v>
      </c>
      <c r="G241" s="5" t="s">
        <v>16</v>
      </c>
      <c r="H241" s="7">
        <v>45780</v>
      </c>
      <c r="I241" s="7">
        <v>45782</v>
      </c>
      <c r="J241" s="8">
        <v>150</v>
      </c>
      <c r="K241" s="7">
        <v>45809</v>
      </c>
      <c r="L241" s="7"/>
      <c r="O241" s="43" t="s">
        <v>3348</v>
      </c>
      <c r="P241" s="23">
        <v>1</v>
      </c>
    </row>
    <row r="242" spans="1:16" ht="14.4" customHeight="1" x14ac:dyDescent="0.3">
      <c r="A242" s="5">
        <v>233</v>
      </c>
      <c r="B242" s="7" t="s">
        <v>443</v>
      </c>
      <c r="C242" s="7" t="s">
        <v>559</v>
      </c>
      <c r="D242" s="5" t="s">
        <v>68</v>
      </c>
      <c r="E242" s="5" t="s">
        <v>560</v>
      </c>
      <c r="F242" s="6">
        <v>59778727</v>
      </c>
      <c r="G242" s="5" t="s">
        <v>16</v>
      </c>
      <c r="H242" s="7">
        <v>45780</v>
      </c>
      <c r="I242" s="7">
        <v>45782</v>
      </c>
      <c r="J242" s="8">
        <v>150</v>
      </c>
      <c r="K242" s="7">
        <v>45809</v>
      </c>
      <c r="L242" s="7"/>
      <c r="O242" s="43" t="s">
        <v>3349</v>
      </c>
      <c r="P242" s="23">
        <v>1</v>
      </c>
    </row>
    <row r="243" spans="1:16" ht="14.4" customHeight="1" x14ac:dyDescent="0.3">
      <c r="A243" s="5">
        <v>235</v>
      </c>
      <c r="B243" s="7" t="s">
        <v>563</v>
      </c>
      <c r="C243" s="7" t="s">
        <v>564</v>
      </c>
      <c r="D243" s="5" t="s">
        <v>34</v>
      </c>
      <c r="E243" s="5" t="s">
        <v>84</v>
      </c>
      <c r="F243" s="6">
        <v>57913184</v>
      </c>
      <c r="G243" s="5" t="s">
        <v>16</v>
      </c>
      <c r="H243" s="7">
        <v>45780</v>
      </c>
      <c r="I243" s="7">
        <v>45782</v>
      </c>
      <c r="J243" s="8">
        <v>150</v>
      </c>
      <c r="K243" s="7">
        <v>45809</v>
      </c>
      <c r="L243" s="7"/>
      <c r="O243" s="43" t="s">
        <v>542</v>
      </c>
      <c r="P243" s="23">
        <v>1</v>
      </c>
    </row>
    <row r="244" spans="1:16" ht="14.4" customHeight="1" x14ac:dyDescent="0.3">
      <c r="A244" s="5">
        <v>236</v>
      </c>
      <c r="B244" s="7" t="s">
        <v>565</v>
      </c>
      <c r="C244" s="7" t="s">
        <v>566</v>
      </c>
      <c r="D244" s="5" t="s">
        <v>426</v>
      </c>
      <c r="E244" s="5" t="s">
        <v>1170</v>
      </c>
      <c r="F244" s="6">
        <v>58155058</v>
      </c>
      <c r="G244" s="5" t="s">
        <v>16</v>
      </c>
      <c r="H244" s="7">
        <v>45780</v>
      </c>
      <c r="I244" s="7">
        <v>45782</v>
      </c>
      <c r="J244" s="8">
        <v>150</v>
      </c>
      <c r="K244" s="7">
        <v>45809</v>
      </c>
      <c r="L244" s="7"/>
      <c r="O244" s="43" t="s">
        <v>2949</v>
      </c>
      <c r="P244" s="23">
        <v>3</v>
      </c>
    </row>
    <row r="245" spans="1:16" ht="14.4" customHeight="1" x14ac:dyDescent="0.3">
      <c r="A245" s="5">
        <v>237</v>
      </c>
      <c r="B245" s="7" t="s">
        <v>567</v>
      </c>
      <c r="C245" s="7" t="s">
        <v>568</v>
      </c>
      <c r="D245" s="5" t="s">
        <v>569</v>
      </c>
      <c r="E245" s="5" t="s">
        <v>1757</v>
      </c>
      <c r="F245" s="6">
        <v>57835977</v>
      </c>
      <c r="G245" s="5" t="s">
        <v>16</v>
      </c>
      <c r="H245" s="7">
        <v>45780</v>
      </c>
      <c r="I245" s="7">
        <v>45782</v>
      </c>
      <c r="J245" s="8">
        <v>150</v>
      </c>
      <c r="K245" s="7">
        <v>45809</v>
      </c>
      <c r="L245" s="7"/>
      <c r="O245" s="43" t="s">
        <v>2667</v>
      </c>
      <c r="P245" s="23">
        <v>1</v>
      </c>
    </row>
    <row r="246" spans="1:16" ht="14.4" customHeight="1" x14ac:dyDescent="0.3">
      <c r="A246" s="5">
        <v>238</v>
      </c>
      <c r="B246" s="7" t="s">
        <v>570</v>
      </c>
      <c r="C246" s="7" t="s">
        <v>571</v>
      </c>
      <c r="D246" s="5" t="s">
        <v>68</v>
      </c>
      <c r="E246" s="5" t="s">
        <v>161</v>
      </c>
      <c r="F246" s="6">
        <v>59331930</v>
      </c>
      <c r="G246" s="5" t="s">
        <v>16</v>
      </c>
      <c r="H246" s="7">
        <v>45780</v>
      </c>
      <c r="I246" s="7">
        <v>45782</v>
      </c>
      <c r="J246" s="8">
        <v>150</v>
      </c>
      <c r="K246" s="7">
        <v>45809</v>
      </c>
      <c r="L246" s="7"/>
      <c r="O246" s="43" t="s">
        <v>15</v>
      </c>
      <c r="P246" s="23">
        <v>6</v>
      </c>
    </row>
    <row r="247" spans="1:16" ht="14.4" customHeight="1" x14ac:dyDescent="0.3">
      <c r="A247" s="5">
        <v>239</v>
      </c>
      <c r="B247" s="7" t="s">
        <v>572</v>
      </c>
      <c r="C247" s="7" t="s">
        <v>573</v>
      </c>
      <c r="D247" s="5" t="s">
        <v>68</v>
      </c>
      <c r="E247" s="5" t="s">
        <v>101</v>
      </c>
      <c r="F247" s="6">
        <v>57896692</v>
      </c>
      <c r="G247" s="5" t="s">
        <v>16</v>
      </c>
      <c r="H247" s="7">
        <v>45780</v>
      </c>
      <c r="I247" s="7">
        <v>45782</v>
      </c>
      <c r="J247" s="8">
        <v>150</v>
      </c>
      <c r="K247" s="7">
        <v>45809</v>
      </c>
      <c r="L247" s="7"/>
      <c r="O247" s="43" t="s">
        <v>3030</v>
      </c>
      <c r="P247" s="23">
        <v>1</v>
      </c>
    </row>
    <row r="248" spans="1:16" ht="14.4" customHeight="1" x14ac:dyDescent="0.3">
      <c r="A248" s="5">
        <v>240</v>
      </c>
      <c r="B248" s="7" t="s">
        <v>574</v>
      </c>
      <c r="C248" s="7" t="s">
        <v>575</v>
      </c>
      <c r="D248" s="5" t="s">
        <v>68</v>
      </c>
      <c r="E248" s="5" t="s">
        <v>101</v>
      </c>
      <c r="F248" s="6">
        <v>57324285</v>
      </c>
      <c r="G248" s="5" t="s">
        <v>16</v>
      </c>
      <c r="H248" s="7">
        <v>45780</v>
      </c>
      <c r="I248" s="7">
        <v>45782</v>
      </c>
      <c r="J248" s="8">
        <v>150</v>
      </c>
      <c r="K248" s="7">
        <v>45809</v>
      </c>
      <c r="L248" s="7"/>
      <c r="O248" s="43" t="s">
        <v>659</v>
      </c>
      <c r="P248" s="23">
        <v>4</v>
      </c>
    </row>
    <row r="249" spans="1:16" ht="14.4" customHeight="1" x14ac:dyDescent="0.3">
      <c r="A249" s="5">
        <v>241</v>
      </c>
      <c r="B249" s="7" t="s">
        <v>576</v>
      </c>
      <c r="C249" s="7" t="s">
        <v>577</v>
      </c>
      <c r="D249" s="5" t="s">
        <v>84</v>
      </c>
      <c r="E249" s="5" t="s">
        <v>578</v>
      </c>
      <c r="F249" s="6">
        <v>58229138</v>
      </c>
      <c r="G249" s="5" t="s">
        <v>16</v>
      </c>
      <c r="H249" s="7">
        <v>45780</v>
      </c>
      <c r="I249" s="7">
        <v>45782</v>
      </c>
      <c r="J249" s="8">
        <v>150</v>
      </c>
      <c r="K249" s="7">
        <v>45809</v>
      </c>
      <c r="L249" s="7"/>
      <c r="O249" s="43" t="s">
        <v>2944</v>
      </c>
      <c r="P249" s="23">
        <v>1</v>
      </c>
    </row>
    <row r="250" spans="1:16" ht="14.4" customHeight="1" x14ac:dyDescent="0.3">
      <c r="A250" s="5">
        <v>242</v>
      </c>
      <c r="B250" s="7" t="s">
        <v>579</v>
      </c>
      <c r="C250" s="7" t="s">
        <v>580</v>
      </c>
      <c r="D250" s="5" t="s">
        <v>68</v>
      </c>
      <c r="E250" s="5" t="s">
        <v>447</v>
      </c>
      <c r="F250" s="6">
        <v>57244141</v>
      </c>
      <c r="G250" s="5" t="s">
        <v>16</v>
      </c>
      <c r="H250" s="7">
        <v>45780</v>
      </c>
      <c r="I250" s="7">
        <v>45782</v>
      </c>
      <c r="J250" s="8">
        <v>150</v>
      </c>
      <c r="K250" s="7">
        <v>45809</v>
      </c>
      <c r="L250" s="7"/>
      <c r="O250" s="43" t="s">
        <v>1739</v>
      </c>
      <c r="P250" s="23">
        <v>4</v>
      </c>
    </row>
    <row r="251" spans="1:16" ht="14.4" customHeight="1" x14ac:dyDescent="0.3">
      <c r="A251" s="5">
        <v>243</v>
      </c>
      <c r="B251" s="7" t="s">
        <v>581</v>
      </c>
      <c r="C251" s="7" t="s">
        <v>582</v>
      </c>
      <c r="D251" s="5" t="s">
        <v>68</v>
      </c>
      <c r="E251" s="5" t="s">
        <v>226</v>
      </c>
      <c r="F251" s="6">
        <v>59332676</v>
      </c>
      <c r="G251" s="5" t="s">
        <v>16</v>
      </c>
      <c r="H251" s="7">
        <v>45780</v>
      </c>
      <c r="I251" s="7">
        <v>45782</v>
      </c>
      <c r="J251" s="8">
        <v>150</v>
      </c>
      <c r="K251" s="7">
        <v>45809</v>
      </c>
      <c r="L251" s="7"/>
      <c r="O251" s="43" t="s">
        <v>49</v>
      </c>
      <c r="P251" s="23">
        <v>94</v>
      </c>
    </row>
    <row r="252" spans="1:16" ht="14.4" customHeight="1" x14ac:dyDescent="0.3">
      <c r="A252" s="5">
        <v>247</v>
      </c>
      <c r="B252" s="7" t="s">
        <v>590</v>
      </c>
      <c r="C252" s="7" t="s">
        <v>591</v>
      </c>
      <c r="D252" s="5" t="s">
        <v>68</v>
      </c>
      <c r="E252" s="5" t="s">
        <v>101</v>
      </c>
      <c r="F252" s="6">
        <v>57449964</v>
      </c>
      <c r="G252" s="5" t="s">
        <v>16</v>
      </c>
      <c r="H252" s="7">
        <v>45780</v>
      </c>
      <c r="I252" s="7">
        <v>45782</v>
      </c>
      <c r="J252" s="8">
        <v>150</v>
      </c>
      <c r="K252" s="7">
        <v>45809</v>
      </c>
      <c r="L252" s="7"/>
      <c r="O252" s="43" t="s">
        <v>2617</v>
      </c>
      <c r="P252" s="23">
        <v>1</v>
      </c>
    </row>
    <row r="253" spans="1:16" ht="14.4" customHeight="1" x14ac:dyDescent="0.3">
      <c r="A253" s="5">
        <v>248</v>
      </c>
      <c r="B253" s="7" t="s">
        <v>592</v>
      </c>
      <c r="C253" s="7" t="s">
        <v>593</v>
      </c>
      <c r="D253" s="5" t="s">
        <v>426</v>
      </c>
      <c r="E253" s="5" t="s">
        <v>594</v>
      </c>
      <c r="F253" s="6">
        <v>59056904</v>
      </c>
      <c r="G253" s="5" t="s">
        <v>16</v>
      </c>
      <c r="H253" s="7">
        <v>45780</v>
      </c>
      <c r="I253" s="7">
        <v>45782</v>
      </c>
      <c r="J253" s="8">
        <v>150</v>
      </c>
      <c r="K253" s="7">
        <v>45809</v>
      </c>
      <c r="L253" s="7"/>
      <c r="O253" s="43" t="s">
        <v>3351</v>
      </c>
      <c r="P253" s="23">
        <v>1</v>
      </c>
    </row>
    <row r="254" spans="1:16" ht="14.4" customHeight="1" x14ac:dyDescent="0.3">
      <c r="A254" s="5">
        <v>249</v>
      </c>
      <c r="B254" s="7" t="s">
        <v>595</v>
      </c>
      <c r="C254" s="7" t="s">
        <v>596</v>
      </c>
      <c r="D254" s="5" t="s">
        <v>569</v>
      </c>
      <c r="E254" s="5" t="s">
        <v>597</v>
      </c>
      <c r="F254" s="6">
        <v>58146306</v>
      </c>
      <c r="G254" s="5" t="s">
        <v>16</v>
      </c>
      <c r="H254" s="7">
        <v>45780</v>
      </c>
      <c r="I254" s="7">
        <v>45782</v>
      </c>
      <c r="J254" s="8">
        <v>150</v>
      </c>
      <c r="K254" s="7">
        <v>45809</v>
      </c>
      <c r="L254" s="7"/>
      <c r="O254" s="43" t="s">
        <v>365</v>
      </c>
      <c r="P254" s="23">
        <v>1</v>
      </c>
    </row>
    <row r="255" spans="1:16" ht="14.4" customHeight="1" x14ac:dyDescent="0.3">
      <c r="A255" s="5">
        <v>255</v>
      </c>
      <c r="B255" s="7" t="s">
        <v>448</v>
      </c>
      <c r="C255" s="7" t="s">
        <v>608</v>
      </c>
      <c r="D255" s="5" t="s">
        <v>68</v>
      </c>
      <c r="E255" s="5" t="s">
        <v>69</v>
      </c>
      <c r="F255" s="6">
        <v>57850366</v>
      </c>
      <c r="G255" s="5" t="s">
        <v>16</v>
      </c>
      <c r="H255" s="7">
        <v>45780</v>
      </c>
      <c r="I255" s="7">
        <v>45782</v>
      </c>
      <c r="J255" s="8">
        <v>150</v>
      </c>
      <c r="K255" s="7">
        <v>45809</v>
      </c>
      <c r="L255" s="7"/>
      <c r="O255" s="43" t="s">
        <v>194</v>
      </c>
      <c r="P255" s="23">
        <v>4</v>
      </c>
    </row>
    <row r="256" spans="1:16" ht="14.4" customHeight="1" x14ac:dyDescent="0.3">
      <c r="A256" s="5">
        <v>256</v>
      </c>
      <c r="B256" s="7" t="s">
        <v>609</v>
      </c>
      <c r="C256" s="7" t="s">
        <v>610</v>
      </c>
      <c r="D256" s="5" t="s">
        <v>611</v>
      </c>
      <c r="E256" s="5" t="s">
        <v>41</v>
      </c>
      <c r="F256" s="6">
        <v>70048502</v>
      </c>
      <c r="G256" s="5" t="s">
        <v>16</v>
      </c>
      <c r="H256" s="7">
        <v>45780</v>
      </c>
      <c r="I256" s="7">
        <v>45782</v>
      </c>
      <c r="J256" s="8">
        <v>150</v>
      </c>
      <c r="K256" s="7">
        <v>45809</v>
      </c>
      <c r="L256" s="7"/>
      <c r="O256" s="43" t="s">
        <v>2147</v>
      </c>
      <c r="P256" s="23">
        <v>1</v>
      </c>
    </row>
    <row r="257" spans="1:16" ht="14.4" customHeight="1" x14ac:dyDescent="0.3">
      <c r="A257" s="5">
        <v>257</v>
      </c>
      <c r="B257" s="7" t="s">
        <v>513</v>
      </c>
      <c r="C257" s="7" t="s">
        <v>514</v>
      </c>
      <c r="D257" s="5" t="s">
        <v>26</v>
      </c>
      <c r="E257" s="5" t="s">
        <v>63</v>
      </c>
      <c r="F257" s="6">
        <v>55039098</v>
      </c>
      <c r="G257" s="5" t="s">
        <v>1024</v>
      </c>
      <c r="H257" s="7">
        <v>45781</v>
      </c>
      <c r="I257" s="7">
        <v>45782</v>
      </c>
      <c r="J257" s="8">
        <v>150</v>
      </c>
      <c r="K257" s="7">
        <v>45809</v>
      </c>
      <c r="L257" s="5" t="s">
        <v>612</v>
      </c>
      <c r="O257" s="43" t="s">
        <v>1199</v>
      </c>
      <c r="P257" s="23">
        <v>1</v>
      </c>
    </row>
    <row r="258" spans="1:16" ht="14.4" customHeight="1" x14ac:dyDescent="0.3">
      <c r="A258" s="5">
        <v>258</v>
      </c>
      <c r="B258" s="7" t="s">
        <v>613</v>
      </c>
      <c r="C258" s="7" t="s">
        <v>614</v>
      </c>
      <c r="D258" s="5" t="s">
        <v>30</v>
      </c>
      <c r="E258" s="5" t="s">
        <v>155</v>
      </c>
      <c r="F258" s="6">
        <v>59153043</v>
      </c>
      <c r="G258" s="5" t="s">
        <v>16</v>
      </c>
      <c r="H258" s="7">
        <v>45781</v>
      </c>
      <c r="I258" s="7">
        <v>45782</v>
      </c>
      <c r="J258" s="8">
        <v>150</v>
      </c>
      <c r="K258" s="7">
        <v>45809</v>
      </c>
      <c r="L258" s="7"/>
      <c r="O258" s="43" t="s">
        <v>1020</v>
      </c>
      <c r="P258" s="23">
        <v>1</v>
      </c>
    </row>
    <row r="259" spans="1:16" ht="14.4" customHeight="1" x14ac:dyDescent="0.3">
      <c r="A259" s="5">
        <v>259</v>
      </c>
      <c r="B259" s="7" t="s">
        <v>615</v>
      </c>
      <c r="C259" s="7" t="s">
        <v>616</v>
      </c>
      <c r="D259" s="5" t="s">
        <v>14</v>
      </c>
      <c r="E259" s="5" t="s">
        <v>131</v>
      </c>
      <c r="F259" s="6">
        <v>57081283</v>
      </c>
      <c r="G259" s="5" t="s">
        <v>16</v>
      </c>
      <c r="H259" s="7">
        <v>45781</v>
      </c>
      <c r="I259" s="7">
        <v>45782</v>
      </c>
      <c r="J259" s="8">
        <v>150</v>
      </c>
      <c r="K259" s="7">
        <v>45809</v>
      </c>
      <c r="L259" s="7"/>
      <c r="O259" s="43" t="s">
        <v>2677</v>
      </c>
      <c r="P259" s="23">
        <v>1</v>
      </c>
    </row>
    <row r="260" spans="1:16" ht="14.4" customHeight="1" x14ac:dyDescent="0.3">
      <c r="A260" s="5">
        <v>260</v>
      </c>
      <c r="B260" s="7" t="s">
        <v>617</v>
      </c>
      <c r="C260" s="7" t="s">
        <v>618</v>
      </c>
      <c r="D260" s="5" t="s">
        <v>30</v>
      </c>
      <c r="E260" s="5" t="s">
        <v>80</v>
      </c>
      <c r="F260" s="6">
        <v>58168860</v>
      </c>
      <c r="G260" s="5" t="s">
        <v>16</v>
      </c>
      <c r="H260" s="7">
        <v>45781</v>
      </c>
      <c r="I260" s="7">
        <v>45782</v>
      </c>
      <c r="J260" s="8">
        <v>150</v>
      </c>
      <c r="K260" s="7">
        <v>45809</v>
      </c>
      <c r="L260" s="7"/>
      <c r="O260" s="43" t="s">
        <v>723</v>
      </c>
      <c r="P260" s="23">
        <v>2</v>
      </c>
    </row>
    <row r="261" spans="1:16" ht="14.4" customHeight="1" x14ac:dyDescent="0.3">
      <c r="A261" s="5">
        <v>261</v>
      </c>
      <c r="B261" s="7" t="s">
        <v>619</v>
      </c>
      <c r="C261" s="7" t="s">
        <v>620</v>
      </c>
      <c r="D261" s="5" t="s">
        <v>83</v>
      </c>
      <c r="E261" s="5" t="s">
        <v>84</v>
      </c>
      <c r="F261" s="6">
        <v>57400812</v>
      </c>
      <c r="G261" s="5" t="s">
        <v>16</v>
      </c>
      <c r="H261" s="7">
        <v>45781</v>
      </c>
      <c r="I261" s="7">
        <v>45782</v>
      </c>
      <c r="J261" s="8">
        <v>150</v>
      </c>
      <c r="K261" s="7">
        <v>45809</v>
      </c>
      <c r="L261" s="7"/>
      <c r="O261" s="43" t="s">
        <v>1081</v>
      </c>
      <c r="P261" s="23">
        <v>1</v>
      </c>
    </row>
    <row r="262" spans="1:16" ht="14.4" customHeight="1" x14ac:dyDescent="0.3">
      <c r="A262" s="5">
        <v>262</v>
      </c>
      <c r="B262" s="7" t="s">
        <v>621</v>
      </c>
      <c r="C262" s="7" t="s">
        <v>622</v>
      </c>
      <c r="D262" s="5" t="s">
        <v>83</v>
      </c>
      <c r="E262" s="5" t="s">
        <v>623</v>
      </c>
      <c r="F262" s="6">
        <v>57468188</v>
      </c>
      <c r="G262" s="5" t="s">
        <v>16</v>
      </c>
      <c r="H262" s="7">
        <v>45781</v>
      </c>
      <c r="I262" s="7">
        <v>45782</v>
      </c>
      <c r="J262" s="8">
        <v>150</v>
      </c>
      <c r="K262" s="7">
        <v>45809</v>
      </c>
      <c r="L262" s="7"/>
      <c r="O262" s="43" t="s">
        <v>2933</v>
      </c>
      <c r="P262" s="23">
        <v>1600</v>
      </c>
    </row>
    <row r="263" spans="1:16" ht="14.4" customHeight="1" x14ac:dyDescent="0.3">
      <c r="A263" s="5">
        <v>263</v>
      </c>
      <c r="B263" s="7" t="s">
        <v>624</v>
      </c>
      <c r="C263" s="7" t="s">
        <v>625</v>
      </c>
      <c r="D263" s="5" t="s">
        <v>68</v>
      </c>
      <c r="E263" s="5" t="s">
        <v>101</v>
      </c>
      <c r="F263" s="6">
        <v>59895059</v>
      </c>
      <c r="G263" s="5" t="s">
        <v>16</v>
      </c>
      <c r="H263" s="7">
        <v>45781</v>
      </c>
      <c r="I263" s="7">
        <v>45782</v>
      </c>
      <c r="J263" s="8">
        <v>150</v>
      </c>
      <c r="K263" s="7">
        <v>45809</v>
      </c>
      <c r="L263" s="7"/>
      <c r="P263" s="23"/>
    </row>
    <row r="264" spans="1:16" ht="14.4" customHeight="1" x14ac:dyDescent="0.3">
      <c r="A264" s="5">
        <v>264</v>
      </c>
      <c r="B264" s="7" t="s">
        <v>626</v>
      </c>
      <c r="C264" s="7" t="s">
        <v>627</v>
      </c>
      <c r="D264" s="5" t="s">
        <v>34</v>
      </c>
      <c r="E264" s="5" t="s">
        <v>41</v>
      </c>
      <c r="F264" s="6">
        <v>58014017</v>
      </c>
      <c r="G264" s="5" t="s">
        <v>16</v>
      </c>
      <c r="H264" s="7">
        <v>45781</v>
      </c>
      <c r="I264" s="7">
        <v>45782</v>
      </c>
      <c r="J264" s="8">
        <v>150</v>
      </c>
      <c r="K264" s="7">
        <v>45809</v>
      </c>
      <c r="L264" s="7"/>
      <c r="P264" s="23"/>
    </row>
    <row r="265" spans="1:16" ht="14.4" customHeight="1" x14ac:dyDescent="0.3">
      <c r="A265" s="5">
        <v>265</v>
      </c>
      <c r="B265" s="7" t="s">
        <v>628</v>
      </c>
      <c r="C265" s="5" t="s">
        <v>629</v>
      </c>
      <c r="D265" s="5" t="s">
        <v>26</v>
      </c>
      <c r="E265" s="5" t="s">
        <v>74</v>
      </c>
      <c r="F265" s="6">
        <v>58137551</v>
      </c>
      <c r="G265" s="5" t="s">
        <v>16</v>
      </c>
      <c r="H265" s="7">
        <v>45781</v>
      </c>
      <c r="I265" s="7">
        <v>45782</v>
      </c>
      <c r="J265" s="8">
        <v>150</v>
      </c>
      <c r="K265" s="7">
        <v>45809</v>
      </c>
      <c r="L265" s="7"/>
      <c r="P265" s="23"/>
    </row>
    <row r="266" spans="1:16" ht="14.4" customHeight="1" x14ac:dyDescent="0.3">
      <c r="A266" s="5">
        <v>266</v>
      </c>
      <c r="B266" s="7" t="s">
        <v>630</v>
      </c>
      <c r="C266" s="5" t="s">
        <v>631</v>
      </c>
      <c r="D266" s="5" t="s">
        <v>26</v>
      </c>
      <c r="E266" s="5" t="s">
        <v>149</v>
      </c>
      <c r="F266" s="6">
        <v>59237123</v>
      </c>
      <c r="G266" s="5" t="s">
        <v>16</v>
      </c>
      <c r="H266" s="7">
        <v>45781</v>
      </c>
      <c r="I266" s="7">
        <v>45782</v>
      </c>
      <c r="J266" s="8">
        <v>150</v>
      </c>
      <c r="K266" s="7">
        <v>45809</v>
      </c>
      <c r="L266" s="7"/>
      <c r="P266" s="23"/>
    </row>
    <row r="267" spans="1:16" ht="14.4" customHeight="1" x14ac:dyDescent="0.3">
      <c r="A267" s="5">
        <v>267</v>
      </c>
      <c r="B267" s="7" t="s">
        <v>632</v>
      </c>
      <c r="C267" s="5" t="s">
        <v>633</v>
      </c>
      <c r="D267" s="5" t="s">
        <v>14</v>
      </c>
      <c r="E267" s="5" t="s">
        <v>634</v>
      </c>
      <c r="F267" s="6">
        <v>57796610</v>
      </c>
      <c r="G267" s="5" t="s">
        <v>16</v>
      </c>
      <c r="H267" s="7">
        <v>45781</v>
      </c>
      <c r="I267" s="7">
        <v>45782</v>
      </c>
      <c r="J267" s="8">
        <v>150</v>
      </c>
      <c r="K267" s="7">
        <v>45809</v>
      </c>
      <c r="L267" s="7"/>
      <c r="P267" s="23"/>
    </row>
    <row r="268" spans="1:16" ht="14.4" customHeight="1" x14ac:dyDescent="0.3">
      <c r="A268" s="5">
        <v>268</v>
      </c>
      <c r="B268" s="7" t="s">
        <v>635</v>
      </c>
      <c r="C268" s="5" t="s">
        <v>636</v>
      </c>
      <c r="D268" s="5" t="s">
        <v>68</v>
      </c>
      <c r="E268" s="5" t="s">
        <v>101</v>
      </c>
      <c r="F268" s="6">
        <v>59292128</v>
      </c>
      <c r="G268" s="5" t="s">
        <v>16</v>
      </c>
      <c r="H268" s="7">
        <v>45781</v>
      </c>
      <c r="I268" s="7">
        <v>45782</v>
      </c>
      <c r="J268" s="8">
        <v>150</v>
      </c>
      <c r="K268" s="7">
        <v>45809</v>
      </c>
      <c r="L268" s="7"/>
      <c r="P268" s="23"/>
    </row>
    <row r="269" spans="1:16" ht="14.4" customHeight="1" x14ac:dyDescent="0.3">
      <c r="A269" s="5">
        <v>269</v>
      </c>
      <c r="B269" s="7" t="s">
        <v>637</v>
      </c>
      <c r="C269" s="5" t="s">
        <v>638</v>
      </c>
      <c r="D269" s="5" t="s">
        <v>83</v>
      </c>
      <c r="E269" s="5" t="s">
        <v>84</v>
      </c>
      <c r="F269" s="6">
        <v>57313330</v>
      </c>
      <c r="G269" s="5" t="s">
        <v>16</v>
      </c>
      <c r="H269" s="7">
        <v>45781</v>
      </c>
      <c r="I269" s="7">
        <v>45782</v>
      </c>
      <c r="J269" s="8">
        <v>150</v>
      </c>
      <c r="K269" s="7">
        <v>45809</v>
      </c>
      <c r="L269" s="7"/>
      <c r="P269" s="23"/>
    </row>
    <row r="270" spans="1:16" ht="14.4" customHeight="1" x14ac:dyDescent="0.3">
      <c r="A270" s="5">
        <v>270</v>
      </c>
      <c r="B270" s="7" t="s">
        <v>301</v>
      </c>
      <c r="C270" s="5" t="s">
        <v>639</v>
      </c>
      <c r="D270" s="5" t="s">
        <v>30</v>
      </c>
      <c r="E270" s="5" t="s">
        <v>77</v>
      </c>
      <c r="F270" s="6">
        <v>57687500</v>
      </c>
      <c r="G270" s="5" t="s">
        <v>16</v>
      </c>
      <c r="H270" s="7">
        <v>45781</v>
      </c>
      <c r="I270" s="7">
        <v>45782</v>
      </c>
      <c r="J270" s="8">
        <v>150</v>
      </c>
      <c r="K270" s="7">
        <v>45809</v>
      </c>
      <c r="L270" s="7"/>
      <c r="P270" s="23"/>
    </row>
    <row r="271" spans="1:16" ht="14.4" customHeight="1" x14ac:dyDescent="0.3">
      <c r="A271" s="5">
        <v>271</v>
      </c>
      <c r="B271" s="7" t="s">
        <v>640</v>
      </c>
      <c r="C271" s="5" t="s">
        <v>641</v>
      </c>
      <c r="D271" s="5" t="s">
        <v>30</v>
      </c>
      <c r="E271" s="5" t="s">
        <v>2950</v>
      </c>
      <c r="F271" s="6">
        <v>57993764</v>
      </c>
      <c r="G271" s="5" t="s">
        <v>16</v>
      </c>
      <c r="H271" s="7">
        <v>45781</v>
      </c>
      <c r="I271" s="7">
        <v>45782</v>
      </c>
      <c r="J271" s="8">
        <v>150</v>
      </c>
      <c r="K271" s="7">
        <v>45809</v>
      </c>
      <c r="L271" s="7"/>
      <c r="P271" s="23"/>
    </row>
    <row r="272" spans="1:16" ht="14.4" customHeight="1" x14ac:dyDescent="0.3">
      <c r="A272" s="5">
        <v>272</v>
      </c>
      <c r="B272" s="7" t="s">
        <v>642</v>
      </c>
      <c r="C272" s="5" t="s">
        <v>643</v>
      </c>
      <c r="D272" s="5" t="s">
        <v>26</v>
      </c>
      <c r="E272" s="5" t="s">
        <v>49</v>
      </c>
      <c r="F272" s="6">
        <v>57873113</v>
      </c>
      <c r="G272" s="5" t="s">
        <v>16</v>
      </c>
      <c r="H272" s="7">
        <v>45781</v>
      </c>
      <c r="I272" s="7">
        <v>45782</v>
      </c>
      <c r="J272" s="8">
        <v>150</v>
      </c>
      <c r="K272" s="7">
        <v>45809</v>
      </c>
      <c r="L272" s="7"/>
      <c r="P272" s="23"/>
    </row>
    <row r="273" spans="1:16" ht="14.4" customHeight="1" x14ac:dyDescent="0.3">
      <c r="A273" s="5">
        <v>273</v>
      </c>
      <c r="B273" s="7" t="s">
        <v>644</v>
      </c>
      <c r="C273" s="5" t="s">
        <v>645</v>
      </c>
      <c r="D273" s="5" t="s">
        <v>26</v>
      </c>
      <c r="E273" s="5" t="s">
        <v>149</v>
      </c>
      <c r="F273" s="6">
        <v>59221117</v>
      </c>
      <c r="G273" s="5" t="s">
        <v>16</v>
      </c>
      <c r="H273" s="7">
        <v>45781</v>
      </c>
      <c r="I273" s="7">
        <v>45782</v>
      </c>
      <c r="J273" s="8">
        <v>150</v>
      </c>
      <c r="K273" s="7">
        <v>45809</v>
      </c>
      <c r="L273" s="7"/>
      <c r="P273" s="23"/>
    </row>
    <row r="274" spans="1:16" ht="14.4" customHeight="1" x14ac:dyDescent="0.3">
      <c r="A274" s="5">
        <v>274</v>
      </c>
      <c r="B274" s="7" t="s">
        <v>646</v>
      </c>
      <c r="C274" s="5" t="s">
        <v>647</v>
      </c>
      <c r="D274" s="5" t="s">
        <v>26</v>
      </c>
      <c r="E274" s="5" t="s">
        <v>475</v>
      </c>
      <c r="F274" s="6">
        <v>57831045</v>
      </c>
      <c r="G274" s="5" t="s">
        <v>16</v>
      </c>
      <c r="H274" s="7">
        <v>45781</v>
      </c>
      <c r="I274" s="7">
        <v>45782</v>
      </c>
      <c r="J274" s="8">
        <v>150</v>
      </c>
      <c r="K274" s="7">
        <v>45809</v>
      </c>
      <c r="L274" s="7"/>
      <c r="P274" s="23"/>
    </row>
    <row r="275" spans="1:16" ht="14.4" customHeight="1" x14ac:dyDescent="0.3">
      <c r="A275" s="5">
        <v>275</v>
      </c>
      <c r="B275" s="7" t="s">
        <v>648</v>
      </c>
      <c r="C275" s="5" t="s">
        <v>649</v>
      </c>
      <c r="D275" s="5" t="s">
        <v>26</v>
      </c>
      <c r="E275" s="5" t="s">
        <v>74</v>
      </c>
      <c r="F275" s="6">
        <v>59158296</v>
      </c>
      <c r="G275" s="5" t="s">
        <v>16</v>
      </c>
      <c r="H275" s="7">
        <v>45781</v>
      </c>
      <c r="I275" s="7">
        <v>45782</v>
      </c>
      <c r="J275" s="8">
        <v>150</v>
      </c>
      <c r="K275" s="7">
        <v>45809</v>
      </c>
      <c r="L275" s="7"/>
      <c r="P275" s="23"/>
    </row>
    <row r="276" spans="1:16" ht="14.4" customHeight="1" x14ac:dyDescent="0.3">
      <c r="A276" s="5">
        <v>276</v>
      </c>
      <c r="B276" s="7" t="s">
        <v>650</v>
      </c>
      <c r="C276" s="5" t="s">
        <v>651</v>
      </c>
      <c r="D276" s="5" t="s">
        <v>26</v>
      </c>
      <c r="E276" s="5" t="s">
        <v>291</v>
      </c>
      <c r="F276" s="6">
        <v>57722084</v>
      </c>
      <c r="G276" s="5" t="s">
        <v>16</v>
      </c>
      <c r="H276" s="7">
        <v>45781</v>
      </c>
      <c r="I276" s="7">
        <v>45782</v>
      </c>
      <c r="J276" s="8">
        <v>150</v>
      </c>
      <c r="K276" s="7">
        <v>45809</v>
      </c>
      <c r="L276" s="7"/>
      <c r="P276" s="23"/>
    </row>
    <row r="277" spans="1:16" ht="14.4" customHeight="1" x14ac:dyDescent="0.3">
      <c r="A277" s="5">
        <v>277</v>
      </c>
      <c r="B277" s="7" t="s">
        <v>652</v>
      </c>
      <c r="C277" s="5" t="s">
        <v>653</v>
      </c>
      <c r="D277" s="5" t="s">
        <v>30</v>
      </c>
      <c r="E277" s="5" t="s">
        <v>546</v>
      </c>
      <c r="F277" s="6">
        <v>52782085</v>
      </c>
      <c r="G277" s="5" t="s">
        <v>16</v>
      </c>
      <c r="H277" s="7">
        <v>45781</v>
      </c>
      <c r="I277" s="7">
        <v>45782</v>
      </c>
      <c r="J277" s="8">
        <v>150</v>
      </c>
      <c r="K277" s="7">
        <v>45809</v>
      </c>
      <c r="L277" s="7"/>
      <c r="P277" s="23"/>
    </row>
    <row r="278" spans="1:16" ht="14.4" customHeight="1" x14ac:dyDescent="0.3">
      <c r="A278" s="5">
        <v>278</v>
      </c>
      <c r="B278" s="7" t="s">
        <v>654</v>
      </c>
      <c r="C278" s="5" t="s">
        <v>655</v>
      </c>
      <c r="D278" s="5" t="s">
        <v>22</v>
      </c>
      <c r="E278" s="5" t="s">
        <v>656</v>
      </c>
      <c r="F278" s="6">
        <v>58403228</v>
      </c>
      <c r="G278" s="5" t="s">
        <v>16</v>
      </c>
      <c r="H278" s="7">
        <v>45781</v>
      </c>
      <c r="I278" s="7">
        <v>45782</v>
      </c>
      <c r="J278" s="8">
        <v>150</v>
      </c>
      <c r="K278" s="7">
        <v>45809</v>
      </c>
      <c r="L278" s="7"/>
      <c r="P278" s="23"/>
    </row>
    <row r="279" spans="1:16" ht="14.4" customHeight="1" x14ac:dyDescent="0.3">
      <c r="A279" s="5">
        <v>279</v>
      </c>
      <c r="B279" s="7" t="s">
        <v>567</v>
      </c>
      <c r="C279" s="5" t="s">
        <v>568</v>
      </c>
      <c r="D279" s="5" t="s">
        <v>569</v>
      </c>
      <c r="E279" s="5" t="s">
        <v>1757</v>
      </c>
      <c r="F279" s="6">
        <v>57835977</v>
      </c>
      <c r="G279" s="5" t="s">
        <v>16</v>
      </c>
      <c r="H279" s="7">
        <v>45781</v>
      </c>
      <c r="I279" s="7">
        <v>45782</v>
      </c>
      <c r="J279" s="8">
        <v>150</v>
      </c>
      <c r="K279" s="7">
        <v>45809</v>
      </c>
      <c r="L279" s="7"/>
      <c r="P279" s="23"/>
    </row>
    <row r="280" spans="1:16" ht="14.4" customHeight="1" x14ac:dyDescent="0.3">
      <c r="A280" s="5">
        <v>280</v>
      </c>
      <c r="B280" s="7" t="s">
        <v>657</v>
      </c>
      <c r="C280" s="5" t="s">
        <v>658</v>
      </c>
      <c r="D280" s="5" t="s">
        <v>26</v>
      </c>
      <c r="E280" s="5" t="s">
        <v>659</v>
      </c>
      <c r="F280" s="6">
        <v>58060464</v>
      </c>
      <c r="G280" s="5" t="s">
        <v>16</v>
      </c>
      <c r="H280" s="7">
        <v>45781</v>
      </c>
      <c r="I280" s="7">
        <v>45782</v>
      </c>
      <c r="J280" s="8">
        <v>150</v>
      </c>
      <c r="K280" s="7">
        <v>45809</v>
      </c>
      <c r="L280" s="7"/>
      <c r="P280" s="23"/>
    </row>
    <row r="281" spans="1:16" ht="14.4" customHeight="1" x14ac:dyDescent="0.3">
      <c r="A281" s="5">
        <v>281</v>
      </c>
      <c r="B281" s="7" t="s">
        <v>434</v>
      </c>
      <c r="C281" s="5" t="s">
        <v>435</v>
      </c>
      <c r="D281" s="5" t="s">
        <v>26</v>
      </c>
      <c r="E281" s="5" t="s">
        <v>149</v>
      </c>
      <c r="F281" s="6">
        <v>59341806</v>
      </c>
      <c r="G281" s="5" t="s">
        <v>16</v>
      </c>
      <c r="H281" s="7">
        <v>45781</v>
      </c>
      <c r="I281" s="7">
        <v>45782</v>
      </c>
      <c r="J281" s="8">
        <v>150</v>
      </c>
      <c r="K281" s="7">
        <v>45809</v>
      </c>
      <c r="L281" s="7" t="s">
        <v>660</v>
      </c>
      <c r="P281" s="23"/>
    </row>
    <row r="282" spans="1:16" ht="14.4" customHeight="1" x14ac:dyDescent="0.3">
      <c r="A282" s="5">
        <v>282</v>
      </c>
      <c r="B282" s="7" t="s">
        <v>661</v>
      </c>
      <c r="C282" s="7" t="s">
        <v>662</v>
      </c>
      <c r="D282" s="5" t="s">
        <v>26</v>
      </c>
      <c r="E282" s="5" t="s">
        <v>49</v>
      </c>
      <c r="F282" s="6">
        <v>54233131</v>
      </c>
      <c r="G282" s="5" t="s">
        <v>1024</v>
      </c>
      <c r="H282" s="7">
        <v>45781</v>
      </c>
      <c r="I282" s="7">
        <v>45782</v>
      </c>
      <c r="J282" s="8">
        <v>150</v>
      </c>
      <c r="K282" s="7">
        <v>45809</v>
      </c>
      <c r="L282" s="7"/>
      <c r="P282" s="23"/>
    </row>
    <row r="283" spans="1:16" ht="14.4" customHeight="1" x14ac:dyDescent="0.3">
      <c r="A283" s="5">
        <v>284</v>
      </c>
      <c r="B283" s="7" t="s">
        <v>482</v>
      </c>
      <c r="C283" s="5" t="s">
        <v>483</v>
      </c>
      <c r="D283" s="5" t="s">
        <v>26</v>
      </c>
      <c r="E283" s="5" t="s">
        <v>466</v>
      </c>
      <c r="F283" s="6">
        <v>59099852</v>
      </c>
      <c r="G283" s="5" t="s">
        <v>16</v>
      </c>
      <c r="H283" s="7">
        <v>45781</v>
      </c>
      <c r="I283" s="7">
        <v>45782</v>
      </c>
      <c r="J283" s="8">
        <v>150</v>
      </c>
      <c r="K283" s="7">
        <v>45809</v>
      </c>
      <c r="L283" s="7"/>
      <c r="P283" s="23"/>
    </row>
    <row r="284" spans="1:16" ht="14.4" customHeight="1" x14ac:dyDescent="0.3">
      <c r="A284" s="5">
        <v>285</v>
      </c>
      <c r="B284" s="5" t="s">
        <v>665</v>
      </c>
      <c r="C284" s="5" t="s">
        <v>666</v>
      </c>
      <c r="D284" s="5" t="s">
        <v>14</v>
      </c>
      <c r="E284" s="5" t="s">
        <v>259</v>
      </c>
      <c r="F284" s="6">
        <v>55087432</v>
      </c>
      <c r="G284" s="5" t="s">
        <v>1024</v>
      </c>
      <c r="H284" s="7">
        <v>45781</v>
      </c>
      <c r="I284" s="7">
        <v>45782</v>
      </c>
      <c r="J284" s="8">
        <v>150</v>
      </c>
      <c r="K284" s="7">
        <v>45809</v>
      </c>
      <c r="L284" s="7"/>
      <c r="P284" s="23"/>
    </row>
    <row r="285" spans="1:16" ht="14.4" customHeight="1" x14ac:dyDescent="0.3">
      <c r="A285" s="5">
        <v>234</v>
      </c>
      <c r="B285" s="7" t="s">
        <v>561</v>
      </c>
      <c r="C285" s="7" t="s">
        <v>562</v>
      </c>
      <c r="D285" s="5" t="s">
        <v>41</v>
      </c>
      <c r="E285" s="5" t="s">
        <v>23</v>
      </c>
      <c r="F285" s="6">
        <v>59085614</v>
      </c>
      <c r="G285" s="5" t="s">
        <v>16</v>
      </c>
      <c r="H285" s="7">
        <v>45780</v>
      </c>
      <c r="I285" s="7">
        <v>45785</v>
      </c>
      <c r="J285" s="8">
        <v>0</v>
      </c>
      <c r="K285" s="7" t="s">
        <v>2546</v>
      </c>
      <c r="L285" s="7" t="s">
        <v>2546</v>
      </c>
      <c r="P285" s="23"/>
    </row>
    <row r="286" spans="1:16" ht="14.4" customHeight="1" x14ac:dyDescent="0.3">
      <c r="A286" s="5">
        <v>286</v>
      </c>
      <c r="B286" s="5" t="s">
        <v>667</v>
      </c>
      <c r="C286" s="5" t="s">
        <v>668</v>
      </c>
      <c r="D286" s="5" t="s">
        <v>68</v>
      </c>
      <c r="E286" s="5" t="s">
        <v>69</v>
      </c>
      <c r="F286" s="6">
        <v>57018344</v>
      </c>
      <c r="G286" s="5" t="s">
        <v>16</v>
      </c>
      <c r="H286" s="7">
        <v>45784</v>
      </c>
      <c r="I286" s="7">
        <v>45785</v>
      </c>
      <c r="J286" s="8">
        <v>150</v>
      </c>
      <c r="K286" s="7">
        <v>45809</v>
      </c>
      <c r="L286" s="7"/>
      <c r="P286" s="23"/>
    </row>
    <row r="287" spans="1:16" ht="14.4" customHeight="1" x14ac:dyDescent="0.3">
      <c r="A287" s="5">
        <v>287</v>
      </c>
      <c r="B287" s="5" t="s">
        <v>669</v>
      </c>
      <c r="C287" s="5" t="s">
        <v>670</v>
      </c>
      <c r="D287" s="5" t="s">
        <v>68</v>
      </c>
      <c r="E287" s="5" t="s">
        <v>63</v>
      </c>
      <c r="F287" s="6">
        <v>57346510</v>
      </c>
      <c r="G287" s="5" t="s">
        <v>16</v>
      </c>
      <c r="H287" s="7">
        <v>45784</v>
      </c>
      <c r="I287" s="7">
        <v>45785</v>
      </c>
      <c r="J287" s="8">
        <v>150</v>
      </c>
      <c r="K287" s="7">
        <v>45809</v>
      </c>
      <c r="L287" s="7"/>
      <c r="P287" s="23"/>
    </row>
    <row r="288" spans="1:16" ht="14.4" customHeight="1" x14ac:dyDescent="0.3">
      <c r="A288" s="5">
        <v>288</v>
      </c>
      <c r="B288" s="5" t="s">
        <v>671</v>
      </c>
      <c r="C288" s="5" t="s">
        <v>672</v>
      </c>
      <c r="D288" s="5" t="s">
        <v>601</v>
      </c>
      <c r="E288" s="5" t="s">
        <v>673</v>
      </c>
      <c r="F288" s="6">
        <v>58262719</v>
      </c>
      <c r="G288" s="5" t="s">
        <v>16</v>
      </c>
      <c r="H288" s="7">
        <v>45784</v>
      </c>
      <c r="I288" s="7">
        <v>45785</v>
      </c>
      <c r="J288" s="8">
        <v>150</v>
      </c>
      <c r="K288" s="7">
        <v>45809</v>
      </c>
      <c r="L288" s="7"/>
      <c r="P288" s="23"/>
    </row>
    <row r="289" spans="1:16" ht="14.4" customHeight="1" x14ac:dyDescent="0.3">
      <c r="A289" s="5">
        <v>289</v>
      </c>
      <c r="B289" s="5" t="s">
        <v>674</v>
      </c>
      <c r="C289" s="5" t="s">
        <v>675</v>
      </c>
      <c r="D289" s="5" t="s">
        <v>84</v>
      </c>
      <c r="E289" s="5" t="s">
        <v>84</v>
      </c>
      <c r="F289" s="6">
        <v>54952355</v>
      </c>
      <c r="G289" s="5" t="s">
        <v>16</v>
      </c>
      <c r="H289" s="7">
        <v>45784</v>
      </c>
      <c r="I289" s="7">
        <v>45785</v>
      </c>
      <c r="J289" s="8">
        <v>150</v>
      </c>
      <c r="K289" s="7">
        <v>45809</v>
      </c>
      <c r="L289" s="7"/>
      <c r="P289" s="23"/>
    </row>
    <row r="290" spans="1:16" ht="14.4" customHeight="1" x14ac:dyDescent="0.3">
      <c r="A290" s="5">
        <v>290</v>
      </c>
      <c r="B290" s="5" t="s">
        <v>676</v>
      </c>
      <c r="C290" s="5" t="s">
        <v>677</v>
      </c>
      <c r="D290" s="5" t="s">
        <v>41</v>
      </c>
      <c r="E290" s="5" t="s">
        <v>23</v>
      </c>
      <c r="F290" s="6">
        <v>58281246</v>
      </c>
      <c r="G290" s="5" t="s">
        <v>16</v>
      </c>
      <c r="H290" s="7">
        <v>45784</v>
      </c>
      <c r="I290" s="7">
        <v>45785</v>
      </c>
      <c r="J290" s="8">
        <v>150</v>
      </c>
      <c r="K290" s="7">
        <v>45809</v>
      </c>
      <c r="L290" s="7"/>
      <c r="P290" s="23"/>
    </row>
    <row r="291" spans="1:16" ht="14.4" customHeight="1" x14ac:dyDescent="0.3">
      <c r="A291" s="5">
        <v>291</v>
      </c>
      <c r="B291" s="5" t="s">
        <v>678</v>
      </c>
      <c r="C291" s="5" t="s">
        <v>679</v>
      </c>
      <c r="D291" s="5" t="s">
        <v>601</v>
      </c>
      <c r="E291" s="5" t="s">
        <v>262</v>
      </c>
      <c r="F291" s="6">
        <v>57551100</v>
      </c>
      <c r="G291" s="5" t="s">
        <v>16</v>
      </c>
      <c r="H291" s="7">
        <v>45784</v>
      </c>
      <c r="I291" s="7">
        <v>45785</v>
      </c>
      <c r="J291" s="8">
        <v>150</v>
      </c>
      <c r="K291" s="7">
        <v>45809</v>
      </c>
      <c r="L291" s="7"/>
      <c r="P291" s="23"/>
    </row>
    <row r="292" spans="1:16" ht="14.4" customHeight="1" x14ac:dyDescent="0.3">
      <c r="A292" s="5">
        <v>292</v>
      </c>
      <c r="B292" s="5" t="s">
        <v>680</v>
      </c>
      <c r="C292" s="5" t="s">
        <v>681</v>
      </c>
      <c r="D292" s="5" t="s">
        <v>68</v>
      </c>
      <c r="E292" s="5" t="s">
        <v>101</v>
      </c>
      <c r="F292" s="6">
        <v>57359491</v>
      </c>
      <c r="G292" s="5" t="s">
        <v>16</v>
      </c>
      <c r="H292" s="7">
        <v>45784</v>
      </c>
      <c r="I292" s="7">
        <v>45785</v>
      </c>
      <c r="J292" s="8">
        <v>150</v>
      </c>
      <c r="K292" s="7">
        <v>45809</v>
      </c>
      <c r="L292" s="7"/>
      <c r="P292" s="23"/>
    </row>
    <row r="293" spans="1:16" ht="14.4" customHeight="1" x14ac:dyDescent="0.3">
      <c r="A293" s="5">
        <v>293</v>
      </c>
      <c r="B293" s="5" t="s">
        <v>682</v>
      </c>
      <c r="C293" s="5" t="s">
        <v>683</v>
      </c>
      <c r="D293" s="5" t="s">
        <v>601</v>
      </c>
      <c r="E293" s="5" t="s">
        <v>259</v>
      </c>
      <c r="F293" s="6">
        <v>57696381</v>
      </c>
      <c r="G293" s="5" t="s">
        <v>16</v>
      </c>
      <c r="H293" s="7">
        <v>45784</v>
      </c>
      <c r="I293" s="7">
        <v>45785</v>
      </c>
      <c r="J293" s="8">
        <v>150</v>
      </c>
      <c r="K293" s="7">
        <v>45809</v>
      </c>
      <c r="L293" s="7"/>
      <c r="P293" s="23"/>
    </row>
    <row r="294" spans="1:16" ht="14.4" customHeight="1" x14ac:dyDescent="0.3">
      <c r="A294" s="5">
        <v>294</v>
      </c>
      <c r="B294" s="5" t="s">
        <v>652</v>
      </c>
      <c r="C294" s="5" t="s">
        <v>653</v>
      </c>
      <c r="D294" s="5" t="s">
        <v>601</v>
      </c>
      <c r="E294" s="5" t="s">
        <v>546</v>
      </c>
      <c r="F294" s="6">
        <v>52782085</v>
      </c>
      <c r="G294" s="5" t="s">
        <v>16</v>
      </c>
      <c r="H294" s="7">
        <v>45784</v>
      </c>
      <c r="I294" s="7">
        <v>45785</v>
      </c>
      <c r="J294" s="8">
        <v>150</v>
      </c>
      <c r="K294" s="7">
        <v>45809</v>
      </c>
      <c r="L294" s="7"/>
      <c r="P294" s="23"/>
    </row>
    <row r="295" spans="1:16" ht="14.4" customHeight="1" x14ac:dyDescent="0.3">
      <c r="A295" s="5">
        <v>295</v>
      </c>
      <c r="B295" s="5" t="s">
        <v>685</v>
      </c>
      <c r="C295" s="5" t="s">
        <v>686</v>
      </c>
      <c r="D295" s="5" t="s">
        <v>475</v>
      </c>
      <c r="E295" s="5" t="s">
        <v>687</v>
      </c>
      <c r="F295" s="6">
        <v>57051435</v>
      </c>
      <c r="G295" s="5" t="s">
        <v>16</v>
      </c>
      <c r="H295" s="7">
        <v>45784</v>
      </c>
      <c r="I295" s="7">
        <v>45785</v>
      </c>
      <c r="J295" s="8">
        <v>150</v>
      </c>
      <c r="K295" s="7">
        <v>45809</v>
      </c>
      <c r="L295" s="7"/>
      <c r="P295" s="23"/>
    </row>
    <row r="296" spans="1:16" ht="14.4" customHeight="1" x14ac:dyDescent="0.3">
      <c r="A296" s="5">
        <v>296</v>
      </c>
      <c r="B296" s="5" t="s">
        <v>688</v>
      </c>
      <c r="C296" s="5" t="s">
        <v>689</v>
      </c>
      <c r="D296" s="5" t="s">
        <v>84</v>
      </c>
      <c r="E296" s="5" t="s">
        <v>149</v>
      </c>
      <c r="F296" s="6">
        <v>57605755</v>
      </c>
      <c r="G296" s="5" t="s">
        <v>16</v>
      </c>
      <c r="H296" s="7">
        <v>45784</v>
      </c>
      <c r="I296" s="7">
        <v>45785</v>
      </c>
      <c r="J296" s="8">
        <v>150</v>
      </c>
      <c r="K296" s="7">
        <v>45809</v>
      </c>
      <c r="L296" s="7"/>
      <c r="P296" s="23"/>
    </row>
    <row r="297" spans="1:16" ht="14.4" customHeight="1" x14ac:dyDescent="0.3">
      <c r="A297" s="5">
        <v>297</v>
      </c>
      <c r="B297" s="5" t="s">
        <v>690</v>
      </c>
      <c r="C297" s="5" t="s">
        <v>691</v>
      </c>
      <c r="D297" s="5" t="s">
        <v>30</v>
      </c>
      <c r="E297" s="5" t="s">
        <v>344</v>
      </c>
      <c r="F297" s="6">
        <v>58408662</v>
      </c>
      <c r="G297" s="5" t="s">
        <v>16</v>
      </c>
      <c r="H297" s="7">
        <v>45784</v>
      </c>
      <c r="I297" s="7">
        <v>45785</v>
      </c>
      <c r="J297" s="8">
        <v>150</v>
      </c>
      <c r="K297" s="7">
        <v>45809</v>
      </c>
      <c r="L297" s="7"/>
      <c r="P297" s="23"/>
    </row>
    <row r="298" spans="1:16" ht="14.4" customHeight="1" x14ac:dyDescent="0.3">
      <c r="A298" s="5">
        <v>298</v>
      </c>
      <c r="B298" s="5" t="s">
        <v>692</v>
      </c>
      <c r="C298" s="5" t="s">
        <v>693</v>
      </c>
      <c r="D298" s="5" t="s">
        <v>68</v>
      </c>
      <c r="E298" s="5" t="s">
        <v>69</v>
      </c>
      <c r="F298" s="6">
        <v>57536446</v>
      </c>
      <c r="G298" s="5" t="s">
        <v>16</v>
      </c>
      <c r="H298" s="7">
        <v>45784</v>
      </c>
      <c r="I298" s="7">
        <v>45785</v>
      </c>
      <c r="J298" s="8">
        <v>150</v>
      </c>
      <c r="K298" s="7">
        <v>45809</v>
      </c>
      <c r="L298" s="7"/>
      <c r="P298" s="23"/>
    </row>
    <row r="299" spans="1:16" ht="14.4" customHeight="1" x14ac:dyDescent="0.3">
      <c r="A299" s="5">
        <v>299</v>
      </c>
      <c r="B299" s="5" t="s">
        <v>694</v>
      </c>
      <c r="C299" s="5" t="s">
        <v>695</v>
      </c>
      <c r="D299" s="5" t="s">
        <v>68</v>
      </c>
      <c r="E299" s="5" t="s">
        <v>696</v>
      </c>
      <c r="F299" s="6">
        <v>57025491</v>
      </c>
      <c r="G299" s="5" t="s">
        <v>16</v>
      </c>
      <c r="H299" s="7">
        <v>45784</v>
      </c>
      <c r="I299" s="7">
        <v>45785</v>
      </c>
      <c r="J299" s="8">
        <v>150</v>
      </c>
      <c r="K299" s="7">
        <v>45809</v>
      </c>
      <c r="L299" s="7"/>
      <c r="P299" s="23"/>
    </row>
    <row r="300" spans="1:16" ht="14.4" customHeight="1" x14ac:dyDescent="0.3">
      <c r="A300" s="5">
        <v>300</v>
      </c>
      <c r="B300" s="5" t="s">
        <v>519</v>
      </c>
      <c r="C300" s="5" t="s">
        <v>520</v>
      </c>
      <c r="D300" s="5" t="s">
        <v>41</v>
      </c>
      <c r="E300" s="5" t="s">
        <v>144</v>
      </c>
      <c r="F300" s="6">
        <v>59063468</v>
      </c>
      <c r="G300" s="5" t="s">
        <v>16</v>
      </c>
      <c r="H300" s="7">
        <v>45784</v>
      </c>
      <c r="I300" s="7">
        <v>45785</v>
      </c>
      <c r="J300" s="8">
        <v>150</v>
      </c>
      <c r="K300" s="7">
        <v>45809</v>
      </c>
      <c r="L300" s="7"/>
      <c r="P300" s="23"/>
    </row>
    <row r="301" spans="1:16" ht="14.4" customHeight="1" x14ac:dyDescent="0.3">
      <c r="A301" s="5">
        <v>301</v>
      </c>
      <c r="B301" s="5" t="s">
        <v>400</v>
      </c>
      <c r="C301" s="5" t="s">
        <v>697</v>
      </c>
      <c r="D301" s="5" t="s">
        <v>68</v>
      </c>
      <c r="E301" s="5" t="s">
        <v>402</v>
      </c>
      <c r="F301" s="6">
        <v>59718556</v>
      </c>
      <c r="G301" s="5" t="s">
        <v>16</v>
      </c>
      <c r="H301" s="7">
        <v>45784</v>
      </c>
      <c r="I301" s="7">
        <v>45785</v>
      </c>
      <c r="J301" s="8">
        <v>150</v>
      </c>
      <c r="K301" s="7">
        <v>45809</v>
      </c>
      <c r="L301" s="7"/>
      <c r="P301" s="23"/>
    </row>
    <row r="302" spans="1:16" ht="14.4" customHeight="1" x14ac:dyDescent="0.3">
      <c r="A302" s="5">
        <v>303</v>
      </c>
      <c r="B302" s="5" t="s">
        <v>698</v>
      </c>
      <c r="C302" s="5" t="s">
        <v>699</v>
      </c>
      <c r="D302" s="5" t="s">
        <v>137</v>
      </c>
      <c r="E302" s="5" t="s">
        <v>77</v>
      </c>
      <c r="F302" s="6">
        <v>58304085</v>
      </c>
      <c r="G302" s="5" t="s">
        <v>16</v>
      </c>
      <c r="H302" s="7">
        <v>45784</v>
      </c>
      <c r="I302" s="7">
        <v>45785</v>
      </c>
      <c r="J302" s="8">
        <v>150</v>
      </c>
      <c r="K302" s="7">
        <v>45809</v>
      </c>
      <c r="L302" s="7"/>
      <c r="P302" s="23"/>
    </row>
    <row r="303" spans="1:16" ht="14.4" customHeight="1" x14ac:dyDescent="0.3">
      <c r="A303" s="5">
        <v>304</v>
      </c>
      <c r="B303" s="5" t="s">
        <v>701</v>
      </c>
      <c r="C303" s="5" t="s">
        <v>702</v>
      </c>
      <c r="D303" s="5" t="s">
        <v>68</v>
      </c>
      <c r="E303" s="5" t="s">
        <v>49</v>
      </c>
      <c r="F303" s="6">
        <v>58097960</v>
      </c>
      <c r="G303" s="5" t="s">
        <v>16</v>
      </c>
      <c r="H303" s="7">
        <v>45784</v>
      </c>
      <c r="I303" s="7">
        <v>45785</v>
      </c>
      <c r="J303" s="8">
        <v>150</v>
      </c>
      <c r="K303" s="7">
        <v>45809</v>
      </c>
      <c r="L303" s="7"/>
      <c r="P303" s="23"/>
    </row>
    <row r="304" spans="1:16" ht="14.4" customHeight="1" x14ac:dyDescent="0.3">
      <c r="A304" s="5">
        <v>305</v>
      </c>
      <c r="B304" s="5" t="s">
        <v>1647</v>
      </c>
      <c r="C304" s="5" t="s">
        <v>703</v>
      </c>
      <c r="D304" s="5" t="s">
        <v>68</v>
      </c>
      <c r="E304" s="5" t="s">
        <v>49</v>
      </c>
      <c r="F304" s="6">
        <v>57849017</v>
      </c>
      <c r="G304" s="5" t="s">
        <v>16</v>
      </c>
      <c r="H304" s="7">
        <v>45784</v>
      </c>
      <c r="I304" s="7">
        <v>45785</v>
      </c>
      <c r="J304" s="8">
        <v>150</v>
      </c>
      <c r="K304" s="7">
        <v>45809</v>
      </c>
      <c r="L304" s="7"/>
      <c r="P304" s="23"/>
    </row>
    <row r="305" spans="1:16" ht="14.4" customHeight="1" x14ac:dyDescent="0.3">
      <c r="A305" s="5">
        <v>306</v>
      </c>
      <c r="B305" s="5" t="s">
        <v>704</v>
      </c>
      <c r="C305" s="5" t="s">
        <v>705</v>
      </c>
      <c r="D305" s="5" t="s">
        <v>706</v>
      </c>
      <c r="E305" s="5" t="s">
        <v>2367</v>
      </c>
      <c r="F305" s="6">
        <v>57567891</v>
      </c>
      <c r="G305" s="5" t="s">
        <v>16</v>
      </c>
      <c r="H305" s="7">
        <v>45784</v>
      </c>
      <c r="I305" s="7">
        <v>45785</v>
      </c>
      <c r="J305" s="8">
        <v>150</v>
      </c>
      <c r="K305" s="7">
        <v>45809</v>
      </c>
      <c r="L305" s="7"/>
      <c r="P305" s="23"/>
    </row>
    <row r="306" spans="1:16" ht="14.4" customHeight="1" x14ac:dyDescent="0.3">
      <c r="A306" s="5">
        <v>308</v>
      </c>
      <c r="B306" s="5" t="s">
        <v>710</v>
      </c>
      <c r="C306" s="5" t="s">
        <v>711</v>
      </c>
      <c r="D306" s="5" t="s">
        <v>84</v>
      </c>
      <c r="E306" s="5" t="s">
        <v>84</v>
      </c>
      <c r="F306" s="6">
        <v>57054932</v>
      </c>
      <c r="G306" s="5" t="s">
        <v>16</v>
      </c>
      <c r="H306" s="7">
        <v>45784</v>
      </c>
      <c r="I306" s="7">
        <v>45785</v>
      </c>
      <c r="J306" s="8">
        <v>150</v>
      </c>
      <c r="K306" s="7">
        <v>45809</v>
      </c>
      <c r="L306" s="7"/>
      <c r="P306" s="23"/>
    </row>
    <row r="307" spans="1:16" ht="14.4" customHeight="1" x14ac:dyDescent="0.3">
      <c r="A307" s="5">
        <v>309</v>
      </c>
      <c r="B307" s="5" t="s">
        <v>713</v>
      </c>
      <c r="C307" s="5" t="s">
        <v>714</v>
      </c>
      <c r="D307" s="5" t="s">
        <v>41</v>
      </c>
      <c r="E307" s="5" t="s">
        <v>715</v>
      </c>
      <c r="F307" s="6">
        <v>59864950</v>
      </c>
      <c r="G307" s="5" t="s">
        <v>16</v>
      </c>
      <c r="H307" s="7">
        <v>45784</v>
      </c>
      <c r="I307" s="7">
        <v>45785</v>
      </c>
      <c r="J307" s="8">
        <v>150</v>
      </c>
      <c r="K307" s="7">
        <v>45809</v>
      </c>
      <c r="L307" s="7"/>
      <c r="P307" s="23"/>
    </row>
    <row r="308" spans="1:16" ht="14.4" customHeight="1" x14ac:dyDescent="0.3">
      <c r="A308" s="5">
        <v>310</v>
      </c>
      <c r="B308" s="5" t="s">
        <v>716</v>
      </c>
      <c r="C308" s="5" t="s">
        <v>323</v>
      </c>
      <c r="D308" s="5" t="s">
        <v>475</v>
      </c>
      <c r="E308" s="5" t="s">
        <v>717</v>
      </c>
      <c r="F308" s="6">
        <v>57781608</v>
      </c>
      <c r="G308" s="5" t="s">
        <v>16</v>
      </c>
      <c r="H308" s="7">
        <v>45784</v>
      </c>
      <c r="I308" s="7">
        <v>45785</v>
      </c>
      <c r="J308" s="8">
        <v>150</v>
      </c>
      <c r="K308" s="7">
        <v>45809</v>
      </c>
      <c r="L308" s="7"/>
      <c r="P308" s="23"/>
    </row>
    <row r="309" spans="1:16" ht="14.4" customHeight="1" x14ac:dyDescent="0.3">
      <c r="A309" s="5">
        <v>311</v>
      </c>
      <c r="B309" s="5" t="s">
        <v>718</v>
      </c>
      <c r="C309" s="5" t="s">
        <v>719</v>
      </c>
      <c r="D309" s="5" t="s">
        <v>137</v>
      </c>
      <c r="E309" s="5" t="s">
        <v>720</v>
      </c>
      <c r="F309" s="6">
        <v>59125807</v>
      </c>
      <c r="G309" s="5" t="s">
        <v>16</v>
      </c>
      <c r="H309" s="7">
        <v>45784</v>
      </c>
      <c r="I309" s="7">
        <v>45785</v>
      </c>
      <c r="J309" s="8">
        <v>150</v>
      </c>
      <c r="K309" s="7">
        <v>45809</v>
      </c>
      <c r="L309" s="7"/>
      <c r="P309" s="23"/>
    </row>
    <row r="310" spans="1:16" ht="14.4" customHeight="1" x14ac:dyDescent="0.3">
      <c r="A310" s="5">
        <v>312</v>
      </c>
      <c r="B310" s="5" t="s">
        <v>721</v>
      </c>
      <c r="C310" s="5" t="s">
        <v>722</v>
      </c>
      <c r="D310" s="5" t="s">
        <v>601</v>
      </c>
      <c r="E310" s="5" t="s">
        <v>723</v>
      </c>
      <c r="F310" s="6">
        <v>59875123</v>
      </c>
      <c r="G310" s="5" t="s">
        <v>16</v>
      </c>
      <c r="H310" s="7">
        <v>45784</v>
      </c>
      <c r="I310" s="7">
        <v>45785</v>
      </c>
      <c r="J310" s="8">
        <v>150</v>
      </c>
      <c r="K310" s="7">
        <v>45809</v>
      </c>
      <c r="L310" s="7"/>
      <c r="P310" s="23"/>
    </row>
    <row r="311" spans="1:16" ht="14.4" customHeight="1" x14ac:dyDescent="0.3">
      <c r="A311" s="5">
        <v>313</v>
      </c>
      <c r="B311" s="5" t="s">
        <v>371</v>
      </c>
      <c r="C311" s="5" t="s">
        <v>724</v>
      </c>
      <c r="D311" s="5" t="s">
        <v>475</v>
      </c>
      <c r="E311" s="5" t="s">
        <v>27</v>
      </c>
      <c r="F311" s="6">
        <v>57743751</v>
      </c>
      <c r="G311" s="5" t="s">
        <v>16</v>
      </c>
      <c r="H311" s="7">
        <v>45784</v>
      </c>
      <c r="I311" s="7">
        <v>45785</v>
      </c>
      <c r="J311" s="8">
        <v>150</v>
      </c>
      <c r="K311" s="7">
        <v>45809</v>
      </c>
      <c r="L311" s="7"/>
      <c r="P311" s="23"/>
    </row>
    <row r="312" spans="1:16" ht="14.4" customHeight="1" x14ac:dyDescent="0.3">
      <c r="A312" s="5">
        <v>314</v>
      </c>
      <c r="B312" s="5" t="s">
        <v>725</v>
      </c>
      <c r="C312" s="5" t="s">
        <v>726</v>
      </c>
      <c r="D312" s="5" t="s">
        <v>426</v>
      </c>
      <c r="E312" s="5" t="s">
        <v>254</v>
      </c>
      <c r="F312" s="6">
        <v>57953690</v>
      </c>
      <c r="G312" s="5" t="s">
        <v>16</v>
      </c>
      <c r="H312" s="7">
        <v>45784</v>
      </c>
      <c r="I312" s="7">
        <v>45785</v>
      </c>
      <c r="J312" s="8">
        <v>150</v>
      </c>
      <c r="K312" s="7">
        <v>45809</v>
      </c>
      <c r="L312" s="7"/>
      <c r="P312" s="23"/>
    </row>
    <row r="313" spans="1:16" ht="14.4" customHeight="1" x14ac:dyDescent="0.3">
      <c r="A313" s="5">
        <v>315</v>
      </c>
      <c r="B313" s="5" t="s">
        <v>727</v>
      </c>
      <c r="C313" s="5" t="s">
        <v>728</v>
      </c>
      <c r="D313" s="5" t="s">
        <v>41</v>
      </c>
      <c r="E313" s="5" t="s">
        <v>2945</v>
      </c>
      <c r="F313" s="33">
        <v>59231709</v>
      </c>
      <c r="G313" s="5" t="s">
        <v>16</v>
      </c>
      <c r="H313" s="7">
        <v>45784</v>
      </c>
      <c r="I313" s="7">
        <v>45785</v>
      </c>
      <c r="J313" s="8">
        <v>150</v>
      </c>
      <c r="K313" s="7">
        <v>45809</v>
      </c>
      <c r="L313" s="7"/>
      <c r="P313" s="23"/>
    </row>
    <row r="314" spans="1:16" ht="14.4" customHeight="1" x14ac:dyDescent="0.3">
      <c r="A314" s="5">
        <v>317</v>
      </c>
      <c r="B314" s="5" t="s">
        <v>732</v>
      </c>
      <c r="C314" s="5" t="s">
        <v>29</v>
      </c>
      <c r="D314" s="5" t="s">
        <v>706</v>
      </c>
      <c r="E314" s="5" t="s">
        <v>31</v>
      </c>
      <c r="F314" s="6">
        <v>58051240</v>
      </c>
      <c r="G314" s="5" t="s">
        <v>16</v>
      </c>
      <c r="H314" s="7">
        <v>45784</v>
      </c>
      <c r="I314" s="7">
        <v>45785</v>
      </c>
      <c r="J314" s="8">
        <v>150</v>
      </c>
      <c r="K314" s="7">
        <v>45809</v>
      </c>
      <c r="L314" s="7"/>
      <c r="P314" s="23"/>
    </row>
    <row r="315" spans="1:16" ht="14.4" customHeight="1" x14ac:dyDescent="0.3">
      <c r="A315" s="5">
        <v>318</v>
      </c>
      <c r="B315" s="5" t="s">
        <v>733</v>
      </c>
      <c r="C315" s="5" t="s">
        <v>734</v>
      </c>
      <c r="D315" s="5" t="s">
        <v>68</v>
      </c>
      <c r="E315" s="5" t="s">
        <v>226</v>
      </c>
      <c r="F315" s="6">
        <v>57718586</v>
      </c>
      <c r="G315" s="5" t="s">
        <v>16</v>
      </c>
      <c r="H315" s="7">
        <v>45784</v>
      </c>
      <c r="I315" s="7">
        <v>45785</v>
      </c>
      <c r="J315" s="8">
        <v>150</v>
      </c>
      <c r="K315" s="7">
        <v>45809</v>
      </c>
      <c r="L315" s="7"/>
      <c r="P315" s="23"/>
    </row>
    <row r="316" spans="1:16" ht="14.4" customHeight="1" x14ac:dyDescent="0.3">
      <c r="A316" s="5">
        <v>319</v>
      </c>
      <c r="B316" s="5" t="s">
        <v>735</v>
      </c>
      <c r="C316" s="5" t="s">
        <v>736</v>
      </c>
      <c r="D316" s="5" t="s">
        <v>68</v>
      </c>
      <c r="E316" s="5" t="s">
        <v>696</v>
      </c>
      <c r="F316" s="6">
        <v>59796600</v>
      </c>
      <c r="G316" s="5" t="s">
        <v>16</v>
      </c>
      <c r="H316" s="7">
        <v>45784</v>
      </c>
      <c r="I316" s="7">
        <v>45785</v>
      </c>
      <c r="J316" s="8">
        <v>150</v>
      </c>
      <c r="K316" s="7">
        <v>45809</v>
      </c>
      <c r="L316" s="7"/>
      <c r="P316" s="23"/>
    </row>
    <row r="317" spans="1:16" ht="14.4" customHeight="1" x14ac:dyDescent="0.3">
      <c r="A317" s="5">
        <v>320</v>
      </c>
      <c r="B317" s="5" t="s">
        <v>737</v>
      </c>
      <c r="C317" s="5" t="s">
        <v>738</v>
      </c>
      <c r="D317" s="5" t="s">
        <v>84</v>
      </c>
      <c r="E317" s="5" t="s">
        <v>84</v>
      </c>
      <c r="F317" s="6">
        <v>59790984</v>
      </c>
      <c r="G317" s="5" t="s">
        <v>16</v>
      </c>
      <c r="H317" s="7">
        <v>45784</v>
      </c>
      <c r="I317" s="7">
        <v>45785</v>
      </c>
      <c r="J317" s="8">
        <v>150</v>
      </c>
      <c r="K317" s="7">
        <v>45809</v>
      </c>
      <c r="L317" s="7"/>
      <c r="P317" s="23"/>
    </row>
    <row r="318" spans="1:16" ht="14.4" customHeight="1" x14ac:dyDescent="0.3">
      <c r="A318" s="5">
        <v>321</v>
      </c>
      <c r="B318" s="5" t="s">
        <v>739</v>
      </c>
      <c r="C318" s="5" t="s">
        <v>740</v>
      </c>
      <c r="D318" s="5" t="s">
        <v>68</v>
      </c>
      <c r="E318" s="5" t="s">
        <v>69</v>
      </c>
      <c r="F318" s="6">
        <v>57481259</v>
      </c>
      <c r="G318" s="5" t="s">
        <v>16</v>
      </c>
      <c r="H318" s="7">
        <v>45784</v>
      </c>
      <c r="I318" s="7">
        <v>45785</v>
      </c>
      <c r="J318" s="8">
        <v>150</v>
      </c>
      <c r="K318" s="7">
        <v>45809</v>
      </c>
      <c r="L318" s="7"/>
      <c r="P318" s="23"/>
    </row>
    <row r="319" spans="1:16" ht="14.4" customHeight="1" x14ac:dyDescent="0.3">
      <c r="A319" s="5">
        <v>322</v>
      </c>
      <c r="B319" s="5" t="s">
        <v>741</v>
      </c>
      <c r="C319" s="5" t="s">
        <v>742</v>
      </c>
      <c r="D319" s="5" t="s">
        <v>41</v>
      </c>
      <c r="E319" s="5" t="s">
        <v>743</v>
      </c>
      <c r="F319" s="6">
        <v>58182223</v>
      </c>
      <c r="G319" s="5" t="s">
        <v>16</v>
      </c>
      <c r="H319" s="7">
        <v>45784</v>
      </c>
      <c r="I319" s="7">
        <v>45785</v>
      </c>
      <c r="J319" s="8">
        <v>150</v>
      </c>
      <c r="K319" s="7">
        <v>45809</v>
      </c>
      <c r="L319" s="7"/>
      <c r="P319" s="23"/>
    </row>
    <row r="320" spans="1:16" ht="14.4" customHeight="1" x14ac:dyDescent="0.3">
      <c r="A320" s="5">
        <v>323</v>
      </c>
      <c r="B320" s="5" t="s">
        <v>744</v>
      </c>
      <c r="C320" s="5" t="s">
        <v>745</v>
      </c>
      <c r="D320" s="5" t="s">
        <v>68</v>
      </c>
      <c r="E320" s="5" t="s">
        <v>696</v>
      </c>
      <c r="F320" s="6">
        <v>57976413</v>
      </c>
      <c r="G320" s="5" t="s">
        <v>16</v>
      </c>
      <c r="H320" s="7">
        <v>45784</v>
      </c>
      <c r="I320" s="7">
        <v>45785</v>
      </c>
      <c r="J320" s="8">
        <v>150</v>
      </c>
      <c r="K320" s="7">
        <v>45809</v>
      </c>
      <c r="L320" s="7"/>
      <c r="P320" s="23"/>
    </row>
    <row r="321" spans="1:16" ht="14.4" customHeight="1" x14ac:dyDescent="0.3">
      <c r="A321" s="5">
        <v>324</v>
      </c>
      <c r="B321" s="7" t="s">
        <v>746</v>
      </c>
      <c r="C321" s="7" t="s">
        <v>747</v>
      </c>
      <c r="D321" s="5" t="s">
        <v>68</v>
      </c>
      <c r="E321" s="5" t="s">
        <v>69</v>
      </c>
      <c r="F321" s="6">
        <v>58042521</v>
      </c>
      <c r="G321" s="5" t="s">
        <v>1024</v>
      </c>
      <c r="H321" s="7">
        <v>45784</v>
      </c>
      <c r="I321" s="7">
        <v>45785</v>
      </c>
      <c r="J321" s="8">
        <v>150</v>
      </c>
      <c r="K321" s="7">
        <v>45809</v>
      </c>
      <c r="L321" s="7"/>
      <c r="P321" s="23"/>
    </row>
    <row r="322" spans="1:16" ht="14.4" customHeight="1" x14ac:dyDescent="0.3">
      <c r="A322" s="5">
        <v>325</v>
      </c>
      <c r="B322" s="7" t="s">
        <v>748</v>
      </c>
      <c r="C322" s="7" t="s">
        <v>749</v>
      </c>
      <c r="D322" s="5" t="s">
        <v>84</v>
      </c>
      <c r="E322" s="5" t="s">
        <v>84</v>
      </c>
      <c r="F322" s="6">
        <v>57084302</v>
      </c>
      <c r="G322" s="5" t="s">
        <v>1024</v>
      </c>
      <c r="H322" s="7">
        <v>45784</v>
      </c>
      <c r="I322" s="7">
        <v>45785</v>
      </c>
      <c r="J322" s="8">
        <v>150</v>
      </c>
      <c r="K322" s="7">
        <v>45809</v>
      </c>
      <c r="L322" s="7"/>
      <c r="P322" s="23"/>
    </row>
    <row r="323" spans="1:16" ht="14.4" customHeight="1" x14ac:dyDescent="0.3">
      <c r="A323" s="5">
        <v>302</v>
      </c>
      <c r="B323" s="5" t="s">
        <v>231</v>
      </c>
      <c r="C323" s="5" t="s">
        <v>232</v>
      </c>
      <c r="D323" s="5" t="s">
        <v>68</v>
      </c>
      <c r="E323" s="5" t="s">
        <v>226</v>
      </c>
      <c r="F323" s="6">
        <v>59055516</v>
      </c>
      <c r="G323" s="5" t="s">
        <v>16</v>
      </c>
      <c r="H323" s="7">
        <v>45784</v>
      </c>
      <c r="I323" s="7">
        <v>45789</v>
      </c>
      <c r="J323" s="8">
        <v>150</v>
      </c>
      <c r="K323" s="7">
        <v>45809</v>
      </c>
      <c r="L323" s="7"/>
      <c r="P323" s="23"/>
    </row>
    <row r="324" spans="1:16" ht="14.4" customHeight="1" x14ac:dyDescent="0.3">
      <c r="A324" s="5">
        <v>307</v>
      </c>
      <c r="B324" s="5" t="s">
        <v>707</v>
      </c>
      <c r="C324" s="5" t="s">
        <v>708</v>
      </c>
      <c r="D324" s="5" t="s">
        <v>706</v>
      </c>
      <c r="E324" s="5" t="s">
        <v>709</v>
      </c>
      <c r="F324" s="6">
        <v>58096679</v>
      </c>
      <c r="G324" s="5" t="s">
        <v>16</v>
      </c>
      <c r="H324" s="7">
        <v>45784</v>
      </c>
      <c r="I324" s="7">
        <v>45789</v>
      </c>
      <c r="J324" s="8">
        <v>150</v>
      </c>
      <c r="K324" s="7">
        <v>45809</v>
      </c>
      <c r="L324" s="7"/>
      <c r="P324" s="23"/>
    </row>
    <row r="325" spans="1:16" ht="14.4" customHeight="1" x14ac:dyDescent="0.3">
      <c r="A325" s="5">
        <v>316</v>
      </c>
      <c r="B325" s="5" t="s">
        <v>729</v>
      </c>
      <c r="C325" s="5" t="s">
        <v>730</v>
      </c>
      <c r="D325" s="5" t="s">
        <v>68</v>
      </c>
      <c r="E325" s="5" t="s">
        <v>101</v>
      </c>
      <c r="F325" s="10" t="s">
        <v>731</v>
      </c>
      <c r="G325" s="5" t="s">
        <v>16</v>
      </c>
      <c r="H325" s="7">
        <v>45784</v>
      </c>
      <c r="I325" s="7">
        <v>45789</v>
      </c>
      <c r="J325" s="8">
        <v>150</v>
      </c>
      <c r="K325" s="7">
        <v>45809</v>
      </c>
      <c r="L325" s="7"/>
      <c r="P325" s="23"/>
    </row>
    <row r="326" spans="1:16" ht="14.4" customHeight="1" x14ac:dyDescent="0.3">
      <c r="A326" s="5">
        <v>326</v>
      </c>
      <c r="B326" s="5" t="s">
        <v>750</v>
      </c>
      <c r="C326" s="5" t="s">
        <v>751</v>
      </c>
      <c r="D326" s="5" t="s">
        <v>569</v>
      </c>
      <c r="E326" s="5" t="s">
        <v>276</v>
      </c>
      <c r="F326" s="6">
        <v>57557920</v>
      </c>
      <c r="G326" s="5" t="s">
        <v>16</v>
      </c>
      <c r="H326" s="7">
        <v>45788</v>
      </c>
      <c r="I326" s="7">
        <v>45789</v>
      </c>
      <c r="J326" s="8">
        <v>150</v>
      </c>
      <c r="K326" s="7">
        <v>45809</v>
      </c>
      <c r="L326" s="7"/>
      <c r="P326" s="23"/>
    </row>
    <row r="327" spans="1:16" ht="14.4" customHeight="1" x14ac:dyDescent="0.3">
      <c r="A327" s="5">
        <v>327</v>
      </c>
      <c r="B327" s="5" t="s">
        <v>752</v>
      </c>
      <c r="C327" s="5" t="s">
        <v>753</v>
      </c>
      <c r="D327" s="5" t="s">
        <v>601</v>
      </c>
      <c r="E327" s="5" t="s">
        <v>546</v>
      </c>
      <c r="F327" s="6">
        <v>58220347</v>
      </c>
      <c r="G327" s="5" t="s">
        <v>16</v>
      </c>
      <c r="H327" s="7">
        <v>45788</v>
      </c>
      <c r="I327" s="7">
        <v>45789</v>
      </c>
      <c r="J327" s="8">
        <v>150</v>
      </c>
      <c r="K327" s="7">
        <v>45809</v>
      </c>
      <c r="L327" s="7"/>
      <c r="P327" s="23"/>
    </row>
    <row r="328" spans="1:16" ht="14.4" customHeight="1" x14ac:dyDescent="0.3">
      <c r="A328" s="5">
        <v>328</v>
      </c>
      <c r="B328" s="5" t="s">
        <v>619</v>
      </c>
      <c r="C328" s="5" t="s">
        <v>620</v>
      </c>
      <c r="D328" s="5" t="s">
        <v>84</v>
      </c>
      <c r="E328" s="5" t="s">
        <v>84</v>
      </c>
      <c r="F328" s="6">
        <v>57400812</v>
      </c>
      <c r="G328" s="5" t="s">
        <v>16</v>
      </c>
      <c r="H328" s="7">
        <v>45788</v>
      </c>
      <c r="I328" s="7">
        <v>45789</v>
      </c>
      <c r="J328" s="8">
        <v>150</v>
      </c>
      <c r="K328" s="7">
        <v>45809</v>
      </c>
      <c r="L328" s="7"/>
      <c r="P328" s="23"/>
    </row>
    <row r="329" spans="1:16" ht="14.4" customHeight="1" x14ac:dyDescent="0.3">
      <c r="A329" s="5">
        <v>329</v>
      </c>
      <c r="B329" s="5" t="s">
        <v>754</v>
      </c>
      <c r="C329" s="5" t="s">
        <v>755</v>
      </c>
      <c r="D329" s="5" t="s">
        <v>68</v>
      </c>
      <c r="E329" s="5" t="s">
        <v>756</v>
      </c>
      <c r="F329" s="6">
        <v>52577790</v>
      </c>
      <c r="G329" s="5" t="s">
        <v>16</v>
      </c>
      <c r="H329" s="7">
        <v>45788</v>
      </c>
      <c r="I329" s="7">
        <v>45789</v>
      </c>
      <c r="J329" s="8">
        <v>150</v>
      </c>
      <c r="K329" s="7">
        <v>45809</v>
      </c>
      <c r="L329" s="7"/>
      <c r="P329" s="23"/>
    </row>
    <row r="330" spans="1:16" ht="14.4" customHeight="1" x14ac:dyDescent="0.3">
      <c r="A330" s="5">
        <v>330</v>
      </c>
      <c r="B330" s="5" t="s">
        <v>757</v>
      </c>
      <c r="C330" s="5" t="s">
        <v>758</v>
      </c>
      <c r="D330" s="5" t="s">
        <v>569</v>
      </c>
      <c r="E330" s="5" t="s">
        <v>1757</v>
      </c>
      <c r="F330" s="6">
        <v>57901382</v>
      </c>
      <c r="G330" s="5" t="s">
        <v>16</v>
      </c>
      <c r="H330" s="7">
        <v>45788</v>
      </c>
      <c r="I330" s="7">
        <v>45789</v>
      </c>
      <c r="J330" s="8">
        <v>150</v>
      </c>
      <c r="K330" s="7">
        <v>45809</v>
      </c>
      <c r="L330" s="7"/>
      <c r="P330" s="23"/>
    </row>
    <row r="331" spans="1:16" ht="14.4" customHeight="1" x14ac:dyDescent="0.3">
      <c r="A331" s="5">
        <v>331</v>
      </c>
      <c r="B331" s="5" t="s">
        <v>759</v>
      </c>
      <c r="C331" s="5" t="s">
        <v>760</v>
      </c>
      <c r="D331" s="5" t="s">
        <v>569</v>
      </c>
      <c r="E331" s="5" t="s">
        <v>276</v>
      </c>
      <c r="F331" s="6">
        <v>58129373</v>
      </c>
      <c r="G331" s="5" t="s">
        <v>16</v>
      </c>
      <c r="H331" s="7">
        <v>45788</v>
      </c>
      <c r="I331" s="7">
        <v>45789</v>
      </c>
      <c r="J331" s="8">
        <v>150</v>
      </c>
      <c r="K331" s="7">
        <v>45809</v>
      </c>
      <c r="L331" s="7"/>
      <c r="P331" s="23"/>
    </row>
    <row r="332" spans="1:16" ht="14.4" customHeight="1" x14ac:dyDescent="0.3">
      <c r="A332" s="5">
        <v>332</v>
      </c>
      <c r="B332" s="5" t="s">
        <v>761</v>
      </c>
      <c r="C332" s="5" t="s">
        <v>762</v>
      </c>
      <c r="D332" s="5" t="s">
        <v>68</v>
      </c>
      <c r="E332" s="5" t="s">
        <v>696</v>
      </c>
      <c r="F332" s="6">
        <v>59066701</v>
      </c>
      <c r="G332" s="5" t="s">
        <v>16</v>
      </c>
      <c r="H332" s="7">
        <v>45788</v>
      </c>
      <c r="I332" s="7">
        <v>45789</v>
      </c>
      <c r="J332" s="8">
        <v>150</v>
      </c>
      <c r="K332" s="7">
        <v>45809</v>
      </c>
      <c r="L332" s="7"/>
      <c r="P332" s="23"/>
    </row>
    <row r="333" spans="1:16" ht="14.4" customHeight="1" x14ac:dyDescent="0.3">
      <c r="A333" s="5">
        <v>333</v>
      </c>
      <c r="B333" s="5" t="s">
        <v>358</v>
      </c>
      <c r="C333" s="5" t="s">
        <v>359</v>
      </c>
      <c r="D333" s="5" t="s">
        <v>426</v>
      </c>
      <c r="E333" s="5" t="s">
        <v>360</v>
      </c>
      <c r="F333" s="6">
        <v>57045624</v>
      </c>
      <c r="G333" s="5" t="s">
        <v>16</v>
      </c>
      <c r="H333" s="7">
        <v>45788</v>
      </c>
      <c r="I333" s="7">
        <v>45789</v>
      </c>
      <c r="J333" s="8">
        <v>150</v>
      </c>
      <c r="K333" s="7">
        <v>45809</v>
      </c>
      <c r="L333" s="7"/>
      <c r="P333" s="23"/>
    </row>
    <row r="334" spans="1:16" ht="14.4" customHeight="1" x14ac:dyDescent="0.3">
      <c r="A334" s="5">
        <v>334</v>
      </c>
      <c r="B334" s="5" t="s">
        <v>763</v>
      </c>
      <c r="C334" s="5" t="s">
        <v>764</v>
      </c>
      <c r="D334" s="5" t="s">
        <v>68</v>
      </c>
      <c r="E334" s="5" t="s">
        <v>69</v>
      </c>
      <c r="F334" s="6">
        <v>57876037</v>
      </c>
      <c r="G334" s="5" t="s">
        <v>16</v>
      </c>
      <c r="H334" s="7">
        <v>45788</v>
      </c>
      <c r="I334" s="7">
        <v>45789</v>
      </c>
      <c r="J334" s="8">
        <v>150</v>
      </c>
      <c r="K334" s="7">
        <v>45809</v>
      </c>
      <c r="L334" s="7"/>
      <c r="P334" s="23"/>
    </row>
    <row r="335" spans="1:16" ht="14.4" customHeight="1" x14ac:dyDescent="0.3">
      <c r="A335" s="5">
        <v>335</v>
      </c>
      <c r="B335" s="5" t="s">
        <v>765</v>
      </c>
      <c r="C335" s="5" t="s">
        <v>766</v>
      </c>
      <c r="D335" s="5" t="s">
        <v>569</v>
      </c>
      <c r="E335" s="5" t="s">
        <v>1797</v>
      </c>
      <c r="F335" s="6">
        <v>58004246</v>
      </c>
      <c r="G335" s="5" t="s">
        <v>16</v>
      </c>
      <c r="H335" s="7">
        <v>45788</v>
      </c>
      <c r="I335" s="7">
        <v>45789</v>
      </c>
      <c r="J335" s="8">
        <v>150</v>
      </c>
      <c r="K335" s="7">
        <v>45809</v>
      </c>
      <c r="L335" s="7"/>
      <c r="P335" s="23"/>
    </row>
    <row r="336" spans="1:16" ht="14.4" customHeight="1" x14ac:dyDescent="0.3">
      <c r="A336" s="5">
        <v>336</v>
      </c>
      <c r="B336" s="5" t="s">
        <v>768</v>
      </c>
      <c r="C336" s="5" t="s">
        <v>769</v>
      </c>
      <c r="D336" s="5" t="s">
        <v>601</v>
      </c>
      <c r="E336" s="5" t="s">
        <v>262</v>
      </c>
      <c r="F336" s="6">
        <v>59127558</v>
      </c>
      <c r="G336" s="5" t="s">
        <v>16</v>
      </c>
      <c r="H336" s="7">
        <v>45788</v>
      </c>
      <c r="I336" s="7">
        <v>45789</v>
      </c>
      <c r="J336" s="8">
        <v>150</v>
      </c>
      <c r="K336" s="7">
        <v>45809</v>
      </c>
      <c r="L336" s="7"/>
      <c r="P336" s="23"/>
    </row>
    <row r="337" spans="1:16" ht="14.4" customHeight="1" x14ac:dyDescent="0.3">
      <c r="A337" s="5">
        <v>337</v>
      </c>
      <c r="B337" s="5" t="s">
        <v>770</v>
      </c>
      <c r="C337" s="5" t="s">
        <v>771</v>
      </c>
      <c r="D337" s="5" t="s">
        <v>41</v>
      </c>
      <c r="E337" s="5" t="s">
        <v>144</v>
      </c>
      <c r="F337" s="6">
        <v>57947140</v>
      </c>
      <c r="G337" s="5" t="s">
        <v>16</v>
      </c>
      <c r="H337" s="7">
        <v>45788</v>
      </c>
      <c r="I337" s="7">
        <v>45789</v>
      </c>
      <c r="J337" s="8">
        <v>150</v>
      </c>
      <c r="K337" s="7">
        <v>45809</v>
      </c>
      <c r="L337" s="7"/>
      <c r="P337" s="23"/>
    </row>
    <row r="338" spans="1:16" ht="14.4" customHeight="1" x14ac:dyDescent="0.3">
      <c r="A338" s="5">
        <v>338</v>
      </c>
      <c r="B338" s="5" t="s">
        <v>733</v>
      </c>
      <c r="C338" s="5" t="s">
        <v>734</v>
      </c>
      <c r="D338" s="5" t="s">
        <v>68</v>
      </c>
      <c r="E338" s="5" t="s">
        <v>226</v>
      </c>
      <c r="F338" s="6">
        <v>57718586</v>
      </c>
      <c r="G338" s="5" t="s">
        <v>16</v>
      </c>
      <c r="H338" s="7">
        <v>45788</v>
      </c>
      <c r="I338" s="7">
        <v>45789</v>
      </c>
      <c r="J338" s="8">
        <v>150</v>
      </c>
      <c r="K338" s="7">
        <v>45809</v>
      </c>
      <c r="L338" s="7"/>
      <c r="P338" s="23"/>
    </row>
    <row r="339" spans="1:16" ht="14.4" customHeight="1" x14ac:dyDescent="0.3">
      <c r="A339" s="5">
        <v>339</v>
      </c>
      <c r="B339" s="7" t="s">
        <v>772</v>
      </c>
      <c r="C339" s="7" t="s">
        <v>773</v>
      </c>
      <c r="D339" s="5" t="s">
        <v>137</v>
      </c>
      <c r="E339" s="5" t="s">
        <v>1279</v>
      </c>
      <c r="F339" s="6">
        <v>52586838</v>
      </c>
      <c r="G339" s="5" t="s">
        <v>16</v>
      </c>
      <c r="H339" s="7">
        <v>45788</v>
      </c>
      <c r="I339" s="7">
        <v>45789</v>
      </c>
      <c r="J339" s="8">
        <v>150</v>
      </c>
      <c r="K339" s="7">
        <v>45809</v>
      </c>
      <c r="L339" s="7"/>
      <c r="P339" s="23"/>
    </row>
    <row r="340" spans="1:16" ht="14.4" customHeight="1" x14ac:dyDescent="0.3">
      <c r="A340" s="5">
        <v>340</v>
      </c>
      <c r="B340" s="7" t="s">
        <v>774</v>
      </c>
      <c r="C340" s="7" t="s">
        <v>775</v>
      </c>
      <c r="D340" s="5" t="s">
        <v>68</v>
      </c>
      <c r="E340" s="5" t="s">
        <v>63</v>
      </c>
      <c r="F340" s="6">
        <v>59064475</v>
      </c>
      <c r="G340" s="5" t="s">
        <v>16</v>
      </c>
      <c r="H340" s="7">
        <v>45788</v>
      </c>
      <c r="I340" s="7">
        <v>45789</v>
      </c>
      <c r="J340" s="8">
        <v>150</v>
      </c>
      <c r="K340" s="7">
        <v>45809</v>
      </c>
      <c r="L340" s="7"/>
      <c r="P340" s="23"/>
    </row>
    <row r="341" spans="1:16" ht="14.4" customHeight="1" x14ac:dyDescent="0.3">
      <c r="A341" s="5">
        <v>341</v>
      </c>
      <c r="B341" s="7" t="s">
        <v>776</v>
      </c>
      <c r="C341" s="7" t="s">
        <v>777</v>
      </c>
      <c r="D341" s="5" t="s">
        <v>41</v>
      </c>
      <c r="E341" s="5" t="s">
        <v>144</v>
      </c>
      <c r="F341" s="6">
        <v>58318558</v>
      </c>
      <c r="G341" s="5" t="s">
        <v>16</v>
      </c>
      <c r="H341" s="7">
        <v>45788</v>
      </c>
      <c r="I341" s="7">
        <v>45789</v>
      </c>
      <c r="J341" s="8">
        <v>150</v>
      </c>
      <c r="K341" s="7">
        <v>45809</v>
      </c>
      <c r="L341" s="7"/>
      <c r="P341" s="23"/>
    </row>
    <row r="342" spans="1:16" ht="14.4" customHeight="1" x14ac:dyDescent="0.3">
      <c r="A342" s="5">
        <v>342</v>
      </c>
      <c r="B342" s="7" t="s">
        <v>778</v>
      </c>
      <c r="C342" s="7" t="s">
        <v>779</v>
      </c>
      <c r="D342" s="5" t="s">
        <v>569</v>
      </c>
      <c r="E342" s="5" t="s">
        <v>305</v>
      </c>
      <c r="F342" s="6">
        <v>58107110</v>
      </c>
      <c r="G342" s="5" t="s">
        <v>16</v>
      </c>
      <c r="H342" s="7">
        <v>45788</v>
      </c>
      <c r="I342" s="7">
        <v>45789</v>
      </c>
      <c r="J342" s="8">
        <v>150</v>
      </c>
      <c r="K342" s="7">
        <v>45809</v>
      </c>
      <c r="L342" s="7"/>
      <c r="P342" s="23"/>
    </row>
    <row r="343" spans="1:16" ht="14.4" customHeight="1" x14ac:dyDescent="0.3">
      <c r="A343" s="5">
        <v>343</v>
      </c>
      <c r="B343" s="7" t="s">
        <v>780</v>
      </c>
      <c r="C343" s="7" t="s">
        <v>781</v>
      </c>
      <c r="D343" s="5" t="s">
        <v>569</v>
      </c>
      <c r="E343" s="5" t="s">
        <v>782</v>
      </c>
      <c r="F343" s="6">
        <v>57761919</v>
      </c>
      <c r="G343" s="5" t="s">
        <v>16</v>
      </c>
      <c r="H343" s="7">
        <v>45788</v>
      </c>
      <c r="I343" s="7">
        <v>45789</v>
      </c>
      <c r="J343" s="8">
        <v>150</v>
      </c>
      <c r="K343" s="7">
        <v>45809</v>
      </c>
      <c r="L343" s="7"/>
      <c r="P343" s="23"/>
    </row>
    <row r="344" spans="1:16" ht="14.4" customHeight="1" x14ac:dyDescent="0.3">
      <c r="A344" s="5">
        <v>344</v>
      </c>
      <c r="B344" s="7" t="s">
        <v>783</v>
      </c>
      <c r="C344" s="7" t="s">
        <v>784</v>
      </c>
      <c r="D344" s="5" t="s">
        <v>601</v>
      </c>
      <c r="E344" s="5" t="s">
        <v>785</v>
      </c>
      <c r="F344" s="10" t="s">
        <v>786</v>
      </c>
      <c r="G344" s="5" t="s">
        <v>16</v>
      </c>
      <c r="H344" s="7">
        <v>45788</v>
      </c>
      <c r="I344" s="7">
        <v>45789</v>
      </c>
      <c r="J344" s="8">
        <v>150</v>
      </c>
      <c r="K344" s="7">
        <v>45809</v>
      </c>
      <c r="L344" s="7"/>
      <c r="P344" s="23"/>
    </row>
    <row r="345" spans="1:16" ht="14.4" customHeight="1" x14ac:dyDescent="0.3">
      <c r="A345" s="5">
        <v>345</v>
      </c>
      <c r="B345" s="7" t="s">
        <v>787</v>
      </c>
      <c r="C345" s="7" t="s">
        <v>788</v>
      </c>
      <c r="D345" s="5" t="s">
        <v>137</v>
      </c>
      <c r="E345" s="5" t="s">
        <v>137</v>
      </c>
      <c r="F345" s="6">
        <v>58032276</v>
      </c>
      <c r="G345" s="5" t="s">
        <v>16</v>
      </c>
      <c r="H345" s="7">
        <v>45788</v>
      </c>
      <c r="I345" s="7">
        <v>45789</v>
      </c>
      <c r="J345" s="8">
        <v>150</v>
      </c>
      <c r="K345" s="7">
        <v>45809</v>
      </c>
      <c r="L345" s="7"/>
      <c r="P345" s="23"/>
    </row>
    <row r="346" spans="1:16" ht="14.4" customHeight="1" x14ac:dyDescent="0.3">
      <c r="A346" s="5">
        <v>346</v>
      </c>
      <c r="B346" s="7" t="s">
        <v>789</v>
      </c>
      <c r="C346" s="7" t="s">
        <v>790</v>
      </c>
      <c r="D346" s="5" t="s">
        <v>84</v>
      </c>
      <c r="E346" s="5" t="s">
        <v>791</v>
      </c>
      <c r="F346" s="6">
        <v>57704496</v>
      </c>
      <c r="G346" s="5" t="s">
        <v>16</v>
      </c>
      <c r="H346" s="7">
        <v>45788</v>
      </c>
      <c r="I346" s="7">
        <v>45789</v>
      </c>
      <c r="J346" s="8">
        <v>150</v>
      </c>
      <c r="K346" s="7">
        <v>45809</v>
      </c>
      <c r="L346" s="7"/>
      <c r="P346" s="23"/>
    </row>
    <row r="347" spans="1:16" ht="14.4" customHeight="1" x14ac:dyDescent="0.3">
      <c r="A347" s="5">
        <v>347</v>
      </c>
      <c r="B347" s="7" t="s">
        <v>792</v>
      </c>
      <c r="C347" s="7" t="s">
        <v>793</v>
      </c>
      <c r="D347" s="5" t="s">
        <v>426</v>
      </c>
      <c r="E347" s="5" t="s">
        <v>594</v>
      </c>
      <c r="F347" s="10" t="s">
        <v>794</v>
      </c>
      <c r="G347" s="5" t="s">
        <v>16</v>
      </c>
      <c r="H347" s="7">
        <v>45788</v>
      </c>
      <c r="I347" s="7">
        <v>45789</v>
      </c>
      <c r="J347" s="8">
        <v>150</v>
      </c>
      <c r="K347" s="7">
        <v>45809</v>
      </c>
      <c r="L347" s="7"/>
      <c r="P347" s="23"/>
    </row>
    <row r="348" spans="1:16" ht="14.4" customHeight="1" x14ac:dyDescent="0.3">
      <c r="A348" s="5">
        <v>348</v>
      </c>
      <c r="B348" s="7" t="s">
        <v>795</v>
      </c>
      <c r="C348" s="7" t="s">
        <v>796</v>
      </c>
      <c r="D348" s="5" t="s">
        <v>137</v>
      </c>
      <c r="E348" s="5" t="s">
        <v>797</v>
      </c>
      <c r="F348" s="6">
        <v>58023701</v>
      </c>
      <c r="G348" s="5" t="s">
        <v>16</v>
      </c>
      <c r="H348" s="7">
        <v>45788</v>
      </c>
      <c r="I348" s="7">
        <v>45789</v>
      </c>
      <c r="J348" s="8">
        <v>150</v>
      </c>
      <c r="K348" s="7">
        <v>45809</v>
      </c>
      <c r="L348" s="7"/>
      <c r="P348" s="23"/>
    </row>
    <row r="349" spans="1:16" ht="14.4" customHeight="1" x14ac:dyDescent="0.3">
      <c r="A349" s="5">
        <v>349</v>
      </c>
      <c r="B349" s="7" t="s">
        <v>798</v>
      </c>
      <c r="C349" s="7" t="s">
        <v>799</v>
      </c>
      <c r="D349" s="5" t="s">
        <v>68</v>
      </c>
      <c r="E349" s="5" t="s">
        <v>49</v>
      </c>
      <c r="F349" s="6">
        <v>52511111</v>
      </c>
      <c r="G349" s="5" t="s">
        <v>16</v>
      </c>
      <c r="H349" s="7">
        <v>45788</v>
      </c>
      <c r="I349" s="7">
        <v>45789</v>
      </c>
      <c r="J349" s="8">
        <v>150</v>
      </c>
      <c r="K349" s="7">
        <v>45809</v>
      </c>
      <c r="L349" s="7"/>
      <c r="P349" s="23"/>
    </row>
    <row r="350" spans="1:16" ht="14.4" customHeight="1" x14ac:dyDescent="0.3">
      <c r="A350" s="5">
        <v>350</v>
      </c>
      <c r="B350" s="7" t="s">
        <v>800</v>
      </c>
      <c r="C350" s="7" t="s">
        <v>801</v>
      </c>
      <c r="D350" s="5" t="s">
        <v>426</v>
      </c>
      <c r="E350" s="5" t="s">
        <v>15</v>
      </c>
      <c r="F350" s="6">
        <v>57023580</v>
      </c>
      <c r="G350" s="5" t="s">
        <v>16</v>
      </c>
      <c r="H350" s="7">
        <v>45788</v>
      </c>
      <c r="I350" s="7">
        <v>45789</v>
      </c>
      <c r="J350" s="8">
        <v>150</v>
      </c>
      <c r="K350" s="7">
        <v>45809</v>
      </c>
      <c r="L350" s="7"/>
      <c r="P350" s="23"/>
    </row>
    <row r="351" spans="1:16" ht="14.4" customHeight="1" x14ac:dyDescent="0.3">
      <c r="A351" s="5">
        <v>351</v>
      </c>
      <c r="B351" s="7" t="s">
        <v>802</v>
      </c>
      <c r="C351" s="7" t="s">
        <v>803</v>
      </c>
      <c r="D351" s="5" t="s">
        <v>569</v>
      </c>
      <c r="E351" s="5" t="s">
        <v>804</v>
      </c>
      <c r="F351" s="6">
        <v>59124845</v>
      </c>
      <c r="G351" s="5" t="s">
        <v>16</v>
      </c>
      <c r="H351" s="7">
        <v>45788</v>
      </c>
      <c r="I351" s="7">
        <v>45789</v>
      </c>
      <c r="J351" s="8">
        <v>150</v>
      </c>
      <c r="K351" s="7">
        <v>45809</v>
      </c>
      <c r="L351" s="7"/>
      <c r="P351" s="23"/>
    </row>
    <row r="352" spans="1:16" ht="14.4" customHeight="1" x14ac:dyDescent="0.3">
      <c r="A352" s="5">
        <v>352</v>
      </c>
      <c r="B352" s="5" t="s">
        <v>805</v>
      </c>
      <c r="C352" s="5" t="s">
        <v>806</v>
      </c>
      <c r="D352" s="5" t="s">
        <v>475</v>
      </c>
      <c r="E352" s="5" t="s">
        <v>807</v>
      </c>
      <c r="F352" s="6">
        <v>58092563</v>
      </c>
      <c r="G352" s="5" t="s">
        <v>16</v>
      </c>
      <c r="H352" s="7">
        <v>45788</v>
      </c>
      <c r="I352" s="7">
        <v>45789</v>
      </c>
      <c r="J352" s="8">
        <v>150</v>
      </c>
      <c r="K352" s="7">
        <v>45809</v>
      </c>
      <c r="L352" s="7"/>
      <c r="P352" s="23"/>
    </row>
    <row r="353" spans="1:16" ht="14.4" customHeight="1" x14ac:dyDescent="0.3">
      <c r="A353" s="5">
        <v>353</v>
      </c>
      <c r="B353" s="5" t="s">
        <v>808</v>
      </c>
      <c r="C353" s="5" t="s">
        <v>809</v>
      </c>
      <c r="D353" s="5" t="s">
        <v>68</v>
      </c>
      <c r="E353" s="5" t="s">
        <v>696</v>
      </c>
      <c r="F353" s="6">
        <v>57511441</v>
      </c>
      <c r="G353" s="5" t="s">
        <v>16</v>
      </c>
      <c r="H353" s="7">
        <v>45788</v>
      </c>
      <c r="I353" s="7">
        <v>45789</v>
      </c>
      <c r="J353" s="8">
        <v>150</v>
      </c>
      <c r="K353" s="7">
        <v>45809</v>
      </c>
      <c r="L353" s="7"/>
      <c r="P353" s="23"/>
    </row>
    <row r="354" spans="1:16" ht="14.4" customHeight="1" x14ac:dyDescent="0.3">
      <c r="A354" s="5">
        <v>354</v>
      </c>
      <c r="B354" s="5" t="s">
        <v>810</v>
      </c>
      <c r="C354" s="5" t="s">
        <v>811</v>
      </c>
      <c r="D354" s="5" t="s">
        <v>569</v>
      </c>
      <c r="E354" s="5" t="s">
        <v>276</v>
      </c>
      <c r="F354" s="6">
        <v>57733826</v>
      </c>
      <c r="G354" s="5" t="s">
        <v>16</v>
      </c>
      <c r="H354" s="7">
        <v>45788</v>
      </c>
      <c r="I354" s="7">
        <v>45789</v>
      </c>
      <c r="J354" s="8">
        <v>150</v>
      </c>
      <c r="K354" s="7">
        <v>45809</v>
      </c>
      <c r="L354" s="7"/>
      <c r="P354" s="23"/>
    </row>
    <row r="355" spans="1:16" ht="14.4" customHeight="1" x14ac:dyDescent="0.3">
      <c r="A355" s="5">
        <v>355</v>
      </c>
      <c r="B355" s="5" t="s">
        <v>812</v>
      </c>
      <c r="C355" s="5" t="s">
        <v>813</v>
      </c>
      <c r="D355" s="5" t="s">
        <v>68</v>
      </c>
      <c r="E355" s="5" t="s">
        <v>63</v>
      </c>
      <c r="F355" s="6">
        <v>59775259</v>
      </c>
      <c r="G355" s="5" t="s">
        <v>16</v>
      </c>
      <c r="H355" s="7">
        <v>45788</v>
      </c>
      <c r="I355" s="7">
        <v>45789</v>
      </c>
      <c r="J355" s="8">
        <v>150</v>
      </c>
      <c r="K355" s="7">
        <v>45809</v>
      </c>
      <c r="L355" s="7"/>
      <c r="P355" s="23"/>
    </row>
    <row r="356" spans="1:16" ht="14.4" customHeight="1" x14ac:dyDescent="0.3">
      <c r="A356" s="5">
        <v>356</v>
      </c>
      <c r="B356" s="5" t="s">
        <v>814</v>
      </c>
      <c r="C356" s="5" t="s">
        <v>815</v>
      </c>
      <c r="D356" s="5" t="s">
        <v>41</v>
      </c>
      <c r="E356" s="5" t="s">
        <v>144</v>
      </c>
      <c r="F356" s="6">
        <v>57644700</v>
      </c>
      <c r="G356" s="5" t="s">
        <v>16</v>
      </c>
      <c r="H356" s="7">
        <v>45788</v>
      </c>
      <c r="I356" s="7">
        <v>45789</v>
      </c>
      <c r="J356" s="8">
        <v>150</v>
      </c>
      <c r="K356" s="7">
        <v>45809</v>
      </c>
      <c r="L356" s="7"/>
      <c r="P356" s="23"/>
    </row>
    <row r="357" spans="1:16" ht="14.4" customHeight="1" x14ac:dyDescent="0.3">
      <c r="A357" s="5">
        <v>357</v>
      </c>
      <c r="B357" s="5" t="s">
        <v>816</v>
      </c>
      <c r="C357" s="5" t="s">
        <v>817</v>
      </c>
      <c r="D357" s="5" t="s">
        <v>41</v>
      </c>
      <c r="E357" s="5" t="s">
        <v>623</v>
      </c>
      <c r="F357" s="6">
        <v>54944095</v>
      </c>
      <c r="G357" s="5" t="s">
        <v>16</v>
      </c>
      <c r="H357" s="7">
        <v>45788</v>
      </c>
      <c r="I357" s="7">
        <v>45789</v>
      </c>
      <c r="J357" s="8">
        <v>150</v>
      </c>
      <c r="K357" s="7">
        <v>45809</v>
      </c>
      <c r="L357" s="7"/>
      <c r="P357" s="23"/>
    </row>
    <row r="358" spans="1:16" ht="14.4" customHeight="1" x14ac:dyDescent="0.3">
      <c r="A358" s="5">
        <v>358</v>
      </c>
      <c r="B358" s="5" t="s">
        <v>818</v>
      </c>
      <c r="C358" s="5" t="s">
        <v>819</v>
      </c>
      <c r="D358" s="5" t="s">
        <v>68</v>
      </c>
      <c r="E358" s="5" t="s">
        <v>696</v>
      </c>
      <c r="F358" s="6">
        <v>59347288</v>
      </c>
      <c r="G358" s="5" t="s">
        <v>16</v>
      </c>
      <c r="H358" s="7">
        <v>45788</v>
      </c>
      <c r="I358" s="7">
        <v>45789</v>
      </c>
      <c r="J358" s="8">
        <v>150</v>
      </c>
      <c r="K358" s="7">
        <v>45809</v>
      </c>
      <c r="L358" s="7"/>
      <c r="P358" s="23"/>
    </row>
    <row r="359" spans="1:16" ht="14.4" customHeight="1" x14ac:dyDescent="0.3">
      <c r="A359" s="5">
        <v>359</v>
      </c>
      <c r="B359" s="5" t="s">
        <v>820</v>
      </c>
      <c r="C359" s="5" t="s">
        <v>821</v>
      </c>
      <c r="D359" s="5" t="s">
        <v>68</v>
      </c>
      <c r="E359" s="5" t="s">
        <v>69</v>
      </c>
      <c r="F359" s="6">
        <v>59847654</v>
      </c>
      <c r="G359" s="5" t="s">
        <v>16</v>
      </c>
      <c r="H359" s="7">
        <v>45788</v>
      </c>
      <c r="I359" s="7">
        <v>45789</v>
      </c>
      <c r="J359" s="8">
        <v>150</v>
      </c>
      <c r="K359" s="7">
        <v>45809</v>
      </c>
      <c r="L359" s="7"/>
      <c r="P359" s="23"/>
    </row>
    <row r="360" spans="1:16" ht="14.4" customHeight="1" x14ac:dyDescent="0.3">
      <c r="A360" s="5">
        <v>360</v>
      </c>
      <c r="B360" s="5" t="s">
        <v>599</v>
      </c>
      <c r="C360" s="5" t="s">
        <v>600</v>
      </c>
      <c r="D360" s="5" t="s">
        <v>601</v>
      </c>
      <c r="E360" s="5" t="s">
        <v>155</v>
      </c>
      <c r="F360" s="6">
        <v>59189038</v>
      </c>
      <c r="G360" s="5" t="s">
        <v>16</v>
      </c>
      <c r="H360" s="7">
        <v>45788</v>
      </c>
      <c r="I360" s="7">
        <v>45789</v>
      </c>
      <c r="J360" s="8">
        <v>150</v>
      </c>
      <c r="K360" s="7">
        <v>45809</v>
      </c>
      <c r="L360" s="7"/>
      <c r="P360" s="23"/>
    </row>
    <row r="361" spans="1:16" ht="14.4" customHeight="1" x14ac:dyDescent="0.3">
      <c r="A361" s="5">
        <v>361</v>
      </c>
      <c r="B361" s="5" t="s">
        <v>822</v>
      </c>
      <c r="C361" s="5" t="s">
        <v>823</v>
      </c>
      <c r="D361" s="5" t="s">
        <v>569</v>
      </c>
      <c r="E361" s="5" t="s">
        <v>276</v>
      </c>
      <c r="F361" s="6">
        <v>58020784</v>
      </c>
      <c r="G361" s="5" t="s">
        <v>16</v>
      </c>
      <c r="H361" s="7">
        <v>45788</v>
      </c>
      <c r="I361" s="7">
        <v>45789</v>
      </c>
      <c r="J361" s="8">
        <v>150</v>
      </c>
      <c r="K361" s="7">
        <v>45809</v>
      </c>
      <c r="L361" s="7"/>
      <c r="P361" s="23"/>
    </row>
    <row r="362" spans="1:16" ht="14.4" customHeight="1" x14ac:dyDescent="0.3">
      <c r="A362" s="5">
        <v>362</v>
      </c>
      <c r="B362" s="5" t="s">
        <v>824</v>
      </c>
      <c r="C362" s="5" t="s">
        <v>825</v>
      </c>
      <c r="D362" s="5" t="s">
        <v>826</v>
      </c>
      <c r="E362" s="5" t="s">
        <v>826</v>
      </c>
      <c r="F362" s="6">
        <v>58510450</v>
      </c>
      <c r="G362" s="5" t="s">
        <v>16</v>
      </c>
      <c r="H362" s="7">
        <v>45788</v>
      </c>
      <c r="I362" s="7">
        <v>45791</v>
      </c>
      <c r="J362" s="8">
        <v>39</v>
      </c>
      <c r="K362" s="7">
        <v>45809</v>
      </c>
      <c r="L362" s="7"/>
      <c r="P362" s="23"/>
    </row>
    <row r="363" spans="1:16" ht="14.4" customHeight="1" x14ac:dyDescent="0.3">
      <c r="A363" s="5">
        <v>363</v>
      </c>
      <c r="B363" s="5" t="s">
        <v>827</v>
      </c>
      <c r="C363" s="7" t="s">
        <v>828</v>
      </c>
      <c r="D363" s="5" t="s">
        <v>826</v>
      </c>
      <c r="E363" s="5" t="s">
        <v>826</v>
      </c>
      <c r="F363" s="6">
        <v>57116047</v>
      </c>
      <c r="G363" s="5" t="s">
        <v>16</v>
      </c>
      <c r="H363" s="7">
        <v>45788</v>
      </c>
      <c r="I363" s="7">
        <v>45791</v>
      </c>
      <c r="J363" s="8">
        <v>39</v>
      </c>
      <c r="K363" s="7">
        <v>45809</v>
      </c>
      <c r="L363" s="7"/>
      <c r="P363" s="23"/>
    </row>
    <row r="364" spans="1:16" ht="14.4" customHeight="1" x14ac:dyDescent="0.3">
      <c r="A364" s="5">
        <v>364</v>
      </c>
      <c r="B364" s="5" t="s">
        <v>829</v>
      </c>
      <c r="C364" s="5" t="s">
        <v>830</v>
      </c>
      <c r="D364" s="5" t="s">
        <v>68</v>
      </c>
      <c r="E364" s="5" t="s">
        <v>74</v>
      </c>
      <c r="F364" s="6">
        <v>57663201</v>
      </c>
      <c r="G364" s="5" t="s">
        <v>16</v>
      </c>
      <c r="H364" s="7">
        <v>45791</v>
      </c>
      <c r="I364" s="7">
        <v>45792</v>
      </c>
      <c r="J364" s="8">
        <v>150</v>
      </c>
      <c r="K364" s="7">
        <v>45809</v>
      </c>
      <c r="L364" s="7"/>
      <c r="P364" s="23"/>
    </row>
    <row r="365" spans="1:16" ht="14.4" customHeight="1" x14ac:dyDescent="0.3">
      <c r="A365" s="5">
        <v>365</v>
      </c>
      <c r="B365" s="5" t="s">
        <v>233</v>
      </c>
      <c r="C365" s="5" t="s">
        <v>831</v>
      </c>
      <c r="D365" s="5" t="s">
        <v>68</v>
      </c>
      <c r="E365" s="5" t="s">
        <v>226</v>
      </c>
      <c r="F365" s="6">
        <v>57601772</v>
      </c>
      <c r="G365" s="5" t="s">
        <v>16</v>
      </c>
      <c r="H365" s="7">
        <v>45791</v>
      </c>
      <c r="I365" s="7">
        <v>45792</v>
      </c>
      <c r="J365" s="8">
        <v>150</v>
      </c>
      <c r="K365" s="7">
        <v>45809</v>
      </c>
      <c r="L365" s="7"/>
      <c r="P365" s="23"/>
    </row>
    <row r="366" spans="1:16" ht="14.4" customHeight="1" x14ac:dyDescent="0.3">
      <c r="A366" s="5">
        <v>366</v>
      </c>
      <c r="B366" s="5" t="s">
        <v>832</v>
      </c>
      <c r="C366" s="5" t="s">
        <v>833</v>
      </c>
      <c r="D366" s="5" t="s">
        <v>68</v>
      </c>
      <c r="E366" s="5" t="s">
        <v>63</v>
      </c>
      <c r="F366" s="6">
        <v>52522607</v>
      </c>
      <c r="G366" s="5" t="s">
        <v>16</v>
      </c>
      <c r="H366" s="7">
        <v>45791</v>
      </c>
      <c r="I366" s="7">
        <v>45792</v>
      </c>
      <c r="J366" s="8">
        <v>150</v>
      </c>
      <c r="K366" s="7">
        <v>45809</v>
      </c>
      <c r="L366" s="7"/>
      <c r="P366" s="23"/>
    </row>
    <row r="367" spans="1:16" ht="14.4" customHeight="1" x14ac:dyDescent="0.3">
      <c r="A367" s="5">
        <v>367</v>
      </c>
      <c r="B367" s="5" t="s">
        <v>834</v>
      </c>
      <c r="C367" s="5" t="s">
        <v>835</v>
      </c>
      <c r="D367" s="5" t="s">
        <v>68</v>
      </c>
      <c r="E367" s="5" t="s">
        <v>63</v>
      </c>
      <c r="F367" s="6">
        <v>58391422</v>
      </c>
      <c r="G367" s="5" t="s">
        <v>16</v>
      </c>
      <c r="H367" s="7">
        <v>45791</v>
      </c>
      <c r="I367" s="7">
        <v>45792</v>
      </c>
      <c r="J367" s="8">
        <v>150</v>
      </c>
      <c r="K367" s="7">
        <v>45809</v>
      </c>
      <c r="L367" s="7"/>
      <c r="P367" s="23"/>
    </row>
    <row r="368" spans="1:16" ht="14.4" customHeight="1" x14ac:dyDescent="0.3">
      <c r="A368" s="5">
        <v>368</v>
      </c>
      <c r="B368" s="5" t="s">
        <v>836</v>
      </c>
      <c r="C368" s="5" t="s">
        <v>837</v>
      </c>
      <c r="D368" s="5" t="s">
        <v>68</v>
      </c>
      <c r="E368" s="5" t="s">
        <v>163</v>
      </c>
      <c r="F368" s="6">
        <v>58563468</v>
      </c>
      <c r="G368" s="5" t="s">
        <v>16</v>
      </c>
      <c r="H368" s="7">
        <v>45791</v>
      </c>
      <c r="I368" s="7">
        <v>45792</v>
      </c>
      <c r="J368" s="8">
        <v>150</v>
      </c>
      <c r="K368" s="7">
        <v>45809</v>
      </c>
      <c r="L368" s="7"/>
      <c r="P368" s="23"/>
    </row>
    <row r="369" spans="1:16" ht="14.4" customHeight="1" x14ac:dyDescent="0.3">
      <c r="A369" s="5">
        <v>370</v>
      </c>
      <c r="B369" s="5" t="s">
        <v>840</v>
      </c>
      <c r="C369" s="5" t="s">
        <v>841</v>
      </c>
      <c r="D369" s="5" t="s">
        <v>41</v>
      </c>
      <c r="E369" s="5" t="s">
        <v>144</v>
      </c>
      <c r="F369" s="6">
        <v>57950634</v>
      </c>
      <c r="G369" s="5" t="s">
        <v>16</v>
      </c>
      <c r="H369" s="7">
        <v>45791</v>
      </c>
      <c r="I369" s="7">
        <v>45792</v>
      </c>
      <c r="J369" s="8">
        <v>150</v>
      </c>
      <c r="K369" s="7">
        <v>45809</v>
      </c>
      <c r="L369" s="7"/>
      <c r="P369" s="23"/>
    </row>
    <row r="370" spans="1:16" ht="14.4" customHeight="1" x14ac:dyDescent="0.3">
      <c r="A370" s="5">
        <v>371</v>
      </c>
      <c r="B370" s="5" t="s">
        <v>255</v>
      </c>
      <c r="C370" s="5" t="s">
        <v>842</v>
      </c>
      <c r="D370" s="5" t="s">
        <v>68</v>
      </c>
      <c r="E370" s="5" t="s">
        <v>49</v>
      </c>
      <c r="F370" s="6">
        <v>58060901</v>
      </c>
      <c r="G370" s="5" t="s">
        <v>16</v>
      </c>
      <c r="H370" s="7">
        <v>45791</v>
      </c>
      <c r="I370" s="7">
        <v>45792</v>
      </c>
      <c r="J370" s="8">
        <v>150</v>
      </c>
      <c r="K370" s="7">
        <v>45809</v>
      </c>
      <c r="L370" s="7"/>
      <c r="P370" s="23"/>
    </row>
    <row r="371" spans="1:16" ht="14.4" customHeight="1" x14ac:dyDescent="0.3">
      <c r="A371" s="5">
        <v>372</v>
      </c>
      <c r="B371" s="5" t="s">
        <v>843</v>
      </c>
      <c r="C371" s="5" t="s">
        <v>844</v>
      </c>
      <c r="D371" s="5" t="s">
        <v>475</v>
      </c>
      <c r="E371" s="5" t="s">
        <v>27</v>
      </c>
      <c r="F371" s="6">
        <v>58356258</v>
      </c>
      <c r="G371" s="5" t="s">
        <v>16</v>
      </c>
      <c r="H371" s="7">
        <v>45791</v>
      </c>
      <c r="I371" s="7">
        <v>45792</v>
      </c>
      <c r="J371" s="8">
        <v>150</v>
      </c>
      <c r="K371" s="7">
        <v>45809</v>
      </c>
      <c r="L371" s="7"/>
      <c r="P371" s="23"/>
    </row>
    <row r="372" spans="1:16" ht="14.4" customHeight="1" x14ac:dyDescent="0.3">
      <c r="A372" s="5">
        <v>373</v>
      </c>
      <c r="B372" s="5" t="s">
        <v>845</v>
      </c>
      <c r="C372" s="5" t="s">
        <v>846</v>
      </c>
      <c r="D372" s="5" t="s">
        <v>137</v>
      </c>
      <c r="E372" s="5" t="s">
        <v>847</v>
      </c>
      <c r="F372" s="6">
        <v>55366403</v>
      </c>
      <c r="G372" s="5" t="s">
        <v>16</v>
      </c>
      <c r="H372" s="7">
        <v>45791</v>
      </c>
      <c r="I372" s="7">
        <v>45792</v>
      </c>
      <c r="J372" s="8">
        <v>150</v>
      </c>
      <c r="K372" s="7">
        <v>45809</v>
      </c>
      <c r="L372" s="7"/>
      <c r="P372" s="23"/>
    </row>
    <row r="373" spans="1:16" ht="14.4" customHeight="1" x14ac:dyDescent="0.3">
      <c r="A373" s="5">
        <v>374</v>
      </c>
      <c r="B373" s="5" t="s">
        <v>848</v>
      </c>
      <c r="C373" s="5" t="s">
        <v>849</v>
      </c>
      <c r="D373" s="5" t="s">
        <v>601</v>
      </c>
      <c r="E373" s="5" t="s">
        <v>262</v>
      </c>
      <c r="F373" s="6">
        <v>57560236</v>
      </c>
      <c r="G373" s="5" t="s">
        <v>16</v>
      </c>
      <c r="H373" s="7">
        <v>45791</v>
      </c>
      <c r="I373" s="7">
        <v>45792</v>
      </c>
      <c r="J373" s="8">
        <v>150</v>
      </c>
      <c r="K373" s="7">
        <v>45809</v>
      </c>
      <c r="L373" s="7"/>
      <c r="P373" s="23"/>
    </row>
    <row r="374" spans="1:16" ht="14.4" customHeight="1" x14ac:dyDescent="0.3">
      <c r="A374" s="5">
        <v>375</v>
      </c>
      <c r="B374" s="5" t="s">
        <v>851</v>
      </c>
      <c r="C374" s="5" t="s">
        <v>852</v>
      </c>
      <c r="D374" s="5" t="s">
        <v>84</v>
      </c>
      <c r="E374" s="5" t="s">
        <v>84</v>
      </c>
      <c r="F374" s="6">
        <v>57881628</v>
      </c>
      <c r="G374" s="5" t="s">
        <v>1024</v>
      </c>
      <c r="H374" s="7">
        <v>45791</v>
      </c>
      <c r="I374" s="7">
        <v>45792</v>
      </c>
      <c r="J374" s="8">
        <v>150</v>
      </c>
      <c r="K374" s="7">
        <v>45809</v>
      </c>
      <c r="L374" s="7"/>
      <c r="P374" s="23"/>
    </row>
    <row r="375" spans="1:16" ht="14.4" customHeight="1" x14ac:dyDescent="0.3">
      <c r="A375" s="5">
        <v>376</v>
      </c>
      <c r="B375" s="5" t="s">
        <v>853</v>
      </c>
      <c r="C375" s="5" t="s">
        <v>854</v>
      </c>
      <c r="D375" s="5" t="s">
        <v>68</v>
      </c>
      <c r="E375" s="5" t="s">
        <v>226</v>
      </c>
      <c r="F375" s="6">
        <v>58045188</v>
      </c>
      <c r="G375" s="5" t="s">
        <v>16</v>
      </c>
      <c r="H375" s="7">
        <v>45791</v>
      </c>
      <c r="I375" s="7">
        <v>45792</v>
      </c>
      <c r="J375" s="8">
        <v>150</v>
      </c>
      <c r="K375" s="7">
        <v>45809</v>
      </c>
      <c r="L375" s="7"/>
      <c r="P375" s="23"/>
    </row>
    <row r="376" spans="1:16" ht="14.4" customHeight="1" x14ac:dyDescent="0.3">
      <c r="A376" s="5">
        <v>377</v>
      </c>
      <c r="B376" s="5" t="s">
        <v>855</v>
      </c>
      <c r="C376" s="5" t="s">
        <v>856</v>
      </c>
      <c r="D376" s="5" t="s">
        <v>475</v>
      </c>
      <c r="E376" s="5" t="s">
        <v>857</v>
      </c>
      <c r="F376" s="6">
        <v>58062193</v>
      </c>
      <c r="G376" s="5" t="s">
        <v>16</v>
      </c>
      <c r="H376" s="7">
        <v>45791</v>
      </c>
      <c r="I376" s="7">
        <v>45792</v>
      </c>
      <c r="J376" s="8">
        <v>150</v>
      </c>
      <c r="K376" s="7">
        <v>45809</v>
      </c>
      <c r="L376" s="7"/>
      <c r="P376" s="23"/>
    </row>
    <row r="377" spans="1:16" ht="14.4" customHeight="1" x14ac:dyDescent="0.3">
      <c r="A377" s="5">
        <v>379</v>
      </c>
      <c r="B377" s="5" t="s">
        <v>860</v>
      </c>
      <c r="C377" s="5" t="s">
        <v>861</v>
      </c>
      <c r="D377" s="5" t="s">
        <v>475</v>
      </c>
      <c r="E377" s="5" t="s">
        <v>131</v>
      </c>
      <c r="F377" s="6">
        <v>57143835</v>
      </c>
      <c r="G377" s="5" t="s">
        <v>16</v>
      </c>
      <c r="H377" s="7">
        <v>45791</v>
      </c>
      <c r="I377" s="7">
        <v>45792</v>
      </c>
      <c r="J377" s="8">
        <v>150</v>
      </c>
      <c r="K377" s="7">
        <v>45809</v>
      </c>
      <c r="L377" s="7"/>
      <c r="P377" s="23"/>
    </row>
    <row r="378" spans="1:16" ht="14.4" customHeight="1" x14ac:dyDescent="0.3">
      <c r="A378" s="5">
        <v>380</v>
      </c>
      <c r="B378" s="5" t="s">
        <v>862</v>
      </c>
      <c r="C378" s="5" t="s">
        <v>863</v>
      </c>
      <c r="D378" s="5" t="s">
        <v>601</v>
      </c>
      <c r="E378" s="5" t="s">
        <v>259</v>
      </c>
      <c r="F378" s="6">
        <v>59204506</v>
      </c>
      <c r="G378" s="5" t="s">
        <v>1024</v>
      </c>
      <c r="H378" s="7">
        <v>45791</v>
      </c>
      <c r="I378" s="7">
        <v>45792</v>
      </c>
      <c r="J378" s="8">
        <v>150</v>
      </c>
      <c r="K378" s="7">
        <v>45809</v>
      </c>
      <c r="L378" s="7"/>
      <c r="P378" s="23"/>
    </row>
    <row r="379" spans="1:16" ht="14.4" customHeight="1" x14ac:dyDescent="0.3">
      <c r="A379" s="5">
        <v>381</v>
      </c>
      <c r="B379" s="5" t="s">
        <v>864</v>
      </c>
      <c r="C379" s="5" t="s">
        <v>865</v>
      </c>
      <c r="D379" s="5" t="s">
        <v>569</v>
      </c>
      <c r="E379" s="5" t="s">
        <v>305</v>
      </c>
      <c r="F379" s="6">
        <v>58352822</v>
      </c>
      <c r="G379" s="5" t="s">
        <v>16</v>
      </c>
      <c r="H379" s="7">
        <v>45791</v>
      </c>
      <c r="I379" s="7">
        <v>45792</v>
      </c>
      <c r="J379" s="8">
        <v>150</v>
      </c>
      <c r="K379" s="7">
        <v>45809</v>
      </c>
      <c r="L379" s="7"/>
      <c r="P379" s="23"/>
    </row>
    <row r="380" spans="1:16" ht="14.4" customHeight="1" x14ac:dyDescent="0.3">
      <c r="A380" s="5">
        <v>383</v>
      </c>
      <c r="B380" s="5" t="s">
        <v>868</v>
      </c>
      <c r="C380" s="5" t="s">
        <v>869</v>
      </c>
      <c r="D380" s="5" t="s">
        <v>84</v>
      </c>
      <c r="E380" s="5" t="s">
        <v>149</v>
      </c>
      <c r="F380" s="6">
        <v>59022668</v>
      </c>
      <c r="G380" s="5" t="s">
        <v>16</v>
      </c>
      <c r="H380" s="7">
        <v>45791</v>
      </c>
      <c r="I380" s="7">
        <v>45792</v>
      </c>
      <c r="J380" s="8">
        <v>150</v>
      </c>
      <c r="K380" s="7">
        <v>45809</v>
      </c>
      <c r="L380" s="7"/>
      <c r="P380" s="23"/>
    </row>
    <row r="381" spans="1:16" ht="14.4" customHeight="1" x14ac:dyDescent="0.3">
      <c r="A381" s="5">
        <v>384</v>
      </c>
      <c r="B381" s="5" t="s">
        <v>870</v>
      </c>
      <c r="C381" s="5" t="s">
        <v>871</v>
      </c>
      <c r="D381" s="5" t="s">
        <v>34</v>
      </c>
      <c r="E381" s="5" t="s">
        <v>41</v>
      </c>
      <c r="F381" s="6">
        <v>57586880</v>
      </c>
      <c r="G381" s="5" t="s">
        <v>16</v>
      </c>
      <c r="H381" s="7">
        <v>45791</v>
      </c>
      <c r="I381" s="7">
        <v>45792</v>
      </c>
      <c r="J381" s="8">
        <v>150</v>
      </c>
      <c r="K381" s="7">
        <v>45809</v>
      </c>
      <c r="L381" s="7"/>
      <c r="P381" s="23"/>
    </row>
    <row r="382" spans="1:16" ht="14.4" customHeight="1" x14ac:dyDescent="0.3">
      <c r="A382" s="5">
        <v>385</v>
      </c>
      <c r="B382" s="5" t="s">
        <v>872</v>
      </c>
      <c r="C382" s="5" t="s">
        <v>873</v>
      </c>
      <c r="D382" s="5" t="s">
        <v>475</v>
      </c>
      <c r="E382" s="5" t="s">
        <v>874</v>
      </c>
      <c r="F382" s="6">
        <v>59249794</v>
      </c>
      <c r="G382" s="5" t="s">
        <v>1024</v>
      </c>
      <c r="H382" s="7">
        <v>45791</v>
      </c>
      <c r="I382" s="7">
        <v>45792</v>
      </c>
      <c r="J382" s="8">
        <v>150</v>
      </c>
      <c r="K382" s="7">
        <v>45809</v>
      </c>
      <c r="L382" s="7"/>
      <c r="P382" s="23"/>
    </row>
    <row r="383" spans="1:16" ht="14.4" customHeight="1" x14ac:dyDescent="0.3">
      <c r="A383" s="5">
        <v>386</v>
      </c>
      <c r="B383" s="5" t="s">
        <v>875</v>
      </c>
      <c r="C383" s="5" t="s">
        <v>876</v>
      </c>
      <c r="D383" s="5" t="s">
        <v>475</v>
      </c>
      <c r="E383" s="5" t="s">
        <v>807</v>
      </c>
      <c r="F383" s="10" t="s">
        <v>877</v>
      </c>
      <c r="G383" s="5" t="s">
        <v>16</v>
      </c>
      <c r="H383" s="7">
        <v>45791</v>
      </c>
      <c r="I383" s="7">
        <v>45792</v>
      </c>
      <c r="J383" s="8">
        <v>150</v>
      </c>
      <c r="K383" s="7">
        <v>45809</v>
      </c>
      <c r="L383" s="7"/>
      <c r="P383" s="23"/>
    </row>
    <row r="384" spans="1:16" ht="14.4" customHeight="1" x14ac:dyDescent="0.3">
      <c r="A384" s="5">
        <v>387</v>
      </c>
      <c r="B384" s="5" t="s">
        <v>878</v>
      </c>
      <c r="C384" s="5" t="s">
        <v>879</v>
      </c>
      <c r="D384" s="5" t="s">
        <v>426</v>
      </c>
      <c r="E384" s="5" t="s">
        <v>880</v>
      </c>
      <c r="F384" s="6">
        <v>58115768</v>
      </c>
      <c r="G384" s="5" t="s">
        <v>16</v>
      </c>
      <c r="H384" s="7">
        <v>45791</v>
      </c>
      <c r="I384" s="7">
        <v>45792</v>
      </c>
      <c r="J384" s="8">
        <v>150</v>
      </c>
      <c r="K384" s="7">
        <v>45809</v>
      </c>
      <c r="L384" s="7"/>
      <c r="P384" s="23"/>
    </row>
    <row r="385" spans="1:16" ht="14.4" customHeight="1" x14ac:dyDescent="0.3">
      <c r="A385" s="5">
        <v>388</v>
      </c>
      <c r="B385" s="5" t="s">
        <v>881</v>
      </c>
      <c r="C385" s="5" t="s">
        <v>882</v>
      </c>
      <c r="D385" s="5" t="s">
        <v>68</v>
      </c>
      <c r="E385" s="5" t="s">
        <v>60</v>
      </c>
      <c r="F385" s="6">
        <v>59260105</v>
      </c>
      <c r="G385" s="5" t="s">
        <v>16</v>
      </c>
      <c r="H385" s="7">
        <v>45791</v>
      </c>
      <c r="I385" s="7">
        <v>45792</v>
      </c>
      <c r="J385" s="8">
        <v>150</v>
      </c>
      <c r="K385" s="7">
        <v>45809</v>
      </c>
      <c r="L385" s="7"/>
      <c r="P385" s="23"/>
    </row>
    <row r="386" spans="1:16" ht="14.4" customHeight="1" x14ac:dyDescent="0.3">
      <c r="A386" s="5">
        <v>389</v>
      </c>
      <c r="B386" s="5" t="s">
        <v>883</v>
      </c>
      <c r="C386" s="5" t="s">
        <v>884</v>
      </c>
      <c r="D386" s="5" t="s">
        <v>569</v>
      </c>
      <c r="E386" s="5" t="s">
        <v>368</v>
      </c>
      <c r="F386" s="6">
        <v>58291827</v>
      </c>
      <c r="G386" s="5" t="s">
        <v>16</v>
      </c>
      <c r="H386" s="7">
        <v>45791</v>
      </c>
      <c r="I386" s="7">
        <v>45792</v>
      </c>
      <c r="J386" s="8">
        <v>150</v>
      </c>
      <c r="K386" s="7">
        <v>45809</v>
      </c>
      <c r="L386" s="7"/>
      <c r="P386" s="23"/>
    </row>
    <row r="387" spans="1:16" ht="14.4" customHeight="1" x14ac:dyDescent="0.3">
      <c r="A387" s="5">
        <v>390</v>
      </c>
      <c r="B387" s="5" t="s">
        <v>885</v>
      </c>
      <c r="C387" s="5" t="s">
        <v>886</v>
      </c>
      <c r="D387" s="5" t="s">
        <v>84</v>
      </c>
      <c r="E387" s="5" t="s">
        <v>84</v>
      </c>
      <c r="F387" s="6">
        <v>57371530</v>
      </c>
      <c r="G387" s="5" t="s">
        <v>1024</v>
      </c>
      <c r="H387" s="7">
        <v>45791</v>
      </c>
      <c r="I387" s="7">
        <v>45792</v>
      </c>
      <c r="J387" s="8">
        <v>150</v>
      </c>
      <c r="K387" s="7">
        <v>45809</v>
      </c>
      <c r="L387" s="7"/>
      <c r="P387" s="23"/>
    </row>
    <row r="388" spans="1:16" ht="14.4" customHeight="1" x14ac:dyDescent="0.3">
      <c r="A388" s="5">
        <v>391</v>
      </c>
      <c r="B388" s="5" t="s">
        <v>887</v>
      </c>
      <c r="C388" s="5" t="s">
        <v>888</v>
      </c>
      <c r="D388" s="5" t="s">
        <v>68</v>
      </c>
      <c r="E388" s="5" t="s">
        <v>101</v>
      </c>
      <c r="F388" s="6">
        <v>59138037</v>
      </c>
      <c r="G388" s="5" t="s">
        <v>16</v>
      </c>
      <c r="H388" s="7">
        <v>45791</v>
      </c>
      <c r="I388" s="7">
        <v>45792</v>
      </c>
      <c r="J388" s="8">
        <v>150</v>
      </c>
      <c r="K388" s="7">
        <v>45809</v>
      </c>
      <c r="L388" s="7"/>
      <c r="P388" s="23"/>
    </row>
    <row r="389" spans="1:16" ht="14.4" customHeight="1" x14ac:dyDescent="0.3">
      <c r="A389" s="5">
        <v>369</v>
      </c>
      <c r="B389" s="5" t="s">
        <v>838</v>
      </c>
      <c r="C389" s="5" t="s">
        <v>839</v>
      </c>
      <c r="D389" s="5" t="s">
        <v>68</v>
      </c>
      <c r="E389" s="5" t="s">
        <v>69</v>
      </c>
      <c r="F389" s="6">
        <v>59847082</v>
      </c>
      <c r="G389" s="5" t="s">
        <v>16</v>
      </c>
      <c r="H389" s="7">
        <v>45791</v>
      </c>
      <c r="I389" s="7">
        <v>45796</v>
      </c>
      <c r="J389" s="8">
        <v>150</v>
      </c>
      <c r="K389" s="7">
        <v>45809</v>
      </c>
      <c r="L389" s="7"/>
      <c r="P389" s="23"/>
    </row>
    <row r="390" spans="1:16" ht="14.4" customHeight="1" x14ac:dyDescent="0.3">
      <c r="A390" s="5">
        <v>382</v>
      </c>
      <c r="B390" s="5" t="s">
        <v>866</v>
      </c>
      <c r="C390" s="5" t="s">
        <v>867</v>
      </c>
      <c r="D390" s="5" t="s">
        <v>41</v>
      </c>
      <c r="E390" s="5" t="s">
        <v>144</v>
      </c>
      <c r="F390" s="6">
        <v>57869587</v>
      </c>
      <c r="G390" s="5" t="s">
        <v>16</v>
      </c>
      <c r="H390" s="7">
        <v>45791</v>
      </c>
      <c r="I390" s="7">
        <v>45796</v>
      </c>
      <c r="J390" s="8">
        <v>150</v>
      </c>
      <c r="K390" s="7">
        <v>45809</v>
      </c>
      <c r="L390" s="7"/>
      <c r="P390" s="23"/>
    </row>
    <row r="391" spans="1:16" ht="14.4" customHeight="1" x14ac:dyDescent="0.3">
      <c r="A391" s="5">
        <v>392</v>
      </c>
      <c r="B391" s="7" t="s">
        <v>889</v>
      </c>
      <c r="C391" s="7" t="s">
        <v>890</v>
      </c>
      <c r="D391" s="5" t="s">
        <v>68</v>
      </c>
      <c r="E391" s="5" t="s">
        <v>117</v>
      </c>
      <c r="F391" s="6">
        <v>58089291</v>
      </c>
      <c r="G391" s="5" t="s">
        <v>16</v>
      </c>
      <c r="H391" s="7">
        <v>45795</v>
      </c>
      <c r="I391" s="7">
        <v>45796</v>
      </c>
      <c r="J391" s="8">
        <v>150</v>
      </c>
      <c r="K391" s="7">
        <v>45809</v>
      </c>
      <c r="L391" s="5"/>
      <c r="P391" s="23"/>
    </row>
    <row r="392" spans="1:16" ht="14.4" customHeight="1" x14ac:dyDescent="0.3">
      <c r="A392" s="5">
        <v>393</v>
      </c>
      <c r="B392" s="7" t="s">
        <v>891</v>
      </c>
      <c r="C392" s="7" t="s">
        <v>892</v>
      </c>
      <c r="D392" s="5" t="s">
        <v>601</v>
      </c>
      <c r="E392" s="5" t="s">
        <v>259</v>
      </c>
      <c r="F392" s="6">
        <v>57049037</v>
      </c>
      <c r="G392" s="5" t="s">
        <v>16</v>
      </c>
      <c r="H392" s="7">
        <v>45795</v>
      </c>
      <c r="I392" s="7">
        <v>45796</v>
      </c>
      <c r="J392" s="8">
        <v>150</v>
      </c>
      <c r="K392" s="7">
        <v>45809</v>
      </c>
      <c r="L392" s="5"/>
      <c r="P392" s="23"/>
    </row>
    <row r="393" spans="1:16" ht="14.4" customHeight="1" x14ac:dyDescent="0.3">
      <c r="A393" s="5">
        <v>394</v>
      </c>
      <c r="B393" s="7" t="s">
        <v>893</v>
      </c>
      <c r="C393" s="5" t="s">
        <v>894</v>
      </c>
      <c r="D393" s="5" t="s">
        <v>601</v>
      </c>
      <c r="E393" s="5" t="s">
        <v>546</v>
      </c>
      <c r="F393" s="6">
        <v>59176744</v>
      </c>
      <c r="G393" s="5" t="s">
        <v>16</v>
      </c>
      <c r="H393" s="7">
        <v>45795</v>
      </c>
      <c r="I393" s="7">
        <v>45796</v>
      </c>
      <c r="J393" s="8">
        <v>150</v>
      </c>
      <c r="K393" s="7">
        <v>45809</v>
      </c>
      <c r="L393" s="7"/>
      <c r="P393" s="23"/>
    </row>
    <row r="394" spans="1:16" ht="14.4" customHeight="1" x14ac:dyDescent="0.3">
      <c r="A394" s="5">
        <v>395</v>
      </c>
      <c r="B394" s="7" t="s">
        <v>895</v>
      </c>
      <c r="C394" s="7" t="s">
        <v>896</v>
      </c>
      <c r="D394" s="5" t="s">
        <v>68</v>
      </c>
      <c r="E394" s="5" t="s">
        <v>696</v>
      </c>
      <c r="F394" s="6">
        <v>59297458</v>
      </c>
      <c r="G394" s="5" t="s">
        <v>16</v>
      </c>
      <c r="H394" s="7">
        <v>45795</v>
      </c>
      <c r="I394" s="7">
        <v>45796</v>
      </c>
      <c r="J394" s="8">
        <v>150</v>
      </c>
      <c r="K394" s="7">
        <v>45809</v>
      </c>
      <c r="L394" s="7"/>
      <c r="P394" s="23"/>
    </row>
    <row r="395" spans="1:16" ht="14.4" customHeight="1" x14ac:dyDescent="0.3">
      <c r="A395" s="5">
        <v>396</v>
      </c>
      <c r="B395" s="7" t="s">
        <v>897</v>
      </c>
      <c r="C395" s="7" t="s">
        <v>898</v>
      </c>
      <c r="D395" s="5" t="s">
        <v>569</v>
      </c>
      <c r="E395" s="5" t="s">
        <v>291</v>
      </c>
      <c r="F395" s="6">
        <v>58098168</v>
      </c>
      <c r="G395" s="5" t="s">
        <v>16</v>
      </c>
      <c r="H395" s="7">
        <v>45795</v>
      </c>
      <c r="I395" s="7">
        <v>45796</v>
      </c>
      <c r="J395" s="8">
        <v>150</v>
      </c>
      <c r="K395" s="7">
        <v>45809</v>
      </c>
      <c r="L395" s="7"/>
      <c r="P395" s="23"/>
    </row>
    <row r="396" spans="1:16" ht="14.4" customHeight="1" x14ac:dyDescent="0.3">
      <c r="A396" s="5">
        <v>397</v>
      </c>
      <c r="B396" s="7" t="s">
        <v>899</v>
      </c>
      <c r="C396" s="7" t="s">
        <v>900</v>
      </c>
      <c r="D396" s="5" t="s">
        <v>137</v>
      </c>
      <c r="E396" s="5" t="s">
        <v>98</v>
      </c>
      <c r="F396" s="6">
        <v>59052095</v>
      </c>
      <c r="G396" s="5" t="s">
        <v>16</v>
      </c>
      <c r="H396" s="7">
        <v>45795</v>
      </c>
      <c r="I396" s="7">
        <v>45796</v>
      </c>
      <c r="J396" s="8">
        <v>150</v>
      </c>
      <c r="K396" s="7">
        <v>45809</v>
      </c>
      <c r="L396" s="7"/>
      <c r="P396" s="23"/>
    </row>
    <row r="397" spans="1:16" ht="14.4" customHeight="1" x14ac:dyDescent="0.3">
      <c r="A397" s="5">
        <v>398</v>
      </c>
      <c r="B397" s="7" t="s">
        <v>901</v>
      </c>
      <c r="C397" s="7" t="s">
        <v>902</v>
      </c>
      <c r="D397" s="5" t="s">
        <v>903</v>
      </c>
      <c r="E397" s="5" t="s">
        <v>904</v>
      </c>
      <c r="F397" s="6">
        <v>57476358</v>
      </c>
      <c r="G397" s="5" t="s">
        <v>16</v>
      </c>
      <c r="H397" s="7">
        <v>45795</v>
      </c>
      <c r="I397" s="7">
        <v>45796</v>
      </c>
      <c r="J397" s="8">
        <v>150</v>
      </c>
      <c r="K397" s="7">
        <v>45809</v>
      </c>
      <c r="L397" s="7"/>
      <c r="P397" s="23"/>
    </row>
    <row r="398" spans="1:16" ht="14.4" customHeight="1" x14ac:dyDescent="0.3">
      <c r="A398" s="5">
        <v>399</v>
      </c>
      <c r="B398" s="5" t="s">
        <v>905</v>
      </c>
      <c r="C398" s="5" t="s">
        <v>906</v>
      </c>
      <c r="D398" s="5" t="s">
        <v>68</v>
      </c>
      <c r="E398" s="5" t="s">
        <v>63</v>
      </c>
      <c r="F398" s="6">
        <v>57615763</v>
      </c>
      <c r="G398" s="5" t="s">
        <v>16</v>
      </c>
      <c r="H398" s="7">
        <v>45795</v>
      </c>
      <c r="I398" s="7">
        <v>45796</v>
      </c>
      <c r="J398" s="8">
        <v>150</v>
      </c>
      <c r="K398" s="7">
        <v>45809</v>
      </c>
      <c r="L398" s="7"/>
      <c r="P398" s="23"/>
    </row>
    <row r="399" spans="1:16" ht="14.4" customHeight="1" x14ac:dyDescent="0.3">
      <c r="A399" s="5">
        <v>400</v>
      </c>
      <c r="B399" s="5" t="s">
        <v>907</v>
      </c>
      <c r="C399" s="5" t="s">
        <v>908</v>
      </c>
      <c r="D399" s="5" t="s">
        <v>84</v>
      </c>
      <c r="E399" s="5" t="s">
        <v>84</v>
      </c>
      <c r="F399" s="6">
        <v>58249157</v>
      </c>
      <c r="G399" s="5" t="s">
        <v>16</v>
      </c>
      <c r="H399" s="7">
        <v>45795</v>
      </c>
      <c r="I399" s="7">
        <v>45796</v>
      </c>
      <c r="J399" s="8">
        <v>150</v>
      </c>
      <c r="K399" s="7">
        <v>45809</v>
      </c>
      <c r="L399" s="7"/>
      <c r="P399" s="23"/>
    </row>
    <row r="400" spans="1:16" ht="14.4" customHeight="1" x14ac:dyDescent="0.3">
      <c r="A400" s="5">
        <v>401</v>
      </c>
      <c r="B400" s="7" t="s">
        <v>909</v>
      </c>
      <c r="C400" s="5" t="s">
        <v>910</v>
      </c>
      <c r="D400" s="5" t="s">
        <v>68</v>
      </c>
      <c r="E400" s="5" t="s">
        <v>49</v>
      </c>
      <c r="F400" s="6">
        <v>58019771</v>
      </c>
      <c r="G400" s="5" t="s">
        <v>16</v>
      </c>
      <c r="H400" s="7">
        <v>45795</v>
      </c>
      <c r="I400" s="7">
        <v>45796</v>
      </c>
      <c r="J400" s="8">
        <v>150</v>
      </c>
      <c r="K400" s="7">
        <v>45809</v>
      </c>
      <c r="L400" s="7"/>
      <c r="P400" s="23"/>
    </row>
    <row r="401" spans="1:16" ht="14.4" customHeight="1" x14ac:dyDescent="0.3">
      <c r="A401" s="5">
        <v>402</v>
      </c>
      <c r="B401" s="5" t="s">
        <v>911</v>
      </c>
      <c r="C401" s="5" t="s">
        <v>912</v>
      </c>
      <c r="D401" s="5" t="s">
        <v>68</v>
      </c>
      <c r="E401" s="5" t="s">
        <v>69</v>
      </c>
      <c r="F401" s="6">
        <v>58161626</v>
      </c>
      <c r="G401" s="5" t="s">
        <v>16</v>
      </c>
      <c r="H401" s="7">
        <v>45795</v>
      </c>
      <c r="I401" s="7">
        <v>45796</v>
      </c>
      <c r="J401" s="8">
        <v>150</v>
      </c>
      <c r="K401" s="7">
        <v>45809</v>
      </c>
      <c r="L401" s="7"/>
      <c r="P401" s="23"/>
    </row>
    <row r="402" spans="1:16" ht="14.4" customHeight="1" x14ac:dyDescent="0.3">
      <c r="A402" s="5">
        <v>403</v>
      </c>
      <c r="B402" s="5" t="s">
        <v>913</v>
      </c>
      <c r="C402" s="5" t="s">
        <v>914</v>
      </c>
      <c r="D402" s="5" t="s">
        <v>137</v>
      </c>
      <c r="E402" s="5" t="s">
        <v>204</v>
      </c>
      <c r="F402" s="6">
        <v>57957626</v>
      </c>
      <c r="G402" s="5" t="s">
        <v>16</v>
      </c>
      <c r="H402" s="7">
        <v>45795</v>
      </c>
      <c r="I402" s="7">
        <v>45796</v>
      </c>
      <c r="J402" s="8">
        <v>150</v>
      </c>
      <c r="K402" s="7">
        <v>45809</v>
      </c>
      <c r="L402" s="7"/>
      <c r="P402" s="23"/>
    </row>
    <row r="403" spans="1:16" ht="14.4" customHeight="1" x14ac:dyDescent="0.3">
      <c r="A403" s="5">
        <v>404</v>
      </c>
      <c r="B403" s="5" t="s">
        <v>915</v>
      </c>
      <c r="C403" s="5" t="s">
        <v>916</v>
      </c>
      <c r="D403" s="5" t="s">
        <v>569</v>
      </c>
      <c r="E403" s="5" t="s">
        <v>368</v>
      </c>
      <c r="F403" s="6">
        <v>57081703</v>
      </c>
      <c r="G403" s="5" t="s">
        <v>16</v>
      </c>
      <c r="H403" s="7">
        <v>45795</v>
      </c>
      <c r="I403" s="7">
        <v>45796</v>
      </c>
      <c r="J403" s="8">
        <v>150</v>
      </c>
      <c r="K403" s="7">
        <v>45809</v>
      </c>
      <c r="L403" s="7"/>
      <c r="P403" s="23"/>
    </row>
    <row r="404" spans="1:16" ht="14.4" customHeight="1" x14ac:dyDescent="0.3">
      <c r="A404" s="5">
        <v>405</v>
      </c>
      <c r="B404" s="5" t="s">
        <v>917</v>
      </c>
      <c r="C404" s="5" t="s">
        <v>918</v>
      </c>
      <c r="D404" s="5" t="s">
        <v>601</v>
      </c>
      <c r="E404" s="5" t="s">
        <v>262</v>
      </c>
      <c r="F404" s="6">
        <v>58316872</v>
      </c>
      <c r="G404" s="5" t="s">
        <v>16</v>
      </c>
      <c r="H404" s="7">
        <v>45795</v>
      </c>
      <c r="I404" s="7">
        <v>45796</v>
      </c>
      <c r="J404" s="8">
        <v>150</v>
      </c>
      <c r="K404" s="7">
        <v>45809</v>
      </c>
      <c r="L404" s="7"/>
      <c r="P404" s="23"/>
    </row>
    <row r="405" spans="1:16" ht="14.4" customHeight="1" x14ac:dyDescent="0.3">
      <c r="A405" s="5">
        <v>406</v>
      </c>
      <c r="B405" s="5" t="s">
        <v>919</v>
      </c>
      <c r="C405" s="5" t="s">
        <v>920</v>
      </c>
      <c r="D405" s="5" t="s">
        <v>41</v>
      </c>
      <c r="E405" s="5" t="s">
        <v>126</v>
      </c>
      <c r="F405" s="6">
        <v>59111590</v>
      </c>
      <c r="G405" s="5" t="s">
        <v>16</v>
      </c>
      <c r="H405" s="7">
        <v>45795</v>
      </c>
      <c r="I405" s="7">
        <v>45796</v>
      </c>
      <c r="J405" s="8">
        <v>150</v>
      </c>
      <c r="K405" s="7">
        <v>45809</v>
      </c>
      <c r="L405" s="7"/>
      <c r="P405" s="23"/>
    </row>
    <row r="406" spans="1:16" ht="14.4" customHeight="1" x14ac:dyDescent="0.3">
      <c r="A406" s="5">
        <v>407</v>
      </c>
      <c r="B406" s="5" t="s">
        <v>921</v>
      </c>
      <c r="C406" s="5" t="s">
        <v>922</v>
      </c>
      <c r="D406" s="5" t="s">
        <v>137</v>
      </c>
      <c r="E406" s="5" t="s">
        <v>923</v>
      </c>
      <c r="F406" s="10" t="s">
        <v>924</v>
      </c>
      <c r="G406" s="5" t="s">
        <v>16</v>
      </c>
      <c r="H406" s="7">
        <v>45795</v>
      </c>
      <c r="I406" s="7">
        <v>45796</v>
      </c>
      <c r="J406" s="8">
        <v>150</v>
      </c>
      <c r="K406" s="7">
        <v>45809</v>
      </c>
      <c r="L406" s="7"/>
      <c r="P406" s="23"/>
    </row>
    <row r="407" spans="1:16" ht="14.4" customHeight="1" x14ac:dyDescent="0.3">
      <c r="A407" s="5">
        <v>408</v>
      </c>
      <c r="B407" s="5" t="s">
        <v>925</v>
      </c>
      <c r="C407" s="5" t="s">
        <v>926</v>
      </c>
      <c r="D407" s="5" t="s">
        <v>137</v>
      </c>
      <c r="E407" s="5" t="s">
        <v>223</v>
      </c>
      <c r="F407" s="6">
        <v>57836772</v>
      </c>
      <c r="G407" s="5" t="s">
        <v>16</v>
      </c>
      <c r="H407" s="7">
        <v>45795</v>
      </c>
      <c r="I407" s="7">
        <v>45796</v>
      </c>
      <c r="J407" s="8">
        <v>150</v>
      </c>
      <c r="K407" s="7">
        <v>45809</v>
      </c>
      <c r="L407" s="7"/>
      <c r="P407" s="23"/>
    </row>
    <row r="408" spans="1:16" ht="14.4" customHeight="1" x14ac:dyDescent="0.3">
      <c r="A408" s="5">
        <v>409</v>
      </c>
      <c r="B408" s="5" t="s">
        <v>927</v>
      </c>
      <c r="C408" s="5" t="s">
        <v>928</v>
      </c>
      <c r="D408" s="5" t="s">
        <v>601</v>
      </c>
      <c r="E408" s="5" t="s">
        <v>929</v>
      </c>
      <c r="F408" s="6">
        <v>57822066</v>
      </c>
      <c r="G408" s="5" t="s">
        <v>16</v>
      </c>
      <c r="H408" s="7">
        <v>45795</v>
      </c>
      <c r="I408" s="7">
        <v>45796</v>
      </c>
      <c r="J408" s="8">
        <v>150</v>
      </c>
      <c r="K408" s="7">
        <v>45809</v>
      </c>
      <c r="L408" s="7"/>
      <c r="P408" s="23"/>
    </row>
    <row r="409" spans="1:16" ht="14.4" customHeight="1" x14ac:dyDescent="0.3">
      <c r="A409" s="5">
        <v>410</v>
      </c>
      <c r="B409" s="5" t="s">
        <v>930</v>
      </c>
      <c r="C409" s="5" t="s">
        <v>931</v>
      </c>
      <c r="D409" s="5" t="s">
        <v>475</v>
      </c>
      <c r="E409" s="5" t="s">
        <v>27</v>
      </c>
      <c r="F409" s="6">
        <v>57984707</v>
      </c>
      <c r="G409" s="5" t="s">
        <v>16</v>
      </c>
      <c r="H409" s="7">
        <v>45795</v>
      </c>
      <c r="I409" s="7">
        <v>45796</v>
      </c>
      <c r="J409" s="8">
        <v>150</v>
      </c>
      <c r="K409" s="7">
        <v>45809</v>
      </c>
      <c r="L409" s="7"/>
      <c r="P409" s="23"/>
    </row>
    <row r="410" spans="1:16" ht="14.4" customHeight="1" x14ac:dyDescent="0.3">
      <c r="A410" s="5">
        <v>411</v>
      </c>
      <c r="B410" s="5" t="s">
        <v>932</v>
      </c>
      <c r="C410" s="5" t="s">
        <v>933</v>
      </c>
      <c r="D410" s="5" t="s">
        <v>68</v>
      </c>
      <c r="E410" s="5" t="s">
        <v>101</v>
      </c>
      <c r="F410" s="6">
        <v>57539651</v>
      </c>
      <c r="G410" s="5" t="s">
        <v>16</v>
      </c>
      <c r="H410" s="7">
        <v>45795</v>
      </c>
      <c r="I410" s="7">
        <v>45796</v>
      </c>
      <c r="J410" s="8">
        <v>150</v>
      </c>
      <c r="K410" s="7">
        <v>45809</v>
      </c>
      <c r="L410" s="7"/>
      <c r="P410" s="23"/>
    </row>
    <row r="411" spans="1:16" ht="14.4" customHeight="1" x14ac:dyDescent="0.3">
      <c r="A411" s="5">
        <v>412</v>
      </c>
      <c r="B411" s="5" t="s">
        <v>934</v>
      </c>
      <c r="C411" s="5" t="s">
        <v>935</v>
      </c>
      <c r="D411" s="5" t="s">
        <v>68</v>
      </c>
      <c r="E411" s="5" t="s">
        <v>63</v>
      </c>
      <c r="F411" s="6">
        <v>58082124</v>
      </c>
      <c r="G411" s="5" t="s">
        <v>16</v>
      </c>
      <c r="H411" s="7">
        <v>45795</v>
      </c>
      <c r="I411" s="7">
        <v>45796</v>
      </c>
      <c r="J411" s="8">
        <v>150</v>
      </c>
      <c r="K411" s="7">
        <v>45809</v>
      </c>
      <c r="L411" s="7"/>
      <c r="P411" s="23"/>
    </row>
    <row r="412" spans="1:16" ht="14.4" customHeight="1" x14ac:dyDescent="0.3">
      <c r="A412" s="5">
        <v>413</v>
      </c>
      <c r="B412" s="5" t="s">
        <v>936</v>
      </c>
      <c r="C412" s="5" t="s">
        <v>937</v>
      </c>
      <c r="D412" s="5" t="s">
        <v>903</v>
      </c>
      <c r="E412" s="5" t="s">
        <v>497</v>
      </c>
      <c r="F412" s="6">
        <v>57319206</v>
      </c>
      <c r="G412" s="5" t="s">
        <v>16</v>
      </c>
      <c r="H412" s="7">
        <v>45795</v>
      </c>
      <c r="I412" s="7">
        <v>45796</v>
      </c>
      <c r="J412" s="8">
        <v>150</v>
      </c>
      <c r="K412" s="7">
        <v>45809</v>
      </c>
      <c r="L412" s="7"/>
      <c r="P412" s="23"/>
    </row>
    <row r="413" spans="1:16" ht="14.4" customHeight="1" x14ac:dyDescent="0.3">
      <c r="A413" s="5">
        <v>414</v>
      </c>
      <c r="B413" s="5" t="s">
        <v>938</v>
      </c>
      <c r="C413" s="5" t="s">
        <v>939</v>
      </c>
      <c r="D413" s="5" t="s">
        <v>84</v>
      </c>
      <c r="E413" s="5" t="s">
        <v>84</v>
      </c>
      <c r="F413" s="6">
        <v>59474962</v>
      </c>
      <c r="G413" s="5" t="s">
        <v>16</v>
      </c>
      <c r="H413" s="7">
        <v>45795</v>
      </c>
      <c r="I413" s="7">
        <v>45796</v>
      </c>
      <c r="J413" s="8">
        <v>150</v>
      </c>
      <c r="K413" s="7">
        <v>45809</v>
      </c>
      <c r="L413" s="7"/>
      <c r="P413" s="23"/>
    </row>
    <row r="414" spans="1:16" ht="14.4" customHeight="1" x14ac:dyDescent="0.3">
      <c r="A414" s="5">
        <v>415</v>
      </c>
      <c r="B414" s="5" t="s">
        <v>940</v>
      </c>
      <c r="C414" s="5" t="s">
        <v>941</v>
      </c>
      <c r="D414" s="5" t="s">
        <v>601</v>
      </c>
      <c r="E414" s="5" t="s">
        <v>546</v>
      </c>
      <c r="F414" s="6">
        <v>58810707</v>
      </c>
      <c r="G414" s="5" t="s">
        <v>1024</v>
      </c>
      <c r="H414" s="7">
        <v>45795</v>
      </c>
      <c r="I414" s="7">
        <v>45796</v>
      </c>
      <c r="J414" s="8">
        <v>150</v>
      </c>
      <c r="K414" s="7">
        <v>45809</v>
      </c>
      <c r="L414" s="7" t="s">
        <v>942</v>
      </c>
      <c r="P414" s="23"/>
    </row>
    <row r="415" spans="1:16" ht="14.4" customHeight="1" x14ac:dyDescent="0.3">
      <c r="A415" s="5">
        <v>416</v>
      </c>
      <c r="B415" s="7" t="s">
        <v>513</v>
      </c>
      <c r="C415" s="5" t="s">
        <v>943</v>
      </c>
      <c r="D415" s="5" t="s">
        <v>68</v>
      </c>
      <c r="E415" s="5" t="s">
        <v>63</v>
      </c>
      <c r="F415" s="6">
        <v>55039098</v>
      </c>
      <c r="G415" s="5" t="s">
        <v>1024</v>
      </c>
      <c r="H415" s="7">
        <v>45795</v>
      </c>
      <c r="I415" s="7">
        <v>45796</v>
      </c>
      <c r="J415" s="8">
        <v>150</v>
      </c>
      <c r="K415" s="7">
        <v>45809</v>
      </c>
      <c r="L415" s="7" t="s">
        <v>944</v>
      </c>
      <c r="P415" s="23"/>
    </row>
    <row r="416" spans="1:16" ht="14.4" customHeight="1" x14ac:dyDescent="0.3">
      <c r="A416" s="5">
        <v>417</v>
      </c>
      <c r="B416" s="7" t="s">
        <v>945</v>
      </c>
      <c r="C416" s="7" t="s">
        <v>946</v>
      </c>
      <c r="D416" s="5" t="s">
        <v>475</v>
      </c>
      <c r="E416" s="5" t="s">
        <v>131</v>
      </c>
      <c r="F416" s="6">
        <v>57187715</v>
      </c>
      <c r="G416" s="5" t="s">
        <v>1024</v>
      </c>
      <c r="H416" s="7">
        <v>45795</v>
      </c>
      <c r="I416" s="7">
        <v>45796</v>
      </c>
      <c r="J416" s="8">
        <v>150</v>
      </c>
      <c r="K416" s="7">
        <v>45809</v>
      </c>
      <c r="L416" s="7"/>
      <c r="P416" s="23"/>
    </row>
    <row r="417" spans="1:16" ht="14.4" customHeight="1" x14ac:dyDescent="0.3">
      <c r="A417" s="5">
        <v>418</v>
      </c>
      <c r="B417" s="7" t="s">
        <v>947</v>
      </c>
      <c r="C417" s="7" t="s">
        <v>948</v>
      </c>
      <c r="D417" s="5" t="s">
        <v>34</v>
      </c>
      <c r="E417" s="5" t="s">
        <v>41</v>
      </c>
      <c r="F417" s="6">
        <v>58562553</v>
      </c>
      <c r="G417" s="5" t="s">
        <v>1024</v>
      </c>
      <c r="H417" s="7">
        <v>45795</v>
      </c>
      <c r="I417" s="7">
        <v>45796</v>
      </c>
      <c r="J417" s="8">
        <v>150</v>
      </c>
      <c r="K417" s="7">
        <v>45809</v>
      </c>
      <c r="L417" s="7"/>
      <c r="P417" s="23"/>
    </row>
    <row r="418" spans="1:16" ht="14.4" customHeight="1" x14ac:dyDescent="0.3">
      <c r="A418" s="5">
        <v>419</v>
      </c>
      <c r="B418" s="7" t="s">
        <v>949</v>
      </c>
      <c r="C418" s="7" t="s">
        <v>950</v>
      </c>
      <c r="D418" s="5" t="s">
        <v>68</v>
      </c>
      <c r="E418" s="5" t="s">
        <v>696</v>
      </c>
      <c r="F418" s="6">
        <v>59450164</v>
      </c>
      <c r="G418" s="5" t="s">
        <v>1024</v>
      </c>
      <c r="H418" s="7">
        <v>45795</v>
      </c>
      <c r="I418" s="7">
        <v>45796</v>
      </c>
      <c r="J418" s="8">
        <v>150</v>
      </c>
      <c r="K418" s="7">
        <v>45809</v>
      </c>
      <c r="L418" s="7" t="s">
        <v>951</v>
      </c>
      <c r="P418" s="23"/>
    </row>
    <row r="419" spans="1:16" ht="14.4" customHeight="1" x14ac:dyDescent="0.3">
      <c r="A419" s="5">
        <v>420</v>
      </c>
      <c r="B419" s="5" t="s">
        <v>952</v>
      </c>
      <c r="C419" s="5" t="s">
        <v>953</v>
      </c>
      <c r="D419" s="5" t="s">
        <v>22</v>
      </c>
      <c r="E419" s="5" t="s">
        <v>38</v>
      </c>
      <c r="F419" s="6">
        <v>58139242</v>
      </c>
      <c r="G419" s="5" t="s">
        <v>1024</v>
      </c>
      <c r="H419" s="7">
        <v>45795</v>
      </c>
      <c r="I419" s="7">
        <v>45796</v>
      </c>
      <c r="J419" s="8">
        <v>150</v>
      </c>
      <c r="K419" s="7">
        <v>45809</v>
      </c>
      <c r="L419" s="7" t="s">
        <v>954</v>
      </c>
      <c r="P419" s="23"/>
    </row>
    <row r="420" spans="1:16" ht="14.4" customHeight="1" x14ac:dyDescent="0.3">
      <c r="A420" s="5">
        <v>421</v>
      </c>
      <c r="B420" s="5" t="s">
        <v>955</v>
      </c>
      <c r="C420" s="5" t="s">
        <v>956</v>
      </c>
      <c r="D420" s="5" t="s">
        <v>74</v>
      </c>
      <c r="E420" s="5" t="s">
        <v>74</v>
      </c>
      <c r="F420" s="6">
        <v>59498751</v>
      </c>
      <c r="G420" s="5" t="s">
        <v>1024</v>
      </c>
      <c r="H420" s="7">
        <v>45795</v>
      </c>
      <c r="I420" s="7">
        <v>45796</v>
      </c>
      <c r="J420" s="8">
        <v>150</v>
      </c>
      <c r="K420" s="7">
        <v>45809</v>
      </c>
      <c r="L420" s="7" t="s">
        <v>957</v>
      </c>
      <c r="P420" s="23"/>
    </row>
    <row r="421" spans="1:16" ht="14.4" customHeight="1" x14ac:dyDescent="0.3">
      <c r="A421" s="5">
        <v>422</v>
      </c>
      <c r="B421" s="5" t="s">
        <v>958</v>
      </c>
      <c r="C421" s="5" t="s">
        <v>959</v>
      </c>
      <c r="D421" s="5" t="s">
        <v>144</v>
      </c>
      <c r="E421" s="5" t="s">
        <v>144</v>
      </c>
      <c r="F421" s="6">
        <v>57016453</v>
      </c>
      <c r="G421" s="5" t="s">
        <v>1024</v>
      </c>
      <c r="H421" s="7">
        <v>45795</v>
      </c>
      <c r="I421" s="7">
        <v>45796</v>
      </c>
      <c r="J421" s="8">
        <v>150</v>
      </c>
      <c r="K421" s="7">
        <v>45809</v>
      </c>
      <c r="L421" s="7" t="s">
        <v>954</v>
      </c>
      <c r="P421" s="23"/>
    </row>
    <row r="422" spans="1:16" ht="14.4" customHeight="1" x14ac:dyDescent="0.3">
      <c r="A422" s="5">
        <v>423</v>
      </c>
      <c r="B422" s="5" t="s">
        <v>960</v>
      </c>
      <c r="C422" s="5" t="s">
        <v>961</v>
      </c>
      <c r="D422" s="5" t="s">
        <v>962</v>
      </c>
      <c r="E422" s="5" t="s">
        <v>49</v>
      </c>
      <c r="F422" s="6">
        <v>57771103</v>
      </c>
      <c r="G422" s="5" t="s">
        <v>963</v>
      </c>
      <c r="H422" s="7">
        <v>45796</v>
      </c>
      <c r="I422" s="7">
        <v>45799</v>
      </c>
      <c r="J422" s="8">
        <v>75</v>
      </c>
      <c r="K422" s="7">
        <v>45809</v>
      </c>
      <c r="L422" s="5" t="s">
        <v>964</v>
      </c>
      <c r="P422" s="23"/>
    </row>
    <row r="423" spans="1:16" ht="14.4" customHeight="1" x14ac:dyDescent="0.3">
      <c r="A423" s="5">
        <v>425</v>
      </c>
      <c r="B423" s="7" t="s">
        <v>967</v>
      </c>
      <c r="C423" s="5" t="s">
        <v>968</v>
      </c>
      <c r="D423" s="5" t="s">
        <v>30</v>
      </c>
      <c r="E423" s="5" t="s">
        <v>344</v>
      </c>
      <c r="F423" s="6">
        <v>57170672</v>
      </c>
      <c r="G423" s="5" t="s">
        <v>1024</v>
      </c>
      <c r="H423" s="7">
        <v>45797</v>
      </c>
      <c r="I423" s="7">
        <v>45799</v>
      </c>
      <c r="J423" s="8">
        <v>150</v>
      </c>
      <c r="K423" s="7">
        <v>45809</v>
      </c>
      <c r="L423" s="5"/>
      <c r="P423" s="23"/>
    </row>
    <row r="424" spans="1:16" ht="14.4" customHeight="1" x14ac:dyDescent="0.3">
      <c r="A424" s="5">
        <v>426</v>
      </c>
      <c r="B424" s="5" t="s">
        <v>969</v>
      </c>
      <c r="C424" s="5" t="s">
        <v>970</v>
      </c>
      <c r="D424" s="5" t="s">
        <v>903</v>
      </c>
      <c r="E424" s="5" t="s">
        <v>1097</v>
      </c>
      <c r="F424" s="6">
        <v>54864473</v>
      </c>
      <c r="G424" s="5" t="s">
        <v>963</v>
      </c>
      <c r="H424" s="7">
        <v>45799</v>
      </c>
      <c r="I424" s="38">
        <v>45799</v>
      </c>
      <c r="J424" s="8">
        <v>75</v>
      </c>
      <c r="K424" s="7">
        <v>45809</v>
      </c>
      <c r="L424" s="5" t="s">
        <v>971</v>
      </c>
      <c r="P424" s="23"/>
    </row>
    <row r="425" spans="1:16" ht="14.4" customHeight="1" x14ac:dyDescent="0.3">
      <c r="A425" s="5">
        <v>427</v>
      </c>
      <c r="B425" s="5" t="s">
        <v>972</v>
      </c>
      <c r="C425" s="5" t="s">
        <v>973</v>
      </c>
      <c r="D425" s="5" t="s">
        <v>706</v>
      </c>
      <c r="E425" s="5" t="s">
        <v>2193</v>
      </c>
      <c r="F425" s="6">
        <v>57540682</v>
      </c>
      <c r="G425" s="5" t="s">
        <v>963</v>
      </c>
      <c r="H425" s="7">
        <v>45799</v>
      </c>
      <c r="I425" s="7">
        <v>45799</v>
      </c>
      <c r="J425" s="8">
        <v>75</v>
      </c>
      <c r="K425" s="7">
        <v>45809</v>
      </c>
      <c r="L425" s="5" t="s">
        <v>974</v>
      </c>
      <c r="P425" s="23"/>
    </row>
    <row r="426" spans="1:16" ht="14.4" customHeight="1" x14ac:dyDescent="0.3">
      <c r="A426" s="5">
        <v>428</v>
      </c>
      <c r="B426" s="7" t="s">
        <v>975</v>
      </c>
      <c r="C426" s="7" t="s">
        <v>976</v>
      </c>
      <c r="D426" s="5" t="s">
        <v>34</v>
      </c>
      <c r="E426" s="5" t="s">
        <v>41</v>
      </c>
      <c r="F426" s="6">
        <v>57620335</v>
      </c>
      <c r="G426" s="5" t="s">
        <v>1024</v>
      </c>
      <c r="H426" s="7">
        <v>45798</v>
      </c>
      <c r="I426" s="7">
        <v>45799</v>
      </c>
      <c r="J426" s="8">
        <v>150</v>
      </c>
      <c r="K426" s="7">
        <v>45809</v>
      </c>
      <c r="L426" s="7"/>
      <c r="P426" s="23"/>
    </row>
    <row r="427" spans="1:16" ht="14.4" customHeight="1" x14ac:dyDescent="0.3">
      <c r="A427" s="5">
        <v>429</v>
      </c>
      <c r="B427" s="5" t="s">
        <v>513</v>
      </c>
      <c r="C427" s="5" t="s">
        <v>943</v>
      </c>
      <c r="D427" s="5" t="s">
        <v>68</v>
      </c>
      <c r="E427" s="5" t="s">
        <v>63</v>
      </c>
      <c r="F427" s="6">
        <v>55039098</v>
      </c>
      <c r="G427" s="5" t="s">
        <v>1024</v>
      </c>
      <c r="H427" s="7">
        <v>45798</v>
      </c>
      <c r="I427" s="38">
        <v>45799</v>
      </c>
      <c r="J427" s="8">
        <v>150</v>
      </c>
      <c r="K427" s="7">
        <v>45809</v>
      </c>
      <c r="L427" s="5" t="s">
        <v>977</v>
      </c>
      <c r="P427" s="23"/>
    </row>
    <row r="428" spans="1:16" ht="14.4" customHeight="1" x14ac:dyDescent="0.3">
      <c r="A428" s="5">
        <v>430</v>
      </c>
      <c r="B428" s="5" t="s">
        <v>978</v>
      </c>
      <c r="C428" s="5" t="s">
        <v>356</v>
      </c>
      <c r="D428" s="5" t="s">
        <v>14</v>
      </c>
      <c r="E428" s="5" t="s">
        <v>357</v>
      </c>
      <c r="F428" s="6">
        <v>57823684</v>
      </c>
      <c r="G428" s="5" t="s">
        <v>1024</v>
      </c>
      <c r="H428" s="7">
        <v>45798</v>
      </c>
      <c r="I428" s="38">
        <v>45799</v>
      </c>
      <c r="J428" s="8">
        <v>150</v>
      </c>
      <c r="K428" s="7">
        <v>45809</v>
      </c>
      <c r="L428" s="5" t="s">
        <v>979</v>
      </c>
      <c r="P428" s="23"/>
    </row>
    <row r="429" spans="1:16" ht="14.4" customHeight="1" x14ac:dyDescent="0.3">
      <c r="A429" s="5">
        <v>431</v>
      </c>
      <c r="B429" s="5" t="s">
        <v>980</v>
      </c>
      <c r="C429" s="5" t="s">
        <v>981</v>
      </c>
      <c r="D429" s="5" t="s">
        <v>26</v>
      </c>
      <c r="E429" s="5" t="s">
        <v>74</v>
      </c>
      <c r="F429" s="6">
        <v>57990392</v>
      </c>
      <c r="G429" s="5" t="s">
        <v>1024</v>
      </c>
      <c r="H429" s="7">
        <v>45798</v>
      </c>
      <c r="I429" s="7">
        <v>45799</v>
      </c>
      <c r="J429" s="8">
        <v>150</v>
      </c>
      <c r="K429" s="7">
        <v>45809</v>
      </c>
      <c r="L429" s="5" t="s">
        <v>982</v>
      </c>
      <c r="P429" s="23"/>
    </row>
    <row r="430" spans="1:16" ht="14.4" customHeight="1" x14ac:dyDescent="0.3">
      <c r="A430" s="5">
        <v>432</v>
      </c>
      <c r="B430" s="7" t="s">
        <v>342</v>
      </c>
      <c r="C430" s="5" t="s">
        <v>343</v>
      </c>
      <c r="D430" s="5" t="s">
        <v>30</v>
      </c>
      <c r="E430" s="5" t="s">
        <v>344</v>
      </c>
      <c r="F430" s="6">
        <v>52526373</v>
      </c>
      <c r="G430" s="5" t="s">
        <v>1024</v>
      </c>
      <c r="H430" s="7">
        <v>45798</v>
      </c>
      <c r="I430" s="7">
        <v>45799</v>
      </c>
      <c r="J430" s="8">
        <v>150</v>
      </c>
      <c r="K430" s="7">
        <v>45809</v>
      </c>
      <c r="L430" s="5" t="s">
        <v>983</v>
      </c>
      <c r="P430" s="23"/>
    </row>
    <row r="431" spans="1:16" ht="14.4" customHeight="1" x14ac:dyDescent="0.3">
      <c r="A431" s="5">
        <v>433</v>
      </c>
      <c r="B431" s="7" t="s">
        <v>984</v>
      </c>
      <c r="C431" s="5" t="s">
        <v>985</v>
      </c>
      <c r="D431" s="5" t="s">
        <v>41</v>
      </c>
      <c r="E431" s="5" t="s">
        <v>986</v>
      </c>
      <c r="F431" s="6">
        <v>52517739</v>
      </c>
      <c r="G431" s="5" t="s">
        <v>16</v>
      </c>
      <c r="H431" s="7">
        <v>45798</v>
      </c>
      <c r="I431" s="7">
        <v>45799</v>
      </c>
      <c r="J431" s="8">
        <v>150</v>
      </c>
      <c r="K431" s="7">
        <v>45809</v>
      </c>
      <c r="L431" s="7"/>
      <c r="P431" s="23"/>
    </row>
    <row r="432" spans="1:16" ht="14.4" customHeight="1" x14ac:dyDescent="0.3">
      <c r="A432" s="5">
        <v>434</v>
      </c>
      <c r="B432" s="7" t="s">
        <v>987</v>
      </c>
      <c r="C432" s="5" t="s">
        <v>988</v>
      </c>
      <c r="D432" s="5" t="s">
        <v>68</v>
      </c>
      <c r="E432" s="5" t="s">
        <v>226</v>
      </c>
      <c r="F432" s="6">
        <v>59283079</v>
      </c>
      <c r="G432" s="5" t="s">
        <v>16</v>
      </c>
      <c r="H432" s="7">
        <v>45798</v>
      </c>
      <c r="I432" s="7">
        <v>45799</v>
      </c>
      <c r="J432" s="8">
        <v>150</v>
      </c>
      <c r="K432" s="7">
        <v>45809</v>
      </c>
      <c r="L432" s="7"/>
      <c r="P432" s="23"/>
    </row>
    <row r="433" spans="1:16" ht="14.4" customHeight="1" x14ac:dyDescent="0.3">
      <c r="A433" s="5">
        <v>435</v>
      </c>
      <c r="B433" s="7" t="s">
        <v>989</v>
      </c>
      <c r="C433" s="5" t="s">
        <v>990</v>
      </c>
      <c r="D433" s="5" t="s">
        <v>601</v>
      </c>
      <c r="E433" s="5" t="s">
        <v>634</v>
      </c>
      <c r="F433" s="6">
        <v>58282698</v>
      </c>
      <c r="G433" s="5" t="s">
        <v>16</v>
      </c>
      <c r="H433" s="7">
        <v>45798</v>
      </c>
      <c r="I433" s="7">
        <v>45799</v>
      </c>
      <c r="J433" s="8">
        <v>150</v>
      </c>
      <c r="K433" s="7">
        <v>45809</v>
      </c>
      <c r="L433" s="7"/>
      <c r="P433" s="23"/>
    </row>
    <row r="434" spans="1:16" ht="14.4" customHeight="1" x14ac:dyDescent="0.3">
      <c r="A434" s="5">
        <v>436</v>
      </c>
      <c r="B434" s="7" t="s">
        <v>843</v>
      </c>
      <c r="C434" s="5" t="s">
        <v>844</v>
      </c>
      <c r="D434" s="5" t="s">
        <v>475</v>
      </c>
      <c r="E434" s="5" t="s">
        <v>27</v>
      </c>
      <c r="F434" s="6">
        <v>58356258</v>
      </c>
      <c r="G434" s="5" t="s">
        <v>16</v>
      </c>
      <c r="H434" s="7">
        <v>45798</v>
      </c>
      <c r="I434" s="7">
        <v>45799</v>
      </c>
      <c r="J434" s="8">
        <v>150</v>
      </c>
      <c r="K434" s="7">
        <v>45809</v>
      </c>
      <c r="L434" s="7"/>
      <c r="P434" s="23"/>
    </row>
    <row r="435" spans="1:16" ht="14.4" customHeight="1" x14ac:dyDescent="0.3">
      <c r="A435" s="5">
        <v>437</v>
      </c>
      <c r="B435" s="7" t="s">
        <v>991</v>
      </c>
      <c r="C435" s="5" t="s">
        <v>992</v>
      </c>
      <c r="D435" s="5" t="s">
        <v>903</v>
      </c>
      <c r="E435" s="5" t="s">
        <v>993</v>
      </c>
      <c r="F435" s="6">
        <v>59143903</v>
      </c>
      <c r="G435" s="5" t="s">
        <v>16</v>
      </c>
      <c r="H435" s="7">
        <v>45798</v>
      </c>
      <c r="I435" s="7">
        <v>45799</v>
      </c>
      <c r="J435" s="8">
        <v>150</v>
      </c>
      <c r="K435" s="7">
        <v>45809</v>
      </c>
      <c r="L435" s="7"/>
      <c r="P435" s="23"/>
    </row>
    <row r="436" spans="1:16" ht="14.4" customHeight="1" x14ac:dyDescent="0.3">
      <c r="A436" s="5">
        <v>438</v>
      </c>
      <c r="B436" s="7" t="s">
        <v>994</v>
      </c>
      <c r="C436" s="5" t="s">
        <v>995</v>
      </c>
      <c r="D436" s="5" t="s">
        <v>475</v>
      </c>
      <c r="E436" s="5" t="s">
        <v>475</v>
      </c>
      <c r="F436" s="6">
        <v>55077018</v>
      </c>
      <c r="G436" s="5" t="s">
        <v>16</v>
      </c>
      <c r="H436" s="7">
        <v>45798</v>
      </c>
      <c r="I436" s="7">
        <v>45799</v>
      </c>
      <c r="J436" s="8">
        <v>150</v>
      </c>
      <c r="K436" s="7">
        <v>45809</v>
      </c>
      <c r="L436" s="7"/>
      <c r="P436" s="23"/>
    </row>
    <row r="437" spans="1:16" ht="14.4" customHeight="1" x14ac:dyDescent="0.3">
      <c r="A437" s="5">
        <v>439</v>
      </c>
      <c r="B437" s="7" t="s">
        <v>996</v>
      </c>
      <c r="C437" s="5" t="s">
        <v>997</v>
      </c>
      <c r="D437" s="5" t="s">
        <v>137</v>
      </c>
      <c r="E437" s="5" t="s">
        <v>998</v>
      </c>
      <c r="F437" s="6">
        <v>57689442</v>
      </c>
      <c r="G437" s="5" t="s">
        <v>16</v>
      </c>
      <c r="H437" s="7">
        <v>45798</v>
      </c>
      <c r="I437" s="7">
        <v>45799</v>
      </c>
      <c r="J437" s="8">
        <v>150</v>
      </c>
      <c r="K437" s="7">
        <v>45809</v>
      </c>
      <c r="L437" s="7"/>
      <c r="P437" s="23"/>
    </row>
    <row r="438" spans="1:16" ht="14.4" customHeight="1" x14ac:dyDescent="0.3">
      <c r="A438" s="5">
        <v>440</v>
      </c>
      <c r="B438" s="7" t="s">
        <v>999</v>
      </c>
      <c r="C438" s="5" t="s">
        <v>1000</v>
      </c>
      <c r="D438" s="5" t="s">
        <v>569</v>
      </c>
      <c r="E438" s="5" t="s">
        <v>291</v>
      </c>
      <c r="F438" s="6">
        <v>57566842</v>
      </c>
      <c r="G438" s="5" t="s">
        <v>16</v>
      </c>
      <c r="H438" s="7">
        <v>45798</v>
      </c>
      <c r="I438" s="7">
        <v>45799</v>
      </c>
      <c r="J438" s="8">
        <v>150</v>
      </c>
      <c r="K438" s="7">
        <v>45809</v>
      </c>
      <c r="L438" s="7"/>
      <c r="P438" s="23"/>
    </row>
    <row r="439" spans="1:16" ht="14.4" customHeight="1" x14ac:dyDescent="0.3">
      <c r="A439" s="5">
        <v>441</v>
      </c>
      <c r="B439" s="7" t="s">
        <v>1001</v>
      </c>
      <c r="C439" s="5" t="s">
        <v>1002</v>
      </c>
      <c r="D439" s="5" t="s">
        <v>137</v>
      </c>
      <c r="E439" s="5" t="s">
        <v>223</v>
      </c>
      <c r="F439" s="6">
        <v>58205520</v>
      </c>
      <c r="G439" s="5" t="s">
        <v>16</v>
      </c>
      <c r="H439" s="7">
        <v>45798</v>
      </c>
      <c r="I439" s="7">
        <v>45799</v>
      </c>
      <c r="J439" s="8">
        <v>150</v>
      </c>
      <c r="K439" s="7">
        <v>45809</v>
      </c>
      <c r="L439" s="7"/>
      <c r="P439" s="23"/>
    </row>
    <row r="440" spans="1:16" ht="14.4" customHeight="1" x14ac:dyDescent="0.3">
      <c r="A440" s="5">
        <v>442</v>
      </c>
      <c r="B440" s="7" t="s">
        <v>1004</v>
      </c>
      <c r="C440" s="5" t="s">
        <v>1005</v>
      </c>
      <c r="D440" s="5" t="s">
        <v>569</v>
      </c>
      <c r="E440" s="5" t="s">
        <v>804</v>
      </c>
      <c r="F440" s="6">
        <v>57043495</v>
      </c>
      <c r="G440" s="5" t="s">
        <v>16</v>
      </c>
      <c r="H440" s="7">
        <v>45798</v>
      </c>
      <c r="I440" s="7">
        <v>45799</v>
      </c>
      <c r="J440" s="8">
        <v>150</v>
      </c>
      <c r="K440" s="7">
        <v>45809</v>
      </c>
      <c r="L440" s="7"/>
      <c r="P440" s="23"/>
    </row>
    <row r="441" spans="1:16" ht="14.4" customHeight="1" x14ac:dyDescent="0.3">
      <c r="A441" s="5">
        <v>443</v>
      </c>
      <c r="B441" s="7" t="s">
        <v>1006</v>
      </c>
      <c r="C441" s="5" t="s">
        <v>1007</v>
      </c>
      <c r="D441" s="5" t="s">
        <v>68</v>
      </c>
      <c r="E441" s="5" t="s">
        <v>226</v>
      </c>
      <c r="F441" s="6">
        <v>52505724</v>
      </c>
      <c r="G441" s="5" t="s">
        <v>16</v>
      </c>
      <c r="H441" s="7">
        <v>45798</v>
      </c>
      <c r="I441" s="7">
        <v>45799</v>
      </c>
      <c r="J441" s="8">
        <v>150</v>
      </c>
      <c r="K441" s="7">
        <v>45809</v>
      </c>
      <c r="L441" s="7"/>
      <c r="P441" s="23"/>
    </row>
    <row r="442" spans="1:16" ht="14.4" customHeight="1" x14ac:dyDescent="0.3">
      <c r="A442" s="5">
        <v>445</v>
      </c>
      <c r="B442" s="7" t="s">
        <v>1010</v>
      </c>
      <c r="C442" s="5" t="s">
        <v>1011</v>
      </c>
      <c r="D442" s="5" t="s">
        <v>41</v>
      </c>
      <c r="E442" s="5" t="s">
        <v>144</v>
      </c>
      <c r="F442" s="6">
        <v>57735020</v>
      </c>
      <c r="G442" s="5" t="s">
        <v>16</v>
      </c>
      <c r="H442" s="7">
        <v>45798</v>
      </c>
      <c r="I442" s="7">
        <v>45799</v>
      </c>
      <c r="J442" s="8">
        <v>150</v>
      </c>
      <c r="K442" s="7">
        <v>45809</v>
      </c>
      <c r="L442" s="7"/>
      <c r="P442" s="23"/>
    </row>
    <row r="443" spans="1:16" ht="14.4" customHeight="1" x14ac:dyDescent="0.3">
      <c r="A443" s="5">
        <v>446</v>
      </c>
      <c r="B443" s="7" t="s">
        <v>1012</v>
      </c>
      <c r="C443" s="7" t="s">
        <v>1013</v>
      </c>
      <c r="D443" s="7" t="s">
        <v>426</v>
      </c>
      <c r="E443" s="7" t="s">
        <v>314</v>
      </c>
      <c r="F443" s="6">
        <v>57965594</v>
      </c>
      <c r="G443" s="5" t="s">
        <v>963</v>
      </c>
      <c r="H443" s="7">
        <v>45799</v>
      </c>
      <c r="I443" s="7">
        <v>45799</v>
      </c>
      <c r="J443" s="8">
        <v>75</v>
      </c>
      <c r="K443" s="7">
        <v>45809</v>
      </c>
      <c r="L443" s="5"/>
      <c r="P443" s="23"/>
    </row>
    <row r="444" spans="1:16" ht="14.4" customHeight="1" x14ac:dyDescent="0.3">
      <c r="A444" s="5">
        <v>424</v>
      </c>
      <c r="B444" s="5" t="s">
        <v>965</v>
      </c>
      <c r="C444" s="5" t="s">
        <v>966</v>
      </c>
      <c r="D444" s="5" t="s">
        <v>601</v>
      </c>
      <c r="E444" s="5" t="s">
        <v>155</v>
      </c>
      <c r="F444" s="6">
        <v>57164343</v>
      </c>
      <c r="G444" s="5" t="s">
        <v>1024</v>
      </c>
      <c r="H444" s="7">
        <v>45797</v>
      </c>
      <c r="I444" s="7">
        <v>45803</v>
      </c>
      <c r="J444" s="8">
        <v>150</v>
      </c>
      <c r="K444" s="7">
        <v>45809</v>
      </c>
      <c r="L444" s="7"/>
      <c r="P444" s="23"/>
    </row>
    <row r="445" spans="1:16" ht="14.4" customHeight="1" x14ac:dyDescent="0.3">
      <c r="A445" s="5">
        <v>444</v>
      </c>
      <c r="B445" s="7" t="s">
        <v>1008</v>
      </c>
      <c r="C445" s="5" t="s">
        <v>1009</v>
      </c>
      <c r="D445" s="5" t="s">
        <v>137</v>
      </c>
      <c r="E445" s="5" t="s">
        <v>204</v>
      </c>
      <c r="F445" s="6">
        <v>58248423</v>
      </c>
      <c r="G445" s="5" t="s">
        <v>16</v>
      </c>
      <c r="H445" s="7">
        <v>45798</v>
      </c>
      <c r="I445" s="7">
        <v>45803</v>
      </c>
      <c r="J445" s="8">
        <v>150</v>
      </c>
      <c r="K445" s="7">
        <v>45809</v>
      </c>
      <c r="L445" s="7"/>
      <c r="P445" s="23"/>
    </row>
    <row r="446" spans="1:16" ht="14.4" customHeight="1" x14ac:dyDescent="0.3">
      <c r="A446" s="5">
        <v>447</v>
      </c>
      <c r="B446" s="6" t="s">
        <v>1014</v>
      </c>
      <c r="C446" s="6" t="s">
        <v>1015</v>
      </c>
      <c r="D446" s="6" t="s">
        <v>276</v>
      </c>
      <c r="E446" s="6" t="s">
        <v>276</v>
      </c>
      <c r="F446" s="6">
        <v>58200498</v>
      </c>
      <c r="G446" s="6" t="s">
        <v>1016</v>
      </c>
      <c r="H446" s="7">
        <v>45803</v>
      </c>
      <c r="I446" s="7">
        <v>45803</v>
      </c>
      <c r="J446" s="8">
        <v>75</v>
      </c>
      <c r="K446" s="7">
        <v>45809</v>
      </c>
      <c r="L446" s="7"/>
      <c r="P446" s="23"/>
    </row>
    <row r="447" spans="1:16" ht="14.4" customHeight="1" x14ac:dyDescent="0.3">
      <c r="A447" s="5">
        <v>448</v>
      </c>
      <c r="B447" s="6" t="s">
        <v>1017</v>
      </c>
      <c r="C447" s="6" t="s">
        <v>1018</v>
      </c>
      <c r="D447" s="6" t="s">
        <v>1018</v>
      </c>
      <c r="E447" s="6" t="s">
        <v>1018</v>
      </c>
      <c r="F447" s="6">
        <v>59142212</v>
      </c>
      <c r="G447" s="6" t="s">
        <v>1016</v>
      </c>
      <c r="H447" s="7">
        <v>45803</v>
      </c>
      <c r="I447" s="7">
        <v>45803</v>
      </c>
      <c r="J447" s="8">
        <v>75</v>
      </c>
      <c r="K447" s="7">
        <v>45809</v>
      </c>
      <c r="L447" s="6" t="s">
        <v>1019</v>
      </c>
      <c r="P447" s="23"/>
    </row>
    <row r="448" spans="1:16" ht="14.4" customHeight="1" x14ac:dyDescent="0.3">
      <c r="A448" s="5">
        <v>449</v>
      </c>
      <c r="B448" s="7" t="s">
        <v>1071</v>
      </c>
      <c r="C448" s="6" t="s">
        <v>1020</v>
      </c>
      <c r="D448" s="6" t="s">
        <v>84</v>
      </c>
      <c r="E448" s="5" t="s">
        <v>84</v>
      </c>
      <c r="F448" s="6">
        <v>59818744</v>
      </c>
      <c r="G448" s="6" t="s">
        <v>1016</v>
      </c>
      <c r="H448" s="7">
        <v>45803</v>
      </c>
      <c r="I448" s="7">
        <v>45803</v>
      </c>
      <c r="J448" s="8">
        <v>75</v>
      </c>
      <c r="K448" s="7">
        <v>45809</v>
      </c>
      <c r="L448" s="5" t="s">
        <v>1021</v>
      </c>
      <c r="P448" s="23"/>
    </row>
    <row r="449" spans="1:16" ht="14.4" customHeight="1" x14ac:dyDescent="0.3">
      <c r="A449" s="5">
        <v>450</v>
      </c>
      <c r="B449" s="7" t="s">
        <v>1022</v>
      </c>
      <c r="C449" s="7" t="s">
        <v>1023</v>
      </c>
      <c r="D449" s="5" t="s">
        <v>68</v>
      </c>
      <c r="E449" s="5" t="s">
        <v>69</v>
      </c>
      <c r="F449" s="6">
        <v>57893397</v>
      </c>
      <c r="G449" s="5" t="s">
        <v>1024</v>
      </c>
      <c r="H449" s="7">
        <v>45802</v>
      </c>
      <c r="I449" s="7">
        <v>45803</v>
      </c>
      <c r="J449" s="8">
        <v>150</v>
      </c>
      <c r="K449" s="7">
        <v>45809</v>
      </c>
      <c r="L449" s="7" t="s">
        <v>1025</v>
      </c>
      <c r="P449" s="23"/>
    </row>
    <row r="450" spans="1:16" ht="14.4" customHeight="1" x14ac:dyDescent="0.3">
      <c r="A450" s="5">
        <v>451</v>
      </c>
      <c r="B450" s="7" t="s">
        <v>1026</v>
      </c>
      <c r="C450" s="7" t="s">
        <v>1027</v>
      </c>
      <c r="D450" s="7" t="s">
        <v>74</v>
      </c>
      <c r="E450" s="7" t="s">
        <v>163</v>
      </c>
      <c r="F450" s="6">
        <v>57829719</v>
      </c>
      <c r="G450" s="5" t="s">
        <v>1024</v>
      </c>
      <c r="H450" s="7">
        <v>45802</v>
      </c>
      <c r="I450" s="7">
        <v>45803</v>
      </c>
      <c r="J450" s="8">
        <v>150</v>
      </c>
      <c r="K450" s="7">
        <v>45809</v>
      </c>
      <c r="L450" s="7" t="s">
        <v>1028</v>
      </c>
      <c r="P450" s="23"/>
    </row>
    <row r="451" spans="1:16" ht="14.4" customHeight="1" x14ac:dyDescent="0.3">
      <c r="A451" s="5">
        <v>452</v>
      </c>
      <c r="B451" s="7" t="s">
        <v>340</v>
      </c>
      <c r="C451" s="5" t="s">
        <v>341</v>
      </c>
      <c r="D451" s="5" t="s">
        <v>68</v>
      </c>
      <c r="E451" s="5" t="s">
        <v>69</v>
      </c>
      <c r="F451" s="10">
        <v>59120596</v>
      </c>
      <c r="G451" s="5" t="s">
        <v>1024</v>
      </c>
      <c r="H451" s="7">
        <v>45802</v>
      </c>
      <c r="I451" s="7">
        <v>45803</v>
      </c>
      <c r="J451" s="8">
        <v>150</v>
      </c>
      <c r="K451" s="7">
        <v>45809</v>
      </c>
      <c r="L451" s="7" t="s">
        <v>1029</v>
      </c>
      <c r="P451" s="23"/>
    </row>
    <row r="452" spans="1:16" ht="14.4" customHeight="1" x14ac:dyDescent="0.3">
      <c r="A452" s="5">
        <v>453</v>
      </c>
      <c r="B452" s="7" t="s">
        <v>1030</v>
      </c>
      <c r="C452" s="7" t="s">
        <v>1031</v>
      </c>
      <c r="D452" s="5" t="s">
        <v>68</v>
      </c>
      <c r="E452" s="5" t="s">
        <v>69</v>
      </c>
      <c r="F452" s="6">
        <v>57852775</v>
      </c>
      <c r="G452" s="5" t="s">
        <v>1024</v>
      </c>
      <c r="H452" s="7">
        <v>45802</v>
      </c>
      <c r="I452" s="7">
        <v>45803</v>
      </c>
      <c r="J452" s="8">
        <v>150</v>
      </c>
      <c r="K452" s="7">
        <v>45809</v>
      </c>
      <c r="L452" s="7"/>
      <c r="P452" s="23"/>
    </row>
    <row r="453" spans="1:16" ht="14.4" customHeight="1" x14ac:dyDescent="0.3">
      <c r="A453" s="5">
        <v>454</v>
      </c>
      <c r="B453" s="7" t="s">
        <v>1010</v>
      </c>
      <c r="C453" s="7" t="s">
        <v>1011</v>
      </c>
      <c r="D453" s="7" t="s">
        <v>41</v>
      </c>
      <c r="E453" s="7" t="s">
        <v>144</v>
      </c>
      <c r="F453" s="6">
        <v>57735020</v>
      </c>
      <c r="G453" s="5" t="s">
        <v>16</v>
      </c>
      <c r="H453" s="7">
        <v>45802</v>
      </c>
      <c r="I453" s="7">
        <v>45803</v>
      </c>
      <c r="J453" s="8">
        <v>150</v>
      </c>
      <c r="K453" s="7">
        <v>45809</v>
      </c>
      <c r="L453" s="7"/>
      <c r="P453" s="23"/>
    </row>
    <row r="454" spans="1:16" ht="14.4" customHeight="1" x14ac:dyDescent="0.3">
      <c r="A454" s="5">
        <v>455</v>
      </c>
      <c r="B454" s="7" t="s">
        <v>1032</v>
      </c>
      <c r="C454" s="7" t="s">
        <v>1033</v>
      </c>
      <c r="D454" s="7" t="s">
        <v>426</v>
      </c>
      <c r="E454" s="7" t="s">
        <v>594</v>
      </c>
      <c r="F454" s="6">
        <v>57657019</v>
      </c>
      <c r="G454" s="5" t="s">
        <v>16</v>
      </c>
      <c r="H454" s="7">
        <v>45802</v>
      </c>
      <c r="I454" s="7">
        <v>45803</v>
      </c>
      <c r="J454" s="8">
        <v>150</v>
      </c>
      <c r="K454" s="7">
        <v>45809</v>
      </c>
      <c r="L454" s="7"/>
      <c r="P454" s="23"/>
    </row>
    <row r="455" spans="1:16" ht="14.4" customHeight="1" x14ac:dyDescent="0.3">
      <c r="A455" s="5">
        <v>456</v>
      </c>
      <c r="B455" s="7" t="s">
        <v>1034</v>
      </c>
      <c r="C455" s="7" t="s">
        <v>1035</v>
      </c>
      <c r="D455" s="7" t="s">
        <v>137</v>
      </c>
      <c r="E455" s="5" t="s">
        <v>223</v>
      </c>
      <c r="F455" s="6">
        <v>57867050</v>
      </c>
      <c r="G455" s="5" t="s">
        <v>16</v>
      </c>
      <c r="H455" s="7">
        <v>45802</v>
      </c>
      <c r="I455" s="7">
        <v>45803</v>
      </c>
      <c r="J455" s="8">
        <v>150</v>
      </c>
      <c r="K455" s="7">
        <v>45809</v>
      </c>
      <c r="L455" s="7"/>
      <c r="P455" s="23"/>
    </row>
    <row r="456" spans="1:16" ht="14.4" customHeight="1" x14ac:dyDescent="0.3">
      <c r="A456" s="5">
        <v>457</v>
      </c>
      <c r="B456" s="7" t="s">
        <v>1036</v>
      </c>
      <c r="C456" s="7" t="s">
        <v>1037</v>
      </c>
      <c r="D456" s="7" t="s">
        <v>68</v>
      </c>
      <c r="E456" s="7" t="s">
        <v>756</v>
      </c>
      <c r="F456" s="6">
        <v>57851354</v>
      </c>
      <c r="G456" s="5" t="s">
        <v>16</v>
      </c>
      <c r="H456" s="7">
        <v>45802</v>
      </c>
      <c r="I456" s="7">
        <v>45803</v>
      </c>
      <c r="J456" s="8">
        <v>150</v>
      </c>
      <c r="K456" s="7">
        <v>45809</v>
      </c>
      <c r="L456" s="7"/>
      <c r="P456" s="23"/>
    </row>
    <row r="457" spans="1:16" ht="14.4" customHeight="1" x14ac:dyDescent="0.3">
      <c r="A457" s="5">
        <v>458</v>
      </c>
      <c r="B457" s="7" t="s">
        <v>1038</v>
      </c>
      <c r="C457" s="7" t="s">
        <v>1039</v>
      </c>
      <c r="D457" s="7" t="s">
        <v>903</v>
      </c>
      <c r="E457" s="5" t="s">
        <v>1097</v>
      </c>
      <c r="F457" s="6">
        <v>57925275</v>
      </c>
      <c r="G457" s="5" t="s">
        <v>16</v>
      </c>
      <c r="H457" s="7">
        <v>45802</v>
      </c>
      <c r="I457" s="7">
        <v>45803</v>
      </c>
      <c r="J457" s="8">
        <v>150</v>
      </c>
      <c r="K457" s="7">
        <v>45809</v>
      </c>
      <c r="L457" s="7"/>
      <c r="P457" s="23"/>
    </row>
    <row r="458" spans="1:16" ht="14.4" customHeight="1" x14ac:dyDescent="0.3">
      <c r="A458" s="5">
        <v>459</v>
      </c>
      <c r="B458" s="7" t="s">
        <v>999</v>
      </c>
      <c r="C458" s="7" t="s">
        <v>1000</v>
      </c>
      <c r="D458" s="5" t="s">
        <v>569</v>
      </c>
      <c r="E458" s="5" t="s">
        <v>291</v>
      </c>
      <c r="F458" s="6">
        <v>57566842</v>
      </c>
      <c r="G458" s="5" t="s">
        <v>16</v>
      </c>
      <c r="H458" s="7">
        <v>45802</v>
      </c>
      <c r="I458" s="7">
        <v>45803</v>
      </c>
      <c r="J458" s="8">
        <v>150</v>
      </c>
      <c r="K458" s="7">
        <v>45809</v>
      </c>
      <c r="L458" s="7"/>
      <c r="P458" s="23"/>
    </row>
    <row r="459" spans="1:16" ht="14.4" customHeight="1" x14ac:dyDescent="0.3">
      <c r="A459" s="5">
        <v>460</v>
      </c>
      <c r="B459" s="7" t="s">
        <v>1041</v>
      </c>
      <c r="C459" s="7" t="s">
        <v>1042</v>
      </c>
      <c r="D459" s="5" t="s">
        <v>137</v>
      </c>
      <c r="E459" s="5" t="s">
        <v>847</v>
      </c>
      <c r="F459" s="6">
        <v>59297148</v>
      </c>
      <c r="G459" s="5" t="s">
        <v>16</v>
      </c>
      <c r="H459" s="7">
        <v>45802</v>
      </c>
      <c r="I459" s="7">
        <v>45803</v>
      </c>
      <c r="J459" s="8">
        <v>150</v>
      </c>
      <c r="K459" s="7">
        <v>45809</v>
      </c>
      <c r="L459" s="7"/>
      <c r="P459" s="23"/>
    </row>
    <row r="460" spans="1:16" ht="14.4" customHeight="1" x14ac:dyDescent="0.3">
      <c r="A460" s="5">
        <v>461</v>
      </c>
      <c r="B460" s="7" t="s">
        <v>1043</v>
      </c>
      <c r="C460" s="7" t="s">
        <v>1044</v>
      </c>
      <c r="D460" s="5" t="s">
        <v>137</v>
      </c>
      <c r="E460" s="5" t="s">
        <v>98</v>
      </c>
      <c r="F460" s="6">
        <v>52583212</v>
      </c>
      <c r="G460" s="5" t="s">
        <v>16</v>
      </c>
      <c r="H460" s="7">
        <v>45802</v>
      </c>
      <c r="I460" s="7">
        <v>45803</v>
      </c>
      <c r="J460" s="8">
        <v>150</v>
      </c>
      <c r="K460" s="7">
        <v>45809</v>
      </c>
      <c r="L460" s="7"/>
      <c r="P460" s="23"/>
    </row>
    <row r="461" spans="1:16" ht="14.4" customHeight="1" x14ac:dyDescent="0.3">
      <c r="A461" s="5">
        <v>462</v>
      </c>
      <c r="B461" s="7" t="s">
        <v>1045</v>
      </c>
      <c r="C461" s="7" t="s">
        <v>1046</v>
      </c>
      <c r="D461" s="5" t="s">
        <v>601</v>
      </c>
      <c r="E461" s="5" t="s">
        <v>546</v>
      </c>
      <c r="F461" s="6">
        <v>58167198</v>
      </c>
      <c r="G461" s="5" t="s">
        <v>16</v>
      </c>
      <c r="H461" s="7">
        <v>45802</v>
      </c>
      <c r="I461" s="7">
        <v>45803</v>
      </c>
      <c r="J461" s="8">
        <v>150</v>
      </c>
      <c r="K461" s="7">
        <v>45809</v>
      </c>
      <c r="L461" s="7"/>
      <c r="P461" s="23"/>
    </row>
    <row r="462" spans="1:16" ht="14.4" customHeight="1" x14ac:dyDescent="0.3">
      <c r="A462" s="5">
        <v>463</v>
      </c>
      <c r="B462" s="7" t="s">
        <v>1047</v>
      </c>
      <c r="C462" s="7" t="s">
        <v>1048</v>
      </c>
      <c r="D462" s="5" t="s">
        <v>137</v>
      </c>
      <c r="E462" s="5" t="s">
        <v>223</v>
      </c>
      <c r="F462" s="6">
        <v>57139834</v>
      </c>
      <c r="G462" s="5" t="s">
        <v>16</v>
      </c>
      <c r="H462" s="7">
        <v>45802</v>
      </c>
      <c r="I462" s="7">
        <v>45803</v>
      </c>
      <c r="J462" s="8">
        <v>150</v>
      </c>
      <c r="K462" s="7">
        <v>45809</v>
      </c>
      <c r="L462" s="7"/>
      <c r="P462" s="23"/>
    </row>
    <row r="463" spans="1:16" ht="14.4" customHeight="1" x14ac:dyDescent="0.3">
      <c r="A463" s="5">
        <v>465</v>
      </c>
      <c r="B463" s="7" t="s">
        <v>1053</v>
      </c>
      <c r="C463" s="7" t="s">
        <v>1054</v>
      </c>
      <c r="D463" s="5" t="s">
        <v>68</v>
      </c>
      <c r="E463" s="5" t="s">
        <v>101</v>
      </c>
      <c r="F463" s="6">
        <v>57010100</v>
      </c>
      <c r="G463" s="5" t="s">
        <v>16</v>
      </c>
      <c r="H463" s="7">
        <v>45802</v>
      </c>
      <c r="I463" s="7">
        <v>45803</v>
      </c>
      <c r="J463" s="8">
        <v>150</v>
      </c>
      <c r="K463" s="7">
        <v>45809</v>
      </c>
      <c r="L463" s="7"/>
      <c r="P463" s="23"/>
    </row>
    <row r="464" spans="1:16" ht="14.4" customHeight="1" x14ac:dyDescent="0.3">
      <c r="A464" s="5">
        <v>466</v>
      </c>
      <c r="B464" s="7" t="s">
        <v>1055</v>
      </c>
      <c r="C464" s="7" t="s">
        <v>1056</v>
      </c>
      <c r="D464" s="5" t="s">
        <v>68</v>
      </c>
      <c r="E464" s="5" t="s">
        <v>1057</v>
      </c>
      <c r="F464" s="6">
        <v>59759654</v>
      </c>
      <c r="G464" s="5" t="s">
        <v>16</v>
      </c>
      <c r="H464" s="7">
        <v>45802</v>
      </c>
      <c r="I464" s="7">
        <v>45803</v>
      </c>
      <c r="J464" s="8">
        <v>150</v>
      </c>
      <c r="K464" s="7">
        <v>45809</v>
      </c>
      <c r="L464" s="7"/>
      <c r="P464" s="23"/>
    </row>
    <row r="465" spans="1:16" ht="14.4" customHeight="1" x14ac:dyDescent="0.3">
      <c r="A465" s="5">
        <v>467</v>
      </c>
      <c r="B465" s="7" t="s">
        <v>1058</v>
      </c>
      <c r="C465" s="7" t="s">
        <v>1059</v>
      </c>
      <c r="D465" s="5" t="s">
        <v>569</v>
      </c>
      <c r="E465" s="5" t="s">
        <v>276</v>
      </c>
      <c r="F465" s="6">
        <v>54734133</v>
      </c>
      <c r="G465" s="5" t="s">
        <v>16</v>
      </c>
      <c r="H465" s="7">
        <v>45802</v>
      </c>
      <c r="I465" s="7">
        <v>45803</v>
      </c>
      <c r="J465" s="8">
        <v>150</v>
      </c>
      <c r="K465" s="7">
        <v>45809</v>
      </c>
      <c r="L465" s="7"/>
      <c r="P465" s="23"/>
    </row>
    <row r="466" spans="1:16" ht="14.4" customHeight="1" x14ac:dyDescent="0.3">
      <c r="A466" s="5">
        <v>468</v>
      </c>
      <c r="B466" s="7" t="s">
        <v>1060</v>
      </c>
      <c r="C466" s="7" t="s">
        <v>1061</v>
      </c>
      <c r="D466" s="5" t="s">
        <v>1062</v>
      </c>
      <c r="E466" s="5" t="s">
        <v>807</v>
      </c>
      <c r="F466" s="6">
        <v>57643927</v>
      </c>
      <c r="G466" s="5" t="s">
        <v>16</v>
      </c>
      <c r="H466" s="7">
        <v>45802</v>
      </c>
      <c r="I466" s="7">
        <v>45803</v>
      </c>
      <c r="J466" s="8">
        <v>150</v>
      </c>
      <c r="K466" s="7">
        <v>45809</v>
      </c>
      <c r="L466" s="7"/>
      <c r="P466" s="23"/>
    </row>
    <row r="467" spans="1:16" ht="14.4" customHeight="1" x14ac:dyDescent="0.3">
      <c r="A467" s="5">
        <v>470</v>
      </c>
      <c r="B467" s="7" t="s">
        <v>1648</v>
      </c>
      <c r="C467" s="7" t="s">
        <v>300</v>
      </c>
      <c r="D467" s="5" t="s">
        <v>30</v>
      </c>
      <c r="E467" s="5" t="s">
        <v>80</v>
      </c>
      <c r="F467" s="6">
        <v>58240240</v>
      </c>
      <c r="G467" s="5" t="s">
        <v>963</v>
      </c>
      <c r="H467" s="7">
        <v>45803</v>
      </c>
      <c r="I467" s="7">
        <v>45803</v>
      </c>
      <c r="J467" s="8">
        <v>75</v>
      </c>
      <c r="K467" s="7">
        <v>45809</v>
      </c>
      <c r="L467" s="7"/>
      <c r="P467" s="23"/>
    </row>
    <row r="468" spans="1:16" ht="14.4" customHeight="1" x14ac:dyDescent="0.3">
      <c r="A468" s="5">
        <v>471</v>
      </c>
      <c r="B468" s="7" t="s">
        <v>1649</v>
      </c>
      <c r="C468" s="7" t="s">
        <v>1065</v>
      </c>
      <c r="D468" s="5" t="s">
        <v>68</v>
      </c>
      <c r="E468" s="5" t="s">
        <v>69</v>
      </c>
      <c r="F468" s="6">
        <v>58195974</v>
      </c>
      <c r="G468" s="5" t="s">
        <v>963</v>
      </c>
      <c r="H468" s="7">
        <v>45803</v>
      </c>
      <c r="I468" s="7">
        <v>45803</v>
      </c>
      <c r="J468" s="8">
        <v>75</v>
      </c>
      <c r="K468" s="7">
        <v>45809</v>
      </c>
      <c r="L468" s="7"/>
      <c r="P468" s="23"/>
    </row>
    <row r="469" spans="1:16" ht="14.4" customHeight="1" x14ac:dyDescent="0.3">
      <c r="A469" s="5">
        <v>472</v>
      </c>
      <c r="B469" s="7" t="s">
        <v>1066</v>
      </c>
      <c r="C469" s="7" t="s">
        <v>1067</v>
      </c>
      <c r="D469" s="5" t="s">
        <v>68</v>
      </c>
      <c r="E469" s="5" t="s">
        <v>101</v>
      </c>
      <c r="F469" s="6">
        <v>54905493</v>
      </c>
      <c r="G469" s="5" t="s">
        <v>963</v>
      </c>
      <c r="H469" s="7">
        <v>45803</v>
      </c>
      <c r="I469" s="7">
        <v>45803</v>
      </c>
      <c r="J469" s="8">
        <v>75</v>
      </c>
      <c r="K469" s="7">
        <v>45809</v>
      </c>
      <c r="L469" s="7"/>
      <c r="P469" s="23"/>
    </row>
    <row r="470" spans="1:16" ht="14.4" customHeight="1" x14ac:dyDescent="0.3">
      <c r="A470" s="5">
        <v>473</v>
      </c>
      <c r="B470" s="7" t="s">
        <v>1068</v>
      </c>
      <c r="C470" s="7" t="s">
        <v>1069</v>
      </c>
      <c r="D470" s="5" t="s">
        <v>34</v>
      </c>
      <c r="E470" s="5" t="s">
        <v>41</v>
      </c>
      <c r="F470" s="6">
        <v>59452427</v>
      </c>
      <c r="G470" s="5" t="s">
        <v>963</v>
      </c>
      <c r="H470" s="7">
        <v>45803</v>
      </c>
      <c r="I470" s="7">
        <v>45803</v>
      </c>
      <c r="J470" s="8">
        <v>75</v>
      </c>
      <c r="K470" s="7">
        <v>45809</v>
      </c>
      <c r="L470" s="7"/>
      <c r="P470" s="23"/>
    </row>
    <row r="471" spans="1:16" ht="14.4" customHeight="1" x14ac:dyDescent="0.3">
      <c r="A471" s="5">
        <v>464</v>
      </c>
      <c r="B471" s="7" t="s">
        <v>1049</v>
      </c>
      <c r="C471" s="7" t="s">
        <v>1050</v>
      </c>
      <c r="D471" s="5" t="s">
        <v>475</v>
      </c>
      <c r="E471" s="5" t="s">
        <v>1051</v>
      </c>
      <c r="F471" s="6">
        <v>54931174</v>
      </c>
      <c r="G471" s="5" t="s">
        <v>16</v>
      </c>
      <c r="H471" s="7">
        <v>45802</v>
      </c>
      <c r="I471" s="7">
        <v>45806</v>
      </c>
      <c r="J471" s="8">
        <v>150</v>
      </c>
      <c r="K471" s="7">
        <v>45809</v>
      </c>
      <c r="L471" s="7"/>
      <c r="P471" s="23"/>
    </row>
    <row r="472" spans="1:16" ht="14.4" customHeight="1" x14ac:dyDescent="0.3">
      <c r="A472" s="5">
        <v>469</v>
      </c>
      <c r="B472" s="7" t="s">
        <v>1063</v>
      </c>
      <c r="C472" s="7" t="s">
        <v>1064</v>
      </c>
      <c r="D472" s="5" t="s">
        <v>68</v>
      </c>
      <c r="E472" s="5" t="s">
        <v>49</v>
      </c>
      <c r="F472" s="6">
        <v>58597176</v>
      </c>
      <c r="G472" s="5" t="s">
        <v>16</v>
      </c>
      <c r="H472" s="7">
        <v>45802</v>
      </c>
      <c r="I472" s="7">
        <v>45806</v>
      </c>
      <c r="J472" s="8">
        <v>150</v>
      </c>
      <c r="K472" s="7">
        <v>45809</v>
      </c>
      <c r="L472" s="7"/>
      <c r="P472" s="23"/>
    </row>
    <row r="473" spans="1:16" ht="14.4" customHeight="1" x14ac:dyDescent="0.3">
      <c r="A473" s="5">
        <v>474</v>
      </c>
      <c r="B473" s="7" t="s">
        <v>1650</v>
      </c>
      <c r="C473" s="7" t="s">
        <v>1070</v>
      </c>
      <c r="D473" s="5" t="s">
        <v>68</v>
      </c>
      <c r="E473" s="5" t="s">
        <v>69</v>
      </c>
      <c r="F473" s="6">
        <v>59053648</v>
      </c>
      <c r="G473" s="5" t="s">
        <v>963</v>
      </c>
      <c r="H473" s="7">
        <v>45803</v>
      </c>
      <c r="I473" s="7">
        <v>45806</v>
      </c>
      <c r="J473" s="8">
        <v>75</v>
      </c>
      <c r="K473" s="7">
        <v>45809</v>
      </c>
      <c r="L473" s="7"/>
      <c r="P473" s="23"/>
    </row>
    <row r="474" spans="1:16" ht="14.4" customHeight="1" x14ac:dyDescent="0.3">
      <c r="A474" s="5">
        <v>475</v>
      </c>
      <c r="B474" s="11" t="s">
        <v>1071</v>
      </c>
      <c r="C474" s="11" t="s">
        <v>1072</v>
      </c>
      <c r="D474" s="12" t="s">
        <v>84</v>
      </c>
      <c r="E474" s="29" t="s">
        <v>84</v>
      </c>
      <c r="F474" s="12">
        <v>59818744</v>
      </c>
      <c r="G474" s="12" t="s">
        <v>1016</v>
      </c>
      <c r="H474" s="11">
        <v>45805</v>
      </c>
      <c r="I474" s="11">
        <v>45806</v>
      </c>
      <c r="J474" s="13">
        <v>75</v>
      </c>
      <c r="K474" s="7">
        <v>45809</v>
      </c>
      <c r="L474" s="11" t="s">
        <v>1073</v>
      </c>
      <c r="P474" s="23"/>
    </row>
    <row r="475" spans="1:16" ht="14.4" customHeight="1" x14ac:dyDescent="0.3">
      <c r="A475" s="5">
        <v>476</v>
      </c>
      <c r="B475" s="7" t="s">
        <v>1074</v>
      </c>
      <c r="C475" s="7" t="s">
        <v>1075</v>
      </c>
      <c r="D475" s="5" t="s">
        <v>1076</v>
      </c>
      <c r="E475" s="5" t="s">
        <v>1076</v>
      </c>
      <c r="F475" s="6">
        <v>57971865</v>
      </c>
      <c r="G475" s="5" t="s">
        <v>1024</v>
      </c>
      <c r="H475" s="7">
        <v>45805</v>
      </c>
      <c r="I475" s="7">
        <v>45806</v>
      </c>
      <c r="J475" s="8">
        <v>150</v>
      </c>
      <c r="K475" s="7">
        <v>45809</v>
      </c>
      <c r="L475" s="7" t="s">
        <v>954</v>
      </c>
      <c r="P475" s="23"/>
    </row>
    <row r="476" spans="1:16" ht="14.4" customHeight="1" x14ac:dyDescent="0.3">
      <c r="A476" s="5">
        <v>477</v>
      </c>
      <c r="B476" s="14" t="s">
        <v>1077</v>
      </c>
      <c r="C476" s="14" t="s">
        <v>1078</v>
      </c>
      <c r="D476" s="30" t="s">
        <v>276</v>
      </c>
      <c r="E476" s="30" t="s">
        <v>276</v>
      </c>
      <c r="F476" s="15">
        <v>57756071</v>
      </c>
      <c r="G476" s="30" t="s">
        <v>1024</v>
      </c>
      <c r="H476" s="14">
        <v>45805</v>
      </c>
      <c r="I476" s="14">
        <v>45806</v>
      </c>
      <c r="J476" s="8">
        <v>150</v>
      </c>
      <c r="K476" s="7">
        <v>45809</v>
      </c>
      <c r="L476" s="14"/>
      <c r="P476" s="23"/>
    </row>
    <row r="477" spans="1:16" ht="14.4" customHeight="1" x14ac:dyDescent="0.3">
      <c r="A477" s="5">
        <v>478</v>
      </c>
      <c r="B477" s="7" t="s">
        <v>1079</v>
      </c>
      <c r="C477" s="7" t="s">
        <v>1080</v>
      </c>
      <c r="D477" s="5" t="s">
        <v>1081</v>
      </c>
      <c r="E477" s="5" t="s">
        <v>1081</v>
      </c>
      <c r="F477" s="6">
        <v>52551902</v>
      </c>
      <c r="G477" s="5" t="s">
        <v>1024</v>
      </c>
      <c r="H477" s="7">
        <v>45805</v>
      </c>
      <c r="I477" s="7">
        <v>45806</v>
      </c>
      <c r="J477" s="8">
        <v>150</v>
      </c>
      <c r="K477" s="7">
        <v>45809</v>
      </c>
      <c r="L477" s="7" t="s">
        <v>1082</v>
      </c>
      <c r="P477" s="23"/>
    </row>
    <row r="478" spans="1:16" ht="14.4" customHeight="1" x14ac:dyDescent="0.3">
      <c r="A478" s="5">
        <v>479</v>
      </c>
      <c r="B478" s="7" t="s">
        <v>1083</v>
      </c>
      <c r="C478" s="7" t="s">
        <v>1084</v>
      </c>
      <c r="D478" s="5" t="s">
        <v>84</v>
      </c>
      <c r="E478" s="5" t="s">
        <v>84</v>
      </c>
      <c r="F478" s="6">
        <v>54830680</v>
      </c>
      <c r="G478" s="5" t="s">
        <v>1024</v>
      </c>
      <c r="H478" s="7">
        <v>45805</v>
      </c>
      <c r="I478" s="7">
        <v>45806</v>
      </c>
      <c r="J478" s="8">
        <v>150</v>
      </c>
      <c r="K478" s="7">
        <v>45809</v>
      </c>
      <c r="L478" s="7" t="s">
        <v>1085</v>
      </c>
      <c r="P478" s="23"/>
    </row>
    <row r="479" spans="1:16" ht="14.4" customHeight="1" x14ac:dyDescent="0.3">
      <c r="A479" s="5">
        <v>480</v>
      </c>
      <c r="B479" s="7" t="s">
        <v>1086</v>
      </c>
      <c r="C479" s="7" t="s">
        <v>1087</v>
      </c>
      <c r="D479" s="5" t="s">
        <v>63</v>
      </c>
      <c r="E479" s="5" t="s">
        <v>63</v>
      </c>
      <c r="F479" s="6">
        <v>58300874</v>
      </c>
      <c r="G479" s="5" t="s">
        <v>1024</v>
      </c>
      <c r="H479" s="7">
        <v>45805</v>
      </c>
      <c r="I479" s="7">
        <v>45806</v>
      </c>
      <c r="J479" s="8">
        <v>150</v>
      </c>
      <c r="K479" s="7">
        <v>45809</v>
      </c>
      <c r="L479" s="7" t="s">
        <v>954</v>
      </c>
      <c r="P479" s="23"/>
    </row>
    <row r="480" spans="1:16" ht="14.4" customHeight="1" x14ac:dyDescent="0.3">
      <c r="A480" s="5">
        <v>481</v>
      </c>
      <c r="B480" s="5" t="s">
        <v>978</v>
      </c>
      <c r="C480" s="5" t="s">
        <v>356</v>
      </c>
      <c r="D480" s="5" t="s">
        <v>14</v>
      </c>
      <c r="E480" s="5" t="s">
        <v>357</v>
      </c>
      <c r="F480" s="6">
        <v>57823684</v>
      </c>
      <c r="G480" s="5" t="s">
        <v>1024</v>
      </c>
      <c r="H480" s="7">
        <v>45805</v>
      </c>
      <c r="I480" s="7">
        <v>45806</v>
      </c>
      <c r="J480" s="8">
        <v>150</v>
      </c>
      <c r="K480" s="7">
        <v>45809</v>
      </c>
      <c r="L480" s="7" t="s">
        <v>1088</v>
      </c>
      <c r="P480" s="23"/>
    </row>
    <row r="481" spans="1:16" ht="14.4" customHeight="1" x14ac:dyDescent="0.3">
      <c r="A481" s="5">
        <v>482</v>
      </c>
      <c r="B481" s="7" t="s">
        <v>1030</v>
      </c>
      <c r="C481" s="7" t="s">
        <v>1031</v>
      </c>
      <c r="D481" s="5" t="s">
        <v>68</v>
      </c>
      <c r="E481" s="5" t="s">
        <v>69</v>
      </c>
      <c r="F481" s="6">
        <v>57852775</v>
      </c>
      <c r="G481" s="5" t="s">
        <v>1024</v>
      </c>
      <c r="H481" s="7">
        <v>45805</v>
      </c>
      <c r="I481" s="7">
        <v>45806</v>
      </c>
      <c r="J481" s="8">
        <v>150</v>
      </c>
      <c r="K481" s="7">
        <v>45809</v>
      </c>
      <c r="L481" s="7"/>
      <c r="P481" s="23"/>
    </row>
    <row r="482" spans="1:16" ht="14.4" customHeight="1" x14ac:dyDescent="0.3">
      <c r="A482" s="5">
        <v>484</v>
      </c>
      <c r="B482" s="7" t="s">
        <v>255</v>
      </c>
      <c r="C482" s="7" t="s">
        <v>842</v>
      </c>
      <c r="D482" s="5" t="s">
        <v>68</v>
      </c>
      <c r="E482" s="5" t="s">
        <v>49</v>
      </c>
      <c r="F482" s="6">
        <v>58060901</v>
      </c>
      <c r="G482" s="5" t="s">
        <v>16</v>
      </c>
      <c r="H482" s="7">
        <v>45805</v>
      </c>
      <c r="I482" s="7">
        <v>45806</v>
      </c>
      <c r="J482" s="8">
        <v>150</v>
      </c>
      <c r="K482" s="7">
        <v>45809</v>
      </c>
      <c r="L482" s="7"/>
      <c r="P482" s="23"/>
    </row>
    <row r="483" spans="1:16" ht="14.4" customHeight="1" x14ac:dyDescent="0.3">
      <c r="A483" s="5">
        <v>485</v>
      </c>
      <c r="B483" s="7" t="s">
        <v>1092</v>
      </c>
      <c r="C483" s="7" t="s">
        <v>1093</v>
      </c>
      <c r="D483" s="5" t="s">
        <v>475</v>
      </c>
      <c r="E483" s="5" t="s">
        <v>27</v>
      </c>
      <c r="F483" s="10" t="s">
        <v>1094</v>
      </c>
      <c r="G483" s="5" t="s">
        <v>16</v>
      </c>
      <c r="H483" s="7">
        <v>45805</v>
      </c>
      <c r="I483" s="7">
        <v>45806</v>
      </c>
      <c r="J483" s="8">
        <v>150</v>
      </c>
      <c r="K483" s="7">
        <v>45809</v>
      </c>
      <c r="L483" s="7"/>
      <c r="P483" s="23"/>
    </row>
    <row r="484" spans="1:16" ht="14.4" customHeight="1" x14ac:dyDescent="0.3">
      <c r="A484" s="5">
        <v>487</v>
      </c>
      <c r="B484" s="7" t="s">
        <v>121</v>
      </c>
      <c r="C484" s="7" t="s">
        <v>122</v>
      </c>
      <c r="D484" s="5" t="s">
        <v>137</v>
      </c>
      <c r="E484" s="5" t="s">
        <v>1279</v>
      </c>
      <c r="F484" s="6">
        <v>57801348</v>
      </c>
      <c r="G484" s="5" t="s">
        <v>16</v>
      </c>
      <c r="H484" s="7">
        <v>45805</v>
      </c>
      <c r="I484" s="7">
        <v>45806</v>
      </c>
      <c r="J484" s="8">
        <v>150</v>
      </c>
      <c r="K484" s="7">
        <v>45809</v>
      </c>
      <c r="L484" s="7"/>
      <c r="P484" s="23"/>
    </row>
    <row r="485" spans="1:16" ht="14.4" customHeight="1" x14ac:dyDescent="0.3">
      <c r="A485" s="5">
        <v>488</v>
      </c>
      <c r="B485" s="7" t="s">
        <v>1098</v>
      </c>
      <c r="C485" s="7" t="s">
        <v>1099</v>
      </c>
      <c r="D485" s="5" t="s">
        <v>1100</v>
      </c>
      <c r="E485" s="5" t="s">
        <v>291</v>
      </c>
      <c r="F485" s="6">
        <v>58192191</v>
      </c>
      <c r="G485" s="5" t="s">
        <v>16</v>
      </c>
      <c r="H485" s="7">
        <v>45805</v>
      </c>
      <c r="I485" s="7">
        <v>45806</v>
      </c>
      <c r="J485" s="8">
        <v>150</v>
      </c>
      <c r="K485" s="7">
        <v>45809</v>
      </c>
      <c r="L485" s="7"/>
      <c r="P485" s="23"/>
    </row>
    <row r="486" spans="1:16" ht="14.4" customHeight="1" x14ac:dyDescent="0.3">
      <c r="A486" s="5">
        <v>489</v>
      </c>
      <c r="B486" s="7" t="s">
        <v>1101</v>
      </c>
      <c r="C486" s="7" t="s">
        <v>1102</v>
      </c>
      <c r="D486" s="5" t="s">
        <v>137</v>
      </c>
      <c r="E486" s="5" t="s">
        <v>720</v>
      </c>
      <c r="F486" s="10" t="s">
        <v>1103</v>
      </c>
      <c r="G486" s="5" t="s">
        <v>16</v>
      </c>
      <c r="H486" s="7">
        <v>45805</v>
      </c>
      <c r="I486" s="7">
        <v>45806</v>
      </c>
      <c r="J486" s="8">
        <v>150</v>
      </c>
      <c r="K486" s="7">
        <v>45809</v>
      </c>
      <c r="L486" s="7"/>
      <c r="P486" s="23"/>
    </row>
    <row r="487" spans="1:16" ht="14.4" customHeight="1" x14ac:dyDescent="0.3">
      <c r="A487" s="5">
        <v>490</v>
      </c>
      <c r="B487" s="7" t="s">
        <v>1104</v>
      </c>
      <c r="C487" s="7" t="s">
        <v>548</v>
      </c>
      <c r="D487" s="5" t="s">
        <v>137</v>
      </c>
      <c r="E487" s="5" t="s">
        <v>204</v>
      </c>
      <c r="F487" s="6">
        <v>57560789</v>
      </c>
      <c r="G487" s="5" t="s">
        <v>16</v>
      </c>
      <c r="H487" s="7">
        <v>45805</v>
      </c>
      <c r="I487" s="7">
        <v>45806</v>
      </c>
      <c r="J487" s="8">
        <v>150</v>
      </c>
      <c r="K487" s="7">
        <v>45809</v>
      </c>
      <c r="L487" s="7"/>
      <c r="P487" s="23"/>
    </row>
    <row r="488" spans="1:16" ht="14.4" customHeight="1" x14ac:dyDescent="0.3">
      <c r="A488" s="5">
        <v>491</v>
      </c>
      <c r="B488" s="7" t="s">
        <v>1105</v>
      </c>
      <c r="C488" s="7" t="s">
        <v>1106</v>
      </c>
      <c r="D488" s="5" t="s">
        <v>68</v>
      </c>
      <c r="E488" s="5" t="s">
        <v>101</v>
      </c>
      <c r="F488" s="6">
        <v>58002834</v>
      </c>
      <c r="G488" s="5" t="s">
        <v>16</v>
      </c>
      <c r="H488" s="7">
        <v>45805</v>
      </c>
      <c r="I488" s="7">
        <v>45806</v>
      </c>
      <c r="J488" s="8">
        <v>150</v>
      </c>
      <c r="K488" s="7">
        <v>45809</v>
      </c>
      <c r="L488" s="7"/>
      <c r="P488" s="23"/>
    </row>
    <row r="489" spans="1:16" ht="14.4" customHeight="1" x14ac:dyDescent="0.3">
      <c r="A489" s="5">
        <v>493</v>
      </c>
      <c r="B489" s="5" t="s">
        <v>1110</v>
      </c>
      <c r="C489" s="7" t="s">
        <v>1111</v>
      </c>
      <c r="D489" s="5" t="s">
        <v>137</v>
      </c>
      <c r="E489" s="5" t="s">
        <v>98</v>
      </c>
      <c r="F489" s="6">
        <v>58257885</v>
      </c>
      <c r="G489" s="5" t="s">
        <v>16</v>
      </c>
      <c r="H489" s="7">
        <v>45805</v>
      </c>
      <c r="I489" s="7">
        <v>45806</v>
      </c>
      <c r="J489" s="8">
        <v>150</v>
      </c>
      <c r="K489" s="7">
        <v>45809</v>
      </c>
      <c r="L489" s="7"/>
      <c r="P489" s="23"/>
    </row>
    <row r="490" spans="1:16" ht="14.4" customHeight="1" x14ac:dyDescent="0.3">
      <c r="A490" s="5">
        <v>494</v>
      </c>
      <c r="B490" s="5" t="s">
        <v>1112</v>
      </c>
      <c r="C490" s="7" t="s">
        <v>1113</v>
      </c>
      <c r="D490" s="5" t="s">
        <v>601</v>
      </c>
      <c r="E490" s="5" t="s">
        <v>155</v>
      </c>
      <c r="F490" s="6">
        <v>58373568</v>
      </c>
      <c r="G490" s="5" t="s">
        <v>16</v>
      </c>
      <c r="H490" s="7">
        <v>45805</v>
      </c>
      <c r="I490" s="7">
        <v>45806</v>
      </c>
      <c r="J490" s="8">
        <v>150</v>
      </c>
      <c r="K490" s="7">
        <v>45809</v>
      </c>
      <c r="L490" s="7"/>
      <c r="P490" s="23"/>
    </row>
    <row r="491" spans="1:16" ht="14.4" customHeight="1" x14ac:dyDescent="0.3">
      <c r="A491" s="5">
        <v>495</v>
      </c>
      <c r="B491" s="5" t="s">
        <v>1114</v>
      </c>
      <c r="C491" s="7" t="s">
        <v>1115</v>
      </c>
      <c r="D491" s="5" t="s">
        <v>41</v>
      </c>
      <c r="E491" s="5" t="s">
        <v>1116</v>
      </c>
      <c r="F491" s="6">
        <v>58240985</v>
      </c>
      <c r="G491" s="5" t="s">
        <v>16</v>
      </c>
      <c r="H491" s="7">
        <v>45805</v>
      </c>
      <c r="I491" s="7">
        <v>45806</v>
      </c>
      <c r="J491" s="8">
        <v>150</v>
      </c>
      <c r="K491" s="7">
        <v>45809</v>
      </c>
      <c r="L491" s="7"/>
      <c r="P491" s="23"/>
    </row>
    <row r="492" spans="1:16" ht="14.4" customHeight="1" x14ac:dyDescent="0.3">
      <c r="A492" s="5">
        <v>496</v>
      </c>
      <c r="B492" s="5" t="s">
        <v>1117</v>
      </c>
      <c r="C492" s="7" t="s">
        <v>1118</v>
      </c>
      <c r="D492" s="5" t="s">
        <v>1100</v>
      </c>
      <c r="E492" s="5" t="s">
        <v>1170</v>
      </c>
      <c r="F492" s="6">
        <v>58031553</v>
      </c>
      <c r="G492" s="5" t="s">
        <v>16</v>
      </c>
      <c r="H492" s="7">
        <v>45805</v>
      </c>
      <c r="I492" s="7">
        <v>45806</v>
      </c>
      <c r="J492" s="8">
        <v>150</v>
      </c>
      <c r="K492" s="7">
        <v>45809</v>
      </c>
      <c r="L492" s="7"/>
      <c r="P492" s="23"/>
    </row>
    <row r="493" spans="1:16" ht="14.4" customHeight="1" x14ac:dyDescent="0.3">
      <c r="A493" s="5">
        <v>497</v>
      </c>
      <c r="B493" s="5" t="s">
        <v>1119</v>
      </c>
      <c r="C493" s="7" t="s">
        <v>1120</v>
      </c>
      <c r="D493" s="5" t="s">
        <v>84</v>
      </c>
      <c r="E493" s="5" t="s">
        <v>84</v>
      </c>
      <c r="F493" s="6">
        <v>52592727</v>
      </c>
      <c r="G493" s="5" t="s">
        <v>16</v>
      </c>
      <c r="H493" s="7">
        <v>45805</v>
      </c>
      <c r="I493" s="7">
        <v>45806</v>
      </c>
      <c r="J493" s="8">
        <v>150</v>
      </c>
      <c r="K493" s="7">
        <v>45809</v>
      </c>
      <c r="L493" s="7"/>
      <c r="P493" s="23"/>
    </row>
    <row r="494" spans="1:16" ht="14.4" customHeight="1" x14ac:dyDescent="0.3">
      <c r="A494" s="5">
        <v>498</v>
      </c>
      <c r="B494" s="5" t="s">
        <v>1121</v>
      </c>
      <c r="C494" s="7" t="s">
        <v>900</v>
      </c>
      <c r="D494" s="5" t="s">
        <v>137</v>
      </c>
      <c r="E494" s="5" t="s">
        <v>98</v>
      </c>
      <c r="F494" s="6">
        <v>59456396</v>
      </c>
      <c r="G494" s="5" t="s">
        <v>16</v>
      </c>
      <c r="H494" s="7">
        <v>45805</v>
      </c>
      <c r="I494" s="7">
        <v>45806</v>
      </c>
      <c r="J494" s="8">
        <v>150</v>
      </c>
      <c r="K494" s="7">
        <v>45809</v>
      </c>
      <c r="L494" s="7"/>
      <c r="P494" s="23"/>
    </row>
    <row r="495" spans="1:16" ht="14.4" customHeight="1" x14ac:dyDescent="0.3">
      <c r="A495" s="5">
        <v>499</v>
      </c>
      <c r="B495" s="5" t="s">
        <v>1122</v>
      </c>
      <c r="C495" s="7" t="s">
        <v>1123</v>
      </c>
      <c r="D495" s="5" t="s">
        <v>601</v>
      </c>
      <c r="E495" s="5" t="s">
        <v>262</v>
      </c>
      <c r="F495" s="6">
        <v>57741698</v>
      </c>
      <c r="G495" s="5" t="s">
        <v>16</v>
      </c>
      <c r="H495" s="7">
        <v>45805</v>
      </c>
      <c r="I495" s="7">
        <v>45806</v>
      </c>
      <c r="J495" s="8">
        <v>150</v>
      </c>
      <c r="K495" s="7">
        <v>45809</v>
      </c>
      <c r="L495" s="7"/>
      <c r="P495" s="23"/>
    </row>
    <row r="496" spans="1:16" ht="14.4" customHeight="1" x14ac:dyDescent="0.3">
      <c r="A496" s="5">
        <v>501</v>
      </c>
      <c r="B496" s="5" t="s">
        <v>393</v>
      </c>
      <c r="C496" s="7" t="s">
        <v>394</v>
      </c>
      <c r="D496" s="5" t="s">
        <v>475</v>
      </c>
      <c r="E496" s="5" t="s">
        <v>27</v>
      </c>
      <c r="F496" s="6">
        <v>57771164</v>
      </c>
      <c r="G496" s="5" t="s">
        <v>16</v>
      </c>
      <c r="H496" s="7">
        <v>45805</v>
      </c>
      <c r="I496" s="7">
        <v>45806</v>
      </c>
      <c r="J496" s="8">
        <v>150</v>
      </c>
      <c r="K496" s="7">
        <v>45809</v>
      </c>
      <c r="L496" s="7"/>
      <c r="P496" s="23"/>
    </row>
    <row r="497" spans="1:16" ht="14.4" customHeight="1" x14ac:dyDescent="0.3">
      <c r="A497" s="5">
        <v>502</v>
      </c>
      <c r="B497" s="5" t="s">
        <v>1126</v>
      </c>
      <c r="C497" s="5" t="s">
        <v>1128</v>
      </c>
      <c r="D497" s="5" t="s">
        <v>26</v>
      </c>
      <c r="E497" s="5" t="s">
        <v>49</v>
      </c>
      <c r="F497" s="5">
        <v>58100050</v>
      </c>
      <c r="G497" s="5" t="s">
        <v>1024</v>
      </c>
      <c r="H497" s="7">
        <v>45805</v>
      </c>
      <c r="I497" s="7">
        <v>45806</v>
      </c>
      <c r="J497" s="8">
        <v>150</v>
      </c>
      <c r="K497" s="7">
        <v>45809</v>
      </c>
      <c r="L497" s="5" t="s">
        <v>1127</v>
      </c>
      <c r="P497" s="23"/>
    </row>
    <row r="498" spans="1:16" ht="14.4" customHeight="1" x14ac:dyDescent="0.3">
      <c r="A498" s="5">
        <v>503</v>
      </c>
      <c r="B498" s="5" t="s">
        <v>1129</v>
      </c>
      <c r="C498" s="7" t="s">
        <v>1131</v>
      </c>
      <c r="D498" s="5" t="s">
        <v>68</v>
      </c>
      <c r="E498" s="5" t="s">
        <v>101</v>
      </c>
      <c r="F498" s="5">
        <v>54938560</v>
      </c>
      <c r="G498" s="5" t="s">
        <v>1024</v>
      </c>
      <c r="H498" s="7">
        <v>45805</v>
      </c>
      <c r="I498" s="7">
        <v>45806</v>
      </c>
      <c r="J498" s="8">
        <v>150</v>
      </c>
      <c r="K498" s="7">
        <v>45809</v>
      </c>
      <c r="L498" s="5"/>
      <c r="P498" s="23"/>
    </row>
    <row r="499" spans="1:16" ht="14.4" customHeight="1" x14ac:dyDescent="0.3">
      <c r="A499" s="5">
        <v>504</v>
      </c>
      <c r="B499" s="5" t="s">
        <v>1342</v>
      </c>
      <c r="C499" s="5" t="s">
        <v>1133</v>
      </c>
      <c r="D499" s="5" t="s">
        <v>123</v>
      </c>
      <c r="E499" s="5" t="s">
        <v>1279</v>
      </c>
      <c r="F499" s="6">
        <v>58260475</v>
      </c>
      <c r="G499" s="5" t="s">
        <v>1024</v>
      </c>
      <c r="H499" s="7">
        <v>45805</v>
      </c>
      <c r="I499" s="7">
        <v>45806</v>
      </c>
      <c r="J499" s="8">
        <v>150</v>
      </c>
      <c r="K499" s="7">
        <v>45809</v>
      </c>
      <c r="L499" s="5" t="s">
        <v>1132</v>
      </c>
      <c r="P499" s="23"/>
    </row>
    <row r="500" spans="1:16" ht="14.4" customHeight="1" x14ac:dyDescent="0.3">
      <c r="A500" s="5">
        <v>505</v>
      </c>
      <c r="B500" s="5" t="s">
        <v>1136</v>
      </c>
      <c r="C500" s="5" t="s">
        <v>1137</v>
      </c>
      <c r="D500" s="5" t="s">
        <v>84</v>
      </c>
      <c r="E500" s="5" t="s">
        <v>84</v>
      </c>
      <c r="F500" s="5">
        <v>55063920</v>
      </c>
      <c r="G500" s="5" t="s">
        <v>963</v>
      </c>
      <c r="H500" s="7">
        <v>45806</v>
      </c>
      <c r="I500" s="7">
        <v>45806</v>
      </c>
      <c r="J500" s="16">
        <v>75</v>
      </c>
      <c r="K500" s="7">
        <v>45809</v>
      </c>
      <c r="L500" s="5"/>
      <c r="P500" s="23"/>
    </row>
    <row r="501" spans="1:16" ht="14.4" customHeight="1" x14ac:dyDescent="0.3">
      <c r="A501" s="5">
        <v>483</v>
      </c>
      <c r="B501" s="7" t="s">
        <v>1089</v>
      </c>
      <c r="C501" s="7" t="s">
        <v>1090</v>
      </c>
      <c r="D501" s="5" t="s">
        <v>426</v>
      </c>
      <c r="E501" s="5" t="s">
        <v>1091</v>
      </c>
      <c r="F501" s="6">
        <v>58210959</v>
      </c>
      <c r="G501" s="5" t="s">
        <v>16</v>
      </c>
      <c r="H501" s="7">
        <v>45805</v>
      </c>
      <c r="I501" s="7">
        <v>45808</v>
      </c>
      <c r="J501" s="8">
        <v>150</v>
      </c>
      <c r="K501" s="7">
        <v>45809</v>
      </c>
      <c r="L501" s="7"/>
      <c r="P501" s="23"/>
    </row>
    <row r="502" spans="1:16" ht="14.4" customHeight="1" x14ac:dyDescent="0.3">
      <c r="A502" s="5">
        <v>486</v>
      </c>
      <c r="B502" s="7" t="s">
        <v>1095</v>
      </c>
      <c r="C502" s="7" t="s">
        <v>1096</v>
      </c>
      <c r="D502" s="5" t="s">
        <v>903</v>
      </c>
      <c r="E502" s="5" t="s">
        <v>1097</v>
      </c>
      <c r="F502" s="6">
        <v>55029138</v>
      </c>
      <c r="G502" s="5" t="s">
        <v>16</v>
      </c>
      <c r="H502" s="7">
        <v>45805</v>
      </c>
      <c r="I502" s="7">
        <v>45810</v>
      </c>
      <c r="J502" s="8">
        <v>150</v>
      </c>
      <c r="K502" s="7">
        <v>45870</v>
      </c>
      <c r="L502" s="7"/>
      <c r="P502" s="23"/>
    </row>
    <row r="503" spans="1:16" ht="14.4" customHeight="1" x14ac:dyDescent="0.3">
      <c r="A503" s="5">
        <v>492</v>
      </c>
      <c r="B503" s="7" t="s">
        <v>1108</v>
      </c>
      <c r="C503" s="7" t="s">
        <v>1109</v>
      </c>
      <c r="D503" s="5" t="s">
        <v>84</v>
      </c>
      <c r="E503" s="5" t="s">
        <v>149</v>
      </c>
      <c r="F503" s="6">
        <v>54832846</v>
      </c>
      <c r="G503" s="5" t="s">
        <v>16</v>
      </c>
      <c r="H503" s="7">
        <v>45805</v>
      </c>
      <c r="I503" s="7">
        <v>45810</v>
      </c>
      <c r="J503" s="8">
        <v>150</v>
      </c>
      <c r="K503" s="7">
        <v>45870</v>
      </c>
      <c r="L503" s="7"/>
      <c r="P503" s="23"/>
    </row>
    <row r="504" spans="1:16" ht="14.4" customHeight="1" x14ac:dyDescent="0.3">
      <c r="A504" s="5">
        <v>500</v>
      </c>
      <c r="B504" s="5" t="s">
        <v>1124</v>
      </c>
      <c r="C504" s="7" t="s">
        <v>1125</v>
      </c>
      <c r="D504" s="5" t="s">
        <v>137</v>
      </c>
      <c r="E504" s="5" t="s">
        <v>204</v>
      </c>
      <c r="F504" s="6">
        <v>57575292</v>
      </c>
      <c r="G504" s="5" t="s">
        <v>16</v>
      </c>
      <c r="H504" s="7">
        <v>45805</v>
      </c>
      <c r="I504" s="7">
        <v>45810</v>
      </c>
      <c r="J504" s="8">
        <v>150</v>
      </c>
      <c r="K504" s="7">
        <v>45870</v>
      </c>
      <c r="L504" s="7"/>
      <c r="P504" s="23"/>
    </row>
    <row r="505" spans="1:16" ht="14.4" customHeight="1" x14ac:dyDescent="0.3">
      <c r="A505" s="5">
        <v>506</v>
      </c>
      <c r="B505" s="5" t="s">
        <v>1134</v>
      </c>
      <c r="C505" s="5" t="s">
        <v>1135</v>
      </c>
      <c r="D505" s="5" t="s">
        <v>545</v>
      </c>
      <c r="E505" s="5" t="s">
        <v>546</v>
      </c>
      <c r="F505" s="5">
        <v>57144737</v>
      </c>
      <c r="G505" s="5" t="s">
        <v>963</v>
      </c>
      <c r="H505" s="7">
        <v>45806</v>
      </c>
      <c r="I505" s="7">
        <v>45810</v>
      </c>
      <c r="J505" s="16">
        <v>150</v>
      </c>
      <c r="K505" s="7">
        <v>45840</v>
      </c>
      <c r="L505" s="5"/>
      <c r="P505" s="23"/>
    </row>
    <row r="506" spans="1:16" ht="14.4" customHeight="1" x14ac:dyDescent="0.3">
      <c r="A506" s="5">
        <v>507</v>
      </c>
      <c r="B506" s="5" t="s">
        <v>1147</v>
      </c>
      <c r="C506" s="5" t="s">
        <v>84</v>
      </c>
      <c r="D506" s="5" t="s">
        <v>84</v>
      </c>
      <c r="E506" s="5" t="s">
        <v>84</v>
      </c>
      <c r="F506" s="5">
        <v>57255363</v>
      </c>
      <c r="G506" s="5" t="s">
        <v>1146</v>
      </c>
      <c r="H506" s="7">
        <v>45810</v>
      </c>
      <c r="I506" s="7">
        <v>45810</v>
      </c>
      <c r="J506" s="16">
        <v>75</v>
      </c>
      <c r="K506" s="7">
        <v>45840</v>
      </c>
      <c r="L506" s="5" t="s">
        <v>1151</v>
      </c>
      <c r="P506" s="23"/>
    </row>
    <row r="507" spans="1:16" ht="14.4" customHeight="1" x14ac:dyDescent="0.3">
      <c r="A507" s="5">
        <v>508</v>
      </c>
      <c r="B507" s="5" t="s">
        <v>1148</v>
      </c>
      <c r="C507" s="5" t="s">
        <v>546</v>
      </c>
      <c r="D507" s="5" t="s">
        <v>545</v>
      </c>
      <c r="E507" s="5" t="s">
        <v>546</v>
      </c>
      <c r="F507" s="5">
        <v>57456700</v>
      </c>
      <c r="G507" s="5" t="s">
        <v>1146</v>
      </c>
      <c r="H507" s="7">
        <v>45810</v>
      </c>
      <c r="I507" s="7">
        <v>45810</v>
      </c>
      <c r="J507" s="16">
        <v>75</v>
      </c>
      <c r="K507" s="7">
        <v>45840</v>
      </c>
      <c r="L507" s="5" t="s">
        <v>1152</v>
      </c>
      <c r="P507" s="23"/>
    </row>
    <row r="508" spans="1:16" ht="14.4" customHeight="1" x14ac:dyDescent="0.3">
      <c r="A508" s="5">
        <v>509</v>
      </c>
      <c r="B508" s="5" t="s">
        <v>1149</v>
      </c>
      <c r="C508" s="5" t="s">
        <v>1150</v>
      </c>
      <c r="D508" s="5" t="s">
        <v>22</v>
      </c>
      <c r="E508" s="5" t="s">
        <v>38</v>
      </c>
      <c r="F508" s="5">
        <v>58084430</v>
      </c>
      <c r="G508" s="5" t="s">
        <v>1146</v>
      </c>
      <c r="H508" s="7">
        <v>45810</v>
      </c>
      <c r="I508" s="7">
        <v>45810</v>
      </c>
      <c r="J508" s="16">
        <v>75</v>
      </c>
      <c r="K508" s="7">
        <v>45840</v>
      </c>
      <c r="L508" s="5"/>
      <c r="P508" s="23"/>
    </row>
    <row r="509" spans="1:16" ht="14.4" customHeight="1" x14ac:dyDescent="0.3">
      <c r="A509" s="5">
        <v>511</v>
      </c>
      <c r="B509" s="5" t="s">
        <v>1157</v>
      </c>
      <c r="C509" s="5" t="s">
        <v>1158</v>
      </c>
      <c r="D509" s="5" t="s">
        <v>84</v>
      </c>
      <c r="E509" s="5" t="s">
        <v>149</v>
      </c>
      <c r="F509" s="5">
        <v>58384663</v>
      </c>
      <c r="G509" s="5" t="s">
        <v>1024</v>
      </c>
      <c r="H509" s="7">
        <v>45809</v>
      </c>
      <c r="I509" s="7">
        <v>45810</v>
      </c>
      <c r="J509" s="8">
        <v>150</v>
      </c>
      <c r="K509" s="7">
        <v>45840</v>
      </c>
      <c r="L509" s="5"/>
      <c r="P509" s="23"/>
    </row>
    <row r="510" spans="1:16" ht="14.4" customHeight="1" x14ac:dyDescent="0.3">
      <c r="A510" s="5">
        <v>512</v>
      </c>
      <c r="B510" s="5" t="s">
        <v>1159</v>
      </c>
      <c r="C510" s="5" t="s">
        <v>1164</v>
      </c>
      <c r="D510" s="5" t="s">
        <v>1160</v>
      </c>
      <c r="E510" s="5" t="s">
        <v>84</v>
      </c>
      <c r="F510" s="5">
        <v>57059733</v>
      </c>
      <c r="G510" s="5" t="s">
        <v>1024</v>
      </c>
      <c r="H510" s="7">
        <v>45809</v>
      </c>
      <c r="I510" s="7">
        <v>45810</v>
      </c>
      <c r="J510" s="8">
        <v>150</v>
      </c>
      <c r="K510" s="7">
        <v>45840</v>
      </c>
      <c r="L510" s="5"/>
      <c r="P510" s="23"/>
    </row>
    <row r="511" spans="1:16" ht="14.4" customHeight="1" x14ac:dyDescent="0.3">
      <c r="A511" s="5">
        <v>513</v>
      </c>
      <c r="B511" s="5" t="s">
        <v>1161</v>
      </c>
      <c r="C511" s="5" t="s">
        <v>1196</v>
      </c>
      <c r="D511" s="37" t="s">
        <v>1018</v>
      </c>
      <c r="E511" s="5" t="s">
        <v>1018</v>
      </c>
      <c r="F511" s="5">
        <v>59119682</v>
      </c>
      <c r="G511" s="5" t="s">
        <v>1024</v>
      </c>
      <c r="H511" s="7">
        <v>45809</v>
      </c>
      <c r="I511" s="7">
        <v>45810</v>
      </c>
      <c r="J511" s="8">
        <v>150</v>
      </c>
      <c r="K511" s="7">
        <v>45840</v>
      </c>
      <c r="L511" s="5" t="s">
        <v>1162</v>
      </c>
      <c r="P511" s="23"/>
    </row>
    <row r="512" spans="1:16" ht="14.4" customHeight="1" x14ac:dyDescent="0.3">
      <c r="A512" s="5">
        <v>515</v>
      </c>
      <c r="B512" s="5" t="s">
        <v>1165</v>
      </c>
      <c r="C512" s="5" t="s">
        <v>1166</v>
      </c>
      <c r="D512" s="5" t="s">
        <v>84</v>
      </c>
      <c r="E512" s="5" t="s">
        <v>84</v>
      </c>
      <c r="F512" s="5">
        <v>57618728</v>
      </c>
      <c r="G512" s="5" t="s">
        <v>16</v>
      </c>
      <c r="H512" s="7">
        <v>45809</v>
      </c>
      <c r="I512" s="7">
        <v>45810</v>
      </c>
      <c r="J512" s="8">
        <v>150</v>
      </c>
      <c r="K512" s="7">
        <v>45840</v>
      </c>
      <c r="L512" s="5"/>
      <c r="P512" s="23"/>
    </row>
    <row r="513" spans="1:16" ht="14.4" customHeight="1" x14ac:dyDescent="0.3">
      <c r="A513" s="5">
        <v>516</v>
      </c>
      <c r="B513" s="5" t="s">
        <v>1167</v>
      </c>
      <c r="C513" s="5" t="s">
        <v>532</v>
      </c>
      <c r="D513" s="5" t="s">
        <v>68</v>
      </c>
      <c r="E513" s="5" t="s">
        <v>74</v>
      </c>
      <c r="F513" s="5">
        <v>57544290</v>
      </c>
      <c r="G513" s="5" t="s">
        <v>16</v>
      </c>
      <c r="H513" s="7">
        <v>45809</v>
      </c>
      <c r="I513" s="7">
        <v>45810</v>
      </c>
      <c r="J513" s="8">
        <v>150</v>
      </c>
      <c r="K513" s="7">
        <v>45840</v>
      </c>
      <c r="L513" s="5"/>
      <c r="P513" s="23"/>
    </row>
    <row r="514" spans="1:16" ht="14.4" customHeight="1" x14ac:dyDescent="0.3">
      <c r="A514" s="5">
        <v>517</v>
      </c>
      <c r="B514" s="5" t="s">
        <v>1168</v>
      </c>
      <c r="C514" s="5" t="s">
        <v>1169</v>
      </c>
      <c r="D514" s="5" t="s">
        <v>426</v>
      </c>
      <c r="E514" s="5" t="s">
        <v>1170</v>
      </c>
      <c r="F514" s="5">
        <v>58211997</v>
      </c>
      <c r="G514" s="5" t="s">
        <v>16</v>
      </c>
      <c r="H514" s="7">
        <v>45809</v>
      </c>
      <c r="I514" s="7">
        <v>45810</v>
      </c>
      <c r="J514" s="8">
        <v>150</v>
      </c>
      <c r="K514" s="7">
        <v>45840</v>
      </c>
      <c r="L514" s="5"/>
      <c r="P514" s="23"/>
    </row>
    <row r="515" spans="1:16" ht="14.4" customHeight="1" x14ac:dyDescent="0.3">
      <c r="A515" s="5">
        <v>518</v>
      </c>
      <c r="B515" s="5" t="s">
        <v>1171</v>
      </c>
      <c r="C515" s="5" t="s">
        <v>1172</v>
      </c>
      <c r="D515" s="5" t="s">
        <v>68</v>
      </c>
      <c r="E515" s="5" t="s">
        <v>49</v>
      </c>
      <c r="F515" s="5">
        <v>57805076</v>
      </c>
      <c r="G515" s="5" t="s">
        <v>16</v>
      </c>
      <c r="H515" s="7">
        <v>45809</v>
      </c>
      <c r="I515" s="7">
        <v>45810</v>
      </c>
      <c r="J515" s="8">
        <v>150</v>
      </c>
      <c r="K515" s="7">
        <v>45840</v>
      </c>
      <c r="L515" s="5"/>
      <c r="P515" s="23"/>
    </row>
    <row r="516" spans="1:16" ht="14.4" customHeight="1" x14ac:dyDescent="0.3">
      <c r="A516" s="5">
        <v>519</v>
      </c>
      <c r="B516" s="5" t="s">
        <v>462</v>
      </c>
      <c r="C516" s="5" t="s">
        <v>1173</v>
      </c>
      <c r="D516" s="5" t="s">
        <v>68</v>
      </c>
      <c r="E516" s="5" t="s">
        <v>101</v>
      </c>
      <c r="F516" s="5">
        <v>58098404</v>
      </c>
      <c r="G516" s="5" t="s">
        <v>16</v>
      </c>
      <c r="H516" s="7">
        <v>45809</v>
      </c>
      <c r="I516" s="7">
        <v>45810</v>
      </c>
      <c r="J516" s="8">
        <v>150</v>
      </c>
      <c r="K516" s="7">
        <v>45840</v>
      </c>
      <c r="L516" s="5"/>
      <c r="P516" s="23"/>
    </row>
    <row r="517" spans="1:16" ht="14.4" customHeight="1" x14ac:dyDescent="0.3">
      <c r="A517" s="5">
        <v>520</v>
      </c>
      <c r="B517" s="5" t="s">
        <v>1174</v>
      </c>
      <c r="C517" s="5" t="s">
        <v>1175</v>
      </c>
      <c r="D517" s="5" t="s">
        <v>68</v>
      </c>
      <c r="E517" s="5" t="s">
        <v>74</v>
      </c>
      <c r="F517" s="5">
        <v>58007660</v>
      </c>
      <c r="G517" s="5" t="s">
        <v>16</v>
      </c>
      <c r="H517" s="7">
        <v>45809</v>
      </c>
      <c r="I517" s="7">
        <v>45810</v>
      </c>
      <c r="J517" s="8">
        <v>150</v>
      </c>
      <c r="K517" s="7">
        <v>45840</v>
      </c>
      <c r="L517" s="5"/>
      <c r="P517" s="23"/>
    </row>
    <row r="518" spans="1:16" ht="14.4" customHeight="1" x14ac:dyDescent="0.3">
      <c r="A518" s="5">
        <v>521</v>
      </c>
      <c r="B518" s="5" t="s">
        <v>1176</v>
      </c>
      <c r="C518" s="5" t="s">
        <v>1177</v>
      </c>
      <c r="D518" s="5" t="s">
        <v>137</v>
      </c>
      <c r="E518" s="5" t="s">
        <v>77</v>
      </c>
      <c r="F518" s="5">
        <v>58196379</v>
      </c>
      <c r="G518" s="5" t="s">
        <v>16</v>
      </c>
      <c r="H518" s="7">
        <v>45809</v>
      </c>
      <c r="I518" s="7">
        <v>45810</v>
      </c>
      <c r="J518" s="8">
        <v>150</v>
      </c>
      <c r="K518" s="7">
        <v>45840</v>
      </c>
      <c r="L518" s="5"/>
      <c r="P518" s="23"/>
    </row>
    <row r="519" spans="1:16" ht="14.4" customHeight="1" x14ac:dyDescent="0.3">
      <c r="A519" s="5">
        <v>522</v>
      </c>
      <c r="B519" s="5" t="s">
        <v>1104</v>
      </c>
      <c r="C519" s="5" t="s">
        <v>548</v>
      </c>
      <c r="D519" s="5" t="s">
        <v>137</v>
      </c>
      <c r="E519" s="5" t="s">
        <v>204</v>
      </c>
      <c r="F519" s="5">
        <v>57560789</v>
      </c>
      <c r="G519" s="5" t="s">
        <v>16</v>
      </c>
      <c r="H519" s="7">
        <v>45809</v>
      </c>
      <c r="I519" s="7">
        <v>45810</v>
      </c>
      <c r="J519" s="8">
        <v>150</v>
      </c>
      <c r="K519" s="7">
        <v>45840</v>
      </c>
      <c r="L519" s="5"/>
      <c r="P519" s="23"/>
    </row>
    <row r="520" spans="1:16" ht="14.4" customHeight="1" x14ac:dyDescent="0.3">
      <c r="A520" s="5">
        <v>523</v>
      </c>
      <c r="B520" s="5" t="s">
        <v>1178</v>
      </c>
      <c r="C520" s="5" t="s">
        <v>1179</v>
      </c>
      <c r="D520" s="5" t="s">
        <v>426</v>
      </c>
      <c r="E520" s="5" t="s">
        <v>314</v>
      </c>
      <c r="F520" s="5">
        <v>57875377</v>
      </c>
      <c r="G520" s="5" t="s">
        <v>16</v>
      </c>
      <c r="H520" s="7">
        <v>45809</v>
      </c>
      <c r="I520" s="7">
        <v>45810</v>
      </c>
      <c r="J520" s="8">
        <v>150</v>
      </c>
      <c r="K520" s="7">
        <v>45840</v>
      </c>
      <c r="L520" s="5"/>
      <c r="P520" s="23"/>
    </row>
    <row r="521" spans="1:16" ht="14.4" customHeight="1" x14ac:dyDescent="0.3">
      <c r="A521" s="5">
        <v>524</v>
      </c>
      <c r="B521" s="5" t="s">
        <v>1180</v>
      </c>
      <c r="C521" s="5" t="s">
        <v>1181</v>
      </c>
      <c r="D521" s="5" t="s">
        <v>569</v>
      </c>
      <c r="E521" s="5" t="s">
        <v>276</v>
      </c>
      <c r="F521" s="5">
        <v>57633463</v>
      </c>
      <c r="G521" s="5" t="s">
        <v>16</v>
      </c>
      <c r="H521" s="7">
        <v>45809</v>
      </c>
      <c r="I521" s="7">
        <v>45810</v>
      </c>
      <c r="J521" s="8">
        <v>150</v>
      </c>
      <c r="K521" s="7">
        <v>45840</v>
      </c>
      <c r="L521" s="5"/>
      <c r="P521" s="23"/>
    </row>
    <row r="522" spans="1:16" ht="14.4" customHeight="1" x14ac:dyDescent="0.3">
      <c r="A522" s="5">
        <v>525</v>
      </c>
      <c r="B522" s="5" t="s">
        <v>1182</v>
      </c>
      <c r="C522" s="5" t="s">
        <v>1183</v>
      </c>
      <c r="D522" s="5" t="s">
        <v>84</v>
      </c>
      <c r="E522" s="5" t="s">
        <v>84</v>
      </c>
      <c r="F522" s="5">
        <v>58251317</v>
      </c>
      <c r="G522" s="5" t="s">
        <v>16</v>
      </c>
      <c r="H522" s="7">
        <v>45809</v>
      </c>
      <c r="I522" s="7">
        <v>45810</v>
      </c>
      <c r="J522" s="8">
        <v>150</v>
      </c>
      <c r="K522" s="7">
        <v>45840</v>
      </c>
      <c r="L522" s="5"/>
      <c r="P522" s="23"/>
    </row>
    <row r="523" spans="1:16" ht="14.4" customHeight="1" x14ac:dyDescent="0.3">
      <c r="A523" s="5">
        <v>526</v>
      </c>
      <c r="B523" s="5" t="s">
        <v>1184</v>
      </c>
      <c r="C523" s="5" t="s">
        <v>1185</v>
      </c>
      <c r="D523" s="5" t="s">
        <v>41</v>
      </c>
      <c r="E523" s="5" t="s">
        <v>1186</v>
      </c>
      <c r="F523" s="5">
        <v>59052621</v>
      </c>
      <c r="G523" s="5" t="s">
        <v>16</v>
      </c>
      <c r="H523" s="7">
        <v>45809</v>
      </c>
      <c r="I523" s="7">
        <v>45810</v>
      </c>
      <c r="J523" s="8">
        <v>150</v>
      </c>
      <c r="K523" s="7">
        <v>45840</v>
      </c>
      <c r="L523" s="5"/>
      <c r="P523" s="23"/>
    </row>
    <row r="524" spans="1:16" ht="14.4" customHeight="1" x14ac:dyDescent="0.3">
      <c r="A524" s="5">
        <v>527</v>
      </c>
      <c r="B524" s="5" t="s">
        <v>1187</v>
      </c>
      <c r="C524" s="5" t="s">
        <v>1188</v>
      </c>
      <c r="D524" s="5" t="s">
        <v>137</v>
      </c>
      <c r="E524" s="5" t="s">
        <v>1189</v>
      </c>
      <c r="F524" s="5">
        <v>57726954</v>
      </c>
      <c r="G524" s="5" t="s">
        <v>16</v>
      </c>
      <c r="H524" s="7">
        <v>45809</v>
      </c>
      <c r="I524" s="7">
        <v>45810</v>
      </c>
      <c r="J524" s="8">
        <v>150</v>
      </c>
      <c r="K524" s="7">
        <v>45840</v>
      </c>
      <c r="L524" s="5"/>
      <c r="P524" s="23"/>
    </row>
    <row r="525" spans="1:16" ht="14.4" customHeight="1" x14ac:dyDescent="0.3">
      <c r="A525" s="5">
        <v>528</v>
      </c>
      <c r="B525" s="5" t="s">
        <v>1190</v>
      </c>
      <c r="C525" s="5" t="s">
        <v>1191</v>
      </c>
      <c r="D525" s="5" t="s">
        <v>903</v>
      </c>
      <c r="E525" s="5" t="s">
        <v>1097</v>
      </c>
      <c r="F525" s="5">
        <v>58200662</v>
      </c>
      <c r="G525" s="5" t="s">
        <v>16</v>
      </c>
      <c r="H525" s="7">
        <v>45809</v>
      </c>
      <c r="I525" s="7">
        <v>45810</v>
      </c>
      <c r="J525" s="8">
        <v>150</v>
      </c>
      <c r="K525" s="7">
        <v>45840</v>
      </c>
      <c r="L525" s="5"/>
      <c r="P525" s="23"/>
    </row>
    <row r="526" spans="1:16" ht="14.4" customHeight="1" x14ac:dyDescent="0.3">
      <c r="A526" s="5">
        <v>529</v>
      </c>
      <c r="B526" s="5" t="s">
        <v>1192</v>
      </c>
      <c r="C526" s="5" t="s">
        <v>1193</v>
      </c>
      <c r="D526" s="5" t="s">
        <v>601</v>
      </c>
      <c r="E526" s="5" t="s">
        <v>1194</v>
      </c>
      <c r="F526" s="24" t="s">
        <v>1195</v>
      </c>
      <c r="G526" s="5" t="s">
        <v>16</v>
      </c>
      <c r="H526" s="7">
        <v>45809</v>
      </c>
      <c r="I526" s="7">
        <v>45810</v>
      </c>
      <c r="J526" s="8">
        <v>150</v>
      </c>
      <c r="K526" s="7">
        <v>45840</v>
      </c>
      <c r="L526" s="5"/>
      <c r="P526" s="23"/>
    </row>
    <row r="527" spans="1:16" ht="14.4" customHeight="1" x14ac:dyDescent="0.3">
      <c r="A527" s="5">
        <v>530</v>
      </c>
      <c r="B527" s="5" t="s">
        <v>1197</v>
      </c>
      <c r="C527" s="5" t="s">
        <v>1198</v>
      </c>
      <c r="D527" s="5" t="s">
        <v>84</v>
      </c>
      <c r="E527" s="5" t="s">
        <v>1199</v>
      </c>
      <c r="F527" s="5">
        <v>59043019</v>
      </c>
      <c r="G527" s="5" t="s">
        <v>16</v>
      </c>
      <c r="H527" s="7">
        <v>45809</v>
      </c>
      <c r="I527" s="7">
        <v>45810</v>
      </c>
      <c r="J527" s="8">
        <v>150</v>
      </c>
      <c r="K527" s="7">
        <v>45840</v>
      </c>
      <c r="L527" s="5"/>
      <c r="P527" s="23"/>
    </row>
    <row r="528" spans="1:16" ht="14.4" customHeight="1" x14ac:dyDescent="0.3">
      <c r="A528" s="5">
        <v>531</v>
      </c>
      <c r="B528" s="5" t="s">
        <v>1200</v>
      </c>
      <c r="C528" s="5" t="s">
        <v>354</v>
      </c>
      <c r="D528" s="5" t="s">
        <v>601</v>
      </c>
      <c r="E528" s="5" t="s">
        <v>211</v>
      </c>
      <c r="F528" s="5">
        <v>52593875</v>
      </c>
      <c r="G528" s="5" t="s">
        <v>16</v>
      </c>
      <c r="H528" s="7">
        <v>45809</v>
      </c>
      <c r="I528" s="7">
        <v>45810</v>
      </c>
      <c r="J528" s="8">
        <v>150</v>
      </c>
      <c r="K528" s="7">
        <v>45840</v>
      </c>
      <c r="L528" s="5"/>
      <c r="P528" s="23"/>
    </row>
    <row r="529" spans="1:16" ht="14.4" customHeight="1" x14ac:dyDescent="0.3">
      <c r="A529" s="5">
        <v>532</v>
      </c>
      <c r="B529" s="5" t="s">
        <v>1201</v>
      </c>
      <c r="C529" s="5" t="s">
        <v>1202</v>
      </c>
      <c r="D529" s="5" t="s">
        <v>41</v>
      </c>
      <c r="E529" s="5" t="s">
        <v>743</v>
      </c>
      <c r="F529" s="5">
        <v>58101472</v>
      </c>
      <c r="G529" s="5" t="s">
        <v>16</v>
      </c>
      <c r="H529" s="7">
        <v>45809</v>
      </c>
      <c r="I529" s="7">
        <v>45810</v>
      </c>
      <c r="J529" s="8">
        <v>150</v>
      </c>
      <c r="K529" s="7">
        <v>45840</v>
      </c>
      <c r="L529" s="5"/>
      <c r="P529" s="23"/>
    </row>
    <row r="530" spans="1:16" ht="14.4" customHeight="1" x14ac:dyDescent="0.3">
      <c r="A530" s="5">
        <v>533</v>
      </c>
      <c r="B530" s="5" t="s">
        <v>1203</v>
      </c>
      <c r="C530" s="5" t="s">
        <v>1204</v>
      </c>
      <c r="D530" s="5" t="s">
        <v>84</v>
      </c>
      <c r="E530" s="5" t="s">
        <v>84</v>
      </c>
      <c r="F530" s="5">
        <v>52778745</v>
      </c>
      <c r="G530" s="5" t="s">
        <v>16</v>
      </c>
      <c r="H530" s="7">
        <v>45809</v>
      </c>
      <c r="I530" s="7">
        <v>45810</v>
      </c>
      <c r="J530" s="8">
        <v>150</v>
      </c>
      <c r="K530" s="7">
        <v>45840</v>
      </c>
      <c r="L530" s="5"/>
      <c r="P530" s="23"/>
    </row>
    <row r="531" spans="1:16" ht="14.4" customHeight="1" x14ac:dyDescent="0.3">
      <c r="A531" s="5">
        <v>534</v>
      </c>
      <c r="B531" s="5" t="s">
        <v>1205</v>
      </c>
      <c r="C531" s="5" t="s">
        <v>1206</v>
      </c>
      <c r="D531" s="5" t="s">
        <v>475</v>
      </c>
      <c r="E531" s="5" t="s">
        <v>475</v>
      </c>
      <c r="F531" s="5">
        <v>55069135</v>
      </c>
      <c r="G531" s="5" t="s">
        <v>16</v>
      </c>
      <c r="H531" s="7">
        <v>45809</v>
      </c>
      <c r="I531" s="7">
        <v>45810</v>
      </c>
      <c r="J531" s="8">
        <v>150</v>
      </c>
      <c r="K531" s="7">
        <v>45840</v>
      </c>
      <c r="L531" s="5"/>
      <c r="P531" s="23"/>
    </row>
    <row r="532" spans="1:16" ht="14.4" customHeight="1" x14ac:dyDescent="0.3">
      <c r="A532" s="5">
        <v>535</v>
      </c>
      <c r="B532" s="5" t="s">
        <v>1207</v>
      </c>
      <c r="C532" s="5" t="s">
        <v>1208</v>
      </c>
      <c r="D532" s="5" t="s">
        <v>475</v>
      </c>
      <c r="E532" s="5" t="s">
        <v>807</v>
      </c>
      <c r="F532" s="5">
        <v>57867050</v>
      </c>
      <c r="G532" s="5" t="s">
        <v>16</v>
      </c>
      <c r="H532" s="7">
        <v>45809</v>
      </c>
      <c r="I532" s="7">
        <v>45810</v>
      </c>
      <c r="J532" s="8">
        <v>150</v>
      </c>
      <c r="K532" s="7">
        <v>45840</v>
      </c>
      <c r="L532" s="5"/>
      <c r="P532" s="23"/>
    </row>
    <row r="533" spans="1:16" ht="14.4" customHeight="1" x14ac:dyDescent="0.3">
      <c r="A533" s="5">
        <v>536</v>
      </c>
      <c r="B533" s="5" t="s">
        <v>1209</v>
      </c>
      <c r="C533" s="5" t="s">
        <v>1210</v>
      </c>
      <c r="D533" s="5" t="s">
        <v>475</v>
      </c>
      <c r="E533" s="5" t="s">
        <v>807</v>
      </c>
      <c r="F533" s="5">
        <v>52588427</v>
      </c>
      <c r="G533" s="5" t="s">
        <v>16</v>
      </c>
      <c r="H533" s="7">
        <v>45809</v>
      </c>
      <c r="I533" s="7">
        <v>45810</v>
      </c>
      <c r="J533" s="8">
        <v>150</v>
      </c>
      <c r="K533" s="7">
        <v>45840</v>
      </c>
      <c r="L533" s="5"/>
      <c r="P533" s="23"/>
    </row>
    <row r="534" spans="1:16" ht="14.4" customHeight="1" x14ac:dyDescent="0.3">
      <c r="A534" s="5">
        <v>537</v>
      </c>
      <c r="B534" s="5" t="s">
        <v>1211</v>
      </c>
      <c r="C534" s="5" t="s">
        <v>1212</v>
      </c>
      <c r="D534" s="5" t="s">
        <v>41</v>
      </c>
      <c r="E534" s="5" t="s">
        <v>743</v>
      </c>
      <c r="F534" s="5">
        <v>58394232</v>
      </c>
      <c r="G534" s="5" t="s">
        <v>16</v>
      </c>
      <c r="H534" s="7">
        <v>45809</v>
      </c>
      <c r="I534" s="7">
        <v>45810</v>
      </c>
      <c r="J534" s="8">
        <v>150</v>
      </c>
      <c r="K534" s="7">
        <v>45840</v>
      </c>
      <c r="L534" s="5"/>
      <c r="P534" s="23"/>
    </row>
    <row r="535" spans="1:16" ht="14.4" customHeight="1" x14ac:dyDescent="0.3">
      <c r="A535" s="5">
        <v>538</v>
      </c>
      <c r="B535" s="5" t="s">
        <v>1213</v>
      </c>
      <c r="C535" s="5" t="s">
        <v>1214</v>
      </c>
      <c r="D535" s="5" t="s">
        <v>84</v>
      </c>
      <c r="E535" s="5" t="s">
        <v>84</v>
      </c>
      <c r="F535" s="5">
        <v>58038537</v>
      </c>
      <c r="G535" s="5" t="s">
        <v>1146</v>
      </c>
      <c r="H535" s="7">
        <v>45810</v>
      </c>
      <c r="I535" s="7">
        <v>45810</v>
      </c>
      <c r="J535" s="16">
        <v>75</v>
      </c>
      <c r="K535" s="7">
        <v>45840</v>
      </c>
      <c r="L535" s="5" t="s">
        <v>1215</v>
      </c>
      <c r="P535" s="23"/>
    </row>
    <row r="536" spans="1:16" ht="14.4" customHeight="1" x14ac:dyDescent="0.3">
      <c r="A536" s="5">
        <v>539</v>
      </c>
      <c r="B536" s="7" t="s">
        <v>949</v>
      </c>
      <c r="C536" s="7" t="s">
        <v>950</v>
      </c>
      <c r="D536" s="5" t="s">
        <v>68</v>
      </c>
      <c r="E536" s="5" t="s">
        <v>696</v>
      </c>
      <c r="F536" s="6">
        <v>59450164</v>
      </c>
      <c r="G536" s="5" t="s">
        <v>1024</v>
      </c>
      <c r="H536" s="7">
        <v>45809</v>
      </c>
      <c r="I536" s="7">
        <v>45810</v>
      </c>
      <c r="J536" s="8">
        <v>150</v>
      </c>
      <c r="K536" s="7">
        <v>45840</v>
      </c>
      <c r="L536" s="5" t="s">
        <v>957</v>
      </c>
      <c r="P536" s="23"/>
    </row>
    <row r="537" spans="1:16" ht="14.4" customHeight="1" x14ac:dyDescent="0.3">
      <c r="A537" s="5">
        <v>540</v>
      </c>
      <c r="B537" s="5" t="s">
        <v>1216</v>
      </c>
      <c r="C537" s="5" t="s">
        <v>1217</v>
      </c>
      <c r="D537" s="5" t="s">
        <v>155</v>
      </c>
      <c r="E537" s="5" t="s">
        <v>155</v>
      </c>
      <c r="F537" s="5">
        <v>59106944</v>
      </c>
      <c r="G537" s="5" t="s">
        <v>1024</v>
      </c>
      <c r="H537" s="7">
        <v>45809</v>
      </c>
      <c r="I537" s="7">
        <v>45810</v>
      </c>
      <c r="J537" s="8">
        <v>150</v>
      </c>
      <c r="K537" s="7">
        <v>45840</v>
      </c>
      <c r="L537" s="5" t="s">
        <v>1029</v>
      </c>
      <c r="P537" s="23"/>
    </row>
    <row r="538" spans="1:16" ht="14.4" customHeight="1" x14ac:dyDescent="0.3">
      <c r="A538" s="5">
        <v>542</v>
      </c>
      <c r="B538" s="5" t="s">
        <v>513</v>
      </c>
      <c r="C538" s="5" t="s">
        <v>943</v>
      </c>
      <c r="D538" s="5" t="s">
        <v>68</v>
      </c>
      <c r="E538" s="5" t="s">
        <v>63</v>
      </c>
      <c r="F538" s="6">
        <v>55039098</v>
      </c>
      <c r="G538" s="5" t="s">
        <v>1024</v>
      </c>
      <c r="H538" s="7">
        <v>45809</v>
      </c>
      <c r="I538" s="7">
        <v>45810</v>
      </c>
      <c r="J538" s="8">
        <v>150</v>
      </c>
      <c r="K538" s="7">
        <v>45840</v>
      </c>
      <c r="L538" s="5" t="s">
        <v>954</v>
      </c>
      <c r="P538" s="23"/>
    </row>
    <row r="539" spans="1:16" ht="14.4" customHeight="1" x14ac:dyDescent="0.3">
      <c r="A539" s="5">
        <v>543</v>
      </c>
      <c r="B539" s="5" t="s">
        <v>1220</v>
      </c>
      <c r="C539" s="5" t="s">
        <v>1040</v>
      </c>
      <c r="D539" s="5" t="s">
        <v>903</v>
      </c>
      <c r="E539" s="5" t="s">
        <v>1097</v>
      </c>
      <c r="F539" s="5">
        <v>59484572</v>
      </c>
      <c r="G539" s="5" t="s">
        <v>1024</v>
      </c>
      <c r="H539" s="7">
        <v>45809</v>
      </c>
      <c r="I539" s="7">
        <v>45810</v>
      </c>
      <c r="J539" s="8">
        <v>150</v>
      </c>
      <c r="K539" s="7">
        <v>45840</v>
      </c>
      <c r="L539" s="5" t="s">
        <v>1156</v>
      </c>
      <c r="P539" s="23"/>
    </row>
    <row r="540" spans="1:16" ht="14.4" customHeight="1" x14ac:dyDescent="0.3">
      <c r="A540" s="5">
        <v>510</v>
      </c>
      <c r="B540" s="5" t="s">
        <v>1153</v>
      </c>
      <c r="C540" s="5" t="s">
        <v>1154</v>
      </c>
      <c r="D540" s="5" t="s">
        <v>22</v>
      </c>
      <c r="E540" s="5" t="s">
        <v>1155</v>
      </c>
      <c r="F540" s="5">
        <v>57694424</v>
      </c>
      <c r="G540" s="5" t="s">
        <v>1024</v>
      </c>
      <c r="H540" s="7">
        <v>45809</v>
      </c>
      <c r="I540" s="7">
        <v>45813</v>
      </c>
      <c r="J540" s="8">
        <v>150</v>
      </c>
      <c r="K540" s="7">
        <v>45840</v>
      </c>
      <c r="L540" s="5" t="s">
        <v>1339</v>
      </c>
      <c r="P540" s="23"/>
    </row>
    <row r="541" spans="1:16" ht="14.4" customHeight="1" x14ac:dyDescent="0.3">
      <c r="A541" s="5">
        <v>514</v>
      </c>
      <c r="B541" s="7" t="s">
        <v>342</v>
      </c>
      <c r="C541" s="5" t="s">
        <v>343</v>
      </c>
      <c r="D541" s="5" t="s">
        <v>30</v>
      </c>
      <c r="E541" s="5" t="s">
        <v>344</v>
      </c>
      <c r="F541" s="6">
        <v>52526373</v>
      </c>
      <c r="G541" s="5" t="s">
        <v>1024</v>
      </c>
      <c r="H541" s="7">
        <v>45809</v>
      </c>
      <c r="I541" s="7">
        <v>45813</v>
      </c>
      <c r="J541" s="8">
        <v>150</v>
      </c>
      <c r="K541" s="7">
        <v>45840</v>
      </c>
      <c r="L541" s="5" t="s">
        <v>1163</v>
      </c>
      <c r="P541" s="23"/>
    </row>
    <row r="542" spans="1:16" ht="14.4" customHeight="1" x14ac:dyDescent="0.3">
      <c r="A542" s="5">
        <v>541</v>
      </c>
      <c r="B542" s="5" t="s">
        <v>1218</v>
      </c>
      <c r="C542" s="5" t="s">
        <v>1219</v>
      </c>
      <c r="D542" s="5" t="s">
        <v>187</v>
      </c>
      <c r="E542" s="5" t="s">
        <v>187</v>
      </c>
      <c r="F542" s="5">
        <v>52583317</v>
      </c>
      <c r="G542" s="5" t="s">
        <v>1024</v>
      </c>
      <c r="H542" s="7">
        <v>45809</v>
      </c>
      <c r="I542" s="7">
        <v>45813</v>
      </c>
      <c r="J542" s="8">
        <v>150</v>
      </c>
      <c r="K542" s="7">
        <v>45840</v>
      </c>
      <c r="L542" s="5" t="s">
        <v>1162</v>
      </c>
      <c r="P542" s="23"/>
    </row>
    <row r="543" spans="1:16" ht="14.4" customHeight="1" x14ac:dyDescent="0.3">
      <c r="A543" s="5">
        <v>544</v>
      </c>
      <c r="B543" s="5" t="s">
        <v>1229</v>
      </c>
      <c r="C543" s="5" t="s">
        <v>1230</v>
      </c>
      <c r="D543" s="5" t="s">
        <v>276</v>
      </c>
      <c r="E543" s="5" t="s">
        <v>276</v>
      </c>
      <c r="F543" s="5">
        <v>57470178</v>
      </c>
      <c r="G543" s="5" t="s">
        <v>1024</v>
      </c>
      <c r="H543" s="7">
        <v>45812</v>
      </c>
      <c r="I543" s="7">
        <v>45813</v>
      </c>
      <c r="J543" s="8">
        <v>150</v>
      </c>
      <c r="K543" s="7">
        <v>45840</v>
      </c>
      <c r="L543" s="5" t="s">
        <v>1156</v>
      </c>
      <c r="P543" s="23"/>
    </row>
    <row r="544" spans="1:16" ht="14.4" customHeight="1" x14ac:dyDescent="0.3">
      <c r="A544" s="5">
        <v>545</v>
      </c>
      <c r="B544" s="5" t="s">
        <v>1225</v>
      </c>
      <c r="C544" s="5" t="s">
        <v>1226</v>
      </c>
      <c r="D544" s="5" t="s">
        <v>137</v>
      </c>
      <c r="E544" s="5" t="s">
        <v>137</v>
      </c>
      <c r="F544" s="5">
        <v>59278137</v>
      </c>
      <c r="G544" s="5" t="s">
        <v>1024</v>
      </c>
      <c r="H544" s="7">
        <v>45812</v>
      </c>
      <c r="I544" s="7">
        <v>45813</v>
      </c>
      <c r="J544" s="8">
        <v>150</v>
      </c>
      <c r="K544" s="7">
        <v>45840</v>
      </c>
      <c r="L544" s="5" t="s">
        <v>1227</v>
      </c>
      <c r="P544" s="23"/>
    </row>
    <row r="545" spans="1:16" ht="14.4" customHeight="1" x14ac:dyDescent="0.3">
      <c r="A545" s="5">
        <v>546</v>
      </c>
      <c r="B545" s="5" t="s">
        <v>1222</v>
      </c>
      <c r="C545" s="5" t="s">
        <v>1224</v>
      </c>
      <c r="D545" s="5" t="s">
        <v>84</v>
      </c>
      <c r="E545" s="5" t="s">
        <v>84</v>
      </c>
      <c r="F545" s="5">
        <v>57779044</v>
      </c>
      <c r="G545" s="5" t="s">
        <v>1024</v>
      </c>
      <c r="H545" s="7">
        <v>45812</v>
      </c>
      <c r="I545" s="7">
        <v>45813</v>
      </c>
      <c r="J545" s="8">
        <v>150</v>
      </c>
      <c r="K545" s="7">
        <v>45840</v>
      </c>
      <c r="L545" s="5" t="s">
        <v>1228</v>
      </c>
      <c r="P545" s="23"/>
    </row>
    <row r="546" spans="1:16" ht="14.4" customHeight="1" x14ac:dyDescent="0.3">
      <c r="A546" s="5">
        <v>547</v>
      </c>
      <c r="B546" s="5" t="s">
        <v>1221</v>
      </c>
      <c r="C546" s="5" t="s">
        <v>1223</v>
      </c>
      <c r="D546" s="5" t="s">
        <v>101</v>
      </c>
      <c r="E546" s="5" t="s">
        <v>101</v>
      </c>
      <c r="F546" s="5">
        <v>52547810</v>
      </c>
      <c r="G546" s="5" t="s">
        <v>1024</v>
      </c>
      <c r="H546" s="7">
        <v>45812</v>
      </c>
      <c r="I546" s="7">
        <v>45813</v>
      </c>
      <c r="J546" s="8">
        <v>150</v>
      </c>
      <c r="K546" s="7">
        <v>45840</v>
      </c>
      <c r="L546" s="5" t="s">
        <v>977</v>
      </c>
      <c r="P546" s="23"/>
    </row>
    <row r="547" spans="1:16" ht="14.4" customHeight="1" x14ac:dyDescent="0.3">
      <c r="A547" s="5">
        <v>548</v>
      </c>
      <c r="B547" s="5" t="s">
        <v>1233</v>
      </c>
      <c r="C547" s="5" t="s">
        <v>1234</v>
      </c>
      <c r="D547" s="5" t="s">
        <v>137</v>
      </c>
      <c r="E547" s="5" t="s">
        <v>204</v>
      </c>
      <c r="F547" s="5">
        <v>58001530</v>
      </c>
      <c r="G547" s="5" t="s">
        <v>16</v>
      </c>
      <c r="H547" s="7">
        <v>45812</v>
      </c>
      <c r="I547" s="7">
        <v>45813</v>
      </c>
      <c r="J547" s="8">
        <v>150</v>
      </c>
      <c r="K547" s="7">
        <v>45840</v>
      </c>
      <c r="L547" s="5"/>
      <c r="P547" s="23"/>
    </row>
    <row r="548" spans="1:16" ht="14.4" customHeight="1" x14ac:dyDescent="0.3">
      <c r="A548" s="5">
        <v>549</v>
      </c>
      <c r="B548" s="5" t="s">
        <v>1235</v>
      </c>
      <c r="C548" s="5" t="s">
        <v>1236</v>
      </c>
      <c r="D548" s="5" t="s">
        <v>569</v>
      </c>
      <c r="E548" s="5" t="s">
        <v>1170</v>
      </c>
      <c r="F548" s="5">
        <v>58083400</v>
      </c>
      <c r="G548" s="5" t="s">
        <v>16</v>
      </c>
      <c r="H548" s="7">
        <v>45812</v>
      </c>
      <c r="I548" s="7">
        <v>45813</v>
      </c>
      <c r="J548" s="8">
        <v>150</v>
      </c>
      <c r="K548" s="7">
        <v>45840</v>
      </c>
      <c r="L548" s="5"/>
      <c r="P548" s="23"/>
    </row>
    <row r="549" spans="1:16" ht="14.4" customHeight="1" x14ac:dyDescent="0.3">
      <c r="A549" s="5">
        <v>550</v>
      </c>
      <c r="B549" s="5" t="s">
        <v>1237</v>
      </c>
      <c r="C549" s="5" t="s">
        <v>1238</v>
      </c>
      <c r="D549" s="5" t="s">
        <v>68</v>
      </c>
      <c r="E549" s="5" t="s">
        <v>226</v>
      </c>
      <c r="F549" s="5">
        <v>58444248</v>
      </c>
      <c r="G549" s="5" t="s">
        <v>16</v>
      </c>
      <c r="H549" s="7">
        <v>45812</v>
      </c>
      <c r="I549" s="7">
        <v>45813</v>
      </c>
      <c r="J549" s="8">
        <v>150</v>
      </c>
      <c r="K549" s="7">
        <v>45840</v>
      </c>
      <c r="L549" s="5"/>
      <c r="P549" s="23"/>
    </row>
    <row r="550" spans="1:16" ht="14.4" customHeight="1" x14ac:dyDescent="0.3">
      <c r="A550" s="5">
        <v>551</v>
      </c>
      <c r="B550" s="5" t="s">
        <v>1239</v>
      </c>
      <c r="C550" s="5" t="s">
        <v>1240</v>
      </c>
      <c r="D550" s="5" t="s">
        <v>68</v>
      </c>
      <c r="E550" s="5" t="s">
        <v>447</v>
      </c>
      <c r="F550" s="5">
        <v>58147798</v>
      </c>
      <c r="G550" s="5" t="s">
        <v>16</v>
      </c>
      <c r="H550" s="7">
        <v>45812</v>
      </c>
      <c r="I550" s="7">
        <v>45813</v>
      </c>
      <c r="J550" s="8">
        <v>150</v>
      </c>
      <c r="K550" s="7">
        <v>45840</v>
      </c>
      <c r="L550" s="5"/>
      <c r="P550" s="23"/>
    </row>
    <row r="551" spans="1:16" ht="14.4" customHeight="1" x14ac:dyDescent="0.3">
      <c r="A551" s="5">
        <v>552</v>
      </c>
      <c r="B551" s="5" t="s">
        <v>1241</v>
      </c>
      <c r="C551" s="5" t="s">
        <v>1242</v>
      </c>
      <c r="D551" s="5" t="s">
        <v>569</v>
      </c>
      <c r="E551" s="5" t="s">
        <v>31</v>
      </c>
      <c r="F551" s="5">
        <v>58114207</v>
      </c>
      <c r="G551" s="5" t="s">
        <v>16</v>
      </c>
      <c r="H551" s="7">
        <v>45812</v>
      </c>
      <c r="I551" s="7">
        <v>45813</v>
      </c>
      <c r="J551" s="8">
        <v>150</v>
      </c>
      <c r="K551" s="7">
        <v>45840</v>
      </c>
      <c r="L551" s="5"/>
      <c r="P551" s="23"/>
    </row>
    <row r="552" spans="1:16" ht="14.4" customHeight="1" x14ac:dyDescent="0.3">
      <c r="A552" s="5">
        <v>553</v>
      </c>
      <c r="B552" s="5" t="s">
        <v>774</v>
      </c>
      <c r="C552" s="5" t="s">
        <v>775</v>
      </c>
      <c r="D552" s="5" t="s">
        <v>68</v>
      </c>
      <c r="E552" s="5" t="s">
        <v>63</v>
      </c>
      <c r="F552" s="5">
        <v>59064475</v>
      </c>
      <c r="G552" s="5" t="s">
        <v>16</v>
      </c>
      <c r="H552" s="7">
        <v>45812</v>
      </c>
      <c r="I552" s="7">
        <v>45813</v>
      </c>
      <c r="J552" s="8">
        <v>150</v>
      </c>
      <c r="K552" s="7">
        <v>45840</v>
      </c>
      <c r="L552" s="5"/>
      <c r="P552" s="23"/>
    </row>
    <row r="553" spans="1:16" ht="14.4" customHeight="1" x14ac:dyDescent="0.3">
      <c r="A553" s="5">
        <v>554</v>
      </c>
      <c r="B553" s="5" t="s">
        <v>1207</v>
      </c>
      <c r="C553" s="5" t="s">
        <v>1035</v>
      </c>
      <c r="D553" s="5" t="s">
        <v>137</v>
      </c>
      <c r="E553" s="5" t="s">
        <v>223</v>
      </c>
      <c r="F553" s="5">
        <v>57867050</v>
      </c>
      <c r="G553" s="5" t="s">
        <v>16</v>
      </c>
      <c r="H553" s="7">
        <v>45812</v>
      </c>
      <c r="I553" s="7">
        <v>45813</v>
      </c>
      <c r="J553" s="8">
        <v>150</v>
      </c>
      <c r="K553" s="7">
        <v>45840</v>
      </c>
      <c r="L553" s="5"/>
      <c r="P553" s="23"/>
    </row>
    <row r="554" spans="1:16" ht="14.4" customHeight="1" x14ac:dyDescent="0.3">
      <c r="A554" s="5">
        <v>555</v>
      </c>
      <c r="B554" s="5" t="s">
        <v>1243</v>
      </c>
      <c r="C554" s="5" t="s">
        <v>1244</v>
      </c>
      <c r="D554" s="5" t="s">
        <v>41</v>
      </c>
      <c r="E554" s="5" t="s">
        <v>1245</v>
      </c>
      <c r="F554" s="5">
        <v>59711158</v>
      </c>
      <c r="G554" s="5" t="s">
        <v>16</v>
      </c>
      <c r="H554" s="7">
        <v>45812</v>
      </c>
      <c r="I554" s="7">
        <v>45813</v>
      </c>
      <c r="J554" s="8">
        <v>150</v>
      </c>
      <c r="K554" s="7">
        <v>45840</v>
      </c>
      <c r="L554" s="5"/>
      <c r="P554" s="23"/>
    </row>
    <row r="555" spans="1:16" ht="14.4" customHeight="1" x14ac:dyDescent="0.3">
      <c r="A555" s="5">
        <v>556</v>
      </c>
      <c r="B555" s="5" t="s">
        <v>1246</v>
      </c>
      <c r="C555" s="5" t="s">
        <v>1247</v>
      </c>
      <c r="D555" s="5" t="s">
        <v>426</v>
      </c>
      <c r="E555" s="5" t="s">
        <v>19</v>
      </c>
      <c r="F555" s="5">
        <v>57650574</v>
      </c>
      <c r="G555" s="5" t="s">
        <v>16</v>
      </c>
      <c r="H555" s="7">
        <v>45812</v>
      </c>
      <c r="I555" s="7">
        <v>45813</v>
      </c>
      <c r="J555" s="8">
        <v>150</v>
      </c>
      <c r="K555" s="7">
        <v>45840</v>
      </c>
      <c r="L555" s="5"/>
      <c r="P555" s="23"/>
    </row>
    <row r="556" spans="1:16" ht="14.4" customHeight="1" x14ac:dyDescent="0.3">
      <c r="A556" s="5">
        <v>557</v>
      </c>
      <c r="B556" s="5" t="s">
        <v>713</v>
      </c>
      <c r="C556" s="5" t="s">
        <v>1248</v>
      </c>
      <c r="D556" s="5" t="s">
        <v>41</v>
      </c>
      <c r="E556" s="5" t="s">
        <v>715</v>
      </c>
      <c r="F556" s="5">
        <v>59864950</v>
      </c>
      <c r="G556" s="5" t="s">
        <v>16</v>
      </c>
      <c r="H556" s="7">
        <v>45812</v>
      </c>
      <c r="I556" s="7">
        <v>45813</v>
      </c>
      <c r="J556" s="8">
        <v>150</v>
      </c>
      <c r="K556" s="7">
        <v>45840</v>
      </c>
      <c r="L556" s="5"/>
      <c r="P556" s="23"/>
    </row>
    <row r="557" spans="1:16" ht="14.4" customHeight="1" x14ac:dyDescent="0.3">
      <c r="A557" s="5">
        <v>558</v>
      </c>
      <c r="B557" s="5" t="s">
        <v>1249</v>
      </c>
      <c r="C557" s="5" t="s">
        <v>1250</v>
      </c>
      <c r="D557" s="5" t="s">
        <v>569</v>
      </c>
      <c r="E557" s="5" t="s">
        <v>276</v>
      </c>
      <c r="F557" s="5">
        <v>57967823</v>
      </c>
      <c r="G557" s="5" t="s">
        <v>16</v>
      </c>
      <c r="H557" s="7">
        <v>45812</v>
      </c>
      <c r="I557" s="7">
        <v>45813</v>
      </c>
      <c r="J557" s="8">
        <v>150</v>
      </c>
      <c r="K557" s="7">
        <v>45840</v>
      </c>
      <c r="L557" s="5"/>
      <c r="P557" s="23"/>
    </row>
    <row r="558" spans="1:16" ht="14.4" customHeight="1" x14ac:dyDescent="0.3">
      <c r="A558" s="5">
        <v>559</v>
      </c>
      <c r="B558" s="5" t="s">
        <v>1251</v>
      </c>
      <c r="C558" s="5" t="s">
        <v>1252</v>
      </c>
      <c r="D558" s="5" t="s">
        <v>68</v>
      </c>
      <c r="E558" s="5" t="s">
        <v>49</v>
      </c>
      <c r="F558" s="5">
        <v>59742122</v>
      </c>
      <c r="G558" s="5" t="s">
        <v>16</v>
      </c>
      <c r="H558" s="7">
        <v>45812</v>
      </c>
      <c r="I558" s="7">
        <v>45813</v>
      </c>
      <c r="J558" s="8">
        <v>150</v>
      </c>
      <c r="K558" s="7">
        <v>45840</v>
      </c>
      <c r="L558" s="5"/>
      <c r="P558" s="23"/>
    </row>
    <row r="559" spans="1:16" ht="14.4" customHeight="1" x14ac:dyDescent="0.3">
      <c r="A559" s="5">
        <v>560</v>
      </c>
      <c r="B559" s="5" t="s">
        <v>1253</v>
      </c>
      <c r="C559" s="5" t="s">
        <v>1254</v>
      </c>
      <c r="D559" s="5" t="s">
        <v>475</v>
      </c>
      <c r="E559" s="5" t="s">
        <v>807</v>
      </c>
      <c r="F559" s="5">
        <v>57630153</v>
      </c>
      <c r="G559" s="5" t="s">
        <v>16</v>
      </c>
      <c r="H559" s="7">
        <v>45812</v>
      </c>
      <c r="I559" s="7">
        <v>45813</v>
      </c>
      <c r="J559" s="8">
        <v>150</v>
      </c>
      <c r="K559" s="7">
        <v>45840</v>
      </c>
      <c r="L559" s="5"/>
      <c r="P559" s="23"/>
    </row>
    <row r="560" spans="1:16" ht="14.4" customHeight="1" x14ac:dyDescent="0.3">
      <c r="A560" s="5">
        <v>561</v>
      </c>
      <c r="B560" s="5" t="s">
        <v>1259</v>
      </c>
      <c r="C560" s="5" t="s">
        <v>1260</v>
      </c>
      <c r="D560" s="5" t="s">
        <v>601</v>
      </c>
      <c r="E560" s="5" t="s">
        <v>546</v>
      </c>
      <c r="F560" s="5">
        <v>59875123</v>
      </c>
      <c r="G560" s="5" t="s">
        <v>16</v>
      </c>
      <c r="H560" s="7">
        <v>45812</v>
      </c>
      <c r="I560" s="7">
        <v>45813</v>
      </c>
      <c r="J560" s="8">
        <v>150</v>
      </c>
      <c r="K560" s="7">
        <v>45840</v>
      </c>
      <c r="L560" s="5"/>
      <c r="P560" s="23"/>
    </row>
    <row r="561" spans="1:16" ht="14.4" customHeight="1" x14ac:dyDescent="0.3">
      <c r="A561" s="5">
        <v>562</v>
      </c>
      <c r="B561" s="5" t="s">
        <v>650</v>
      </c>
      <c r="C561" s="5" t="s">
        <v>651</v>
      </c>
      <c r="D561" s="5" t="s">
        <v>569</v>
      </c>
      <c r="E561" s="5" t="s">
        <v>291</v>
      </c>
      <c r="F561" s="5">
        <v>57722084</v>
      </c>
      <c r="G561" s="5" t="s">
        <v>16</v>
      </c>
      <c r="H561" s="7">
        <v>45812</v>
      </c>
      <c r="I561" s="7">
        <v>45813</v>
      </c>
      <c r="J561" s="8">
        <v>150</v>
      </c>
      <c r="K561" s="7">
        <v>45840</v>
      </c>
      <c r="L561" s="5"/>
      <c r="P561" s="23"/>
    </row>
    <row r="562" spans="1:16" ht="14.4" customHeight="1" x14ac:dyDescent="0.3">
      <c r="A562" s="5">
        <v>563</v>
      </c>
      <c r="B562" s="5" t="s">
        <v>1255</v>
      </c>
      <c r="C562" s="5" t="s">
        <v>1256</v>
      </c>
      <c r="D562" s="5" t="s">
        <v>137</v>
      </c>
      <c r="E562" s="5" t="s">
        <v>204</v>
      </c>
      <c r="F562" s="5">
        <v>59264237</v>
      </c>
      <c r="G562" s="5" t="s">
        <v>16</v>
      </c>
      <c r="H562" s="7">
        <v>45812</v>
      </c>
      <c r="I562" s="7">
        <v>45813</v>
      </c>
      <c r="J562" s="8">
        <v>150</v>
      </c>
      <c r="K562" s="7">
        <v>45840</v>
      </c>
      <c r="L562" s="5"/>
      <c r="P562" s="23"/>
    </row>
    <row r="563" spans="1:16" ht="14.4" customHeight="1" x14ac:dyDescent="0.3">
      <c r="A563" s="5">
        <v>564</v>
      </c>
      <c r="B563" s="5" t="s">
        <v>1257</v>
      </c>
      <c r="C563" s="5" t="s">
        <v>1258</v>
      </c>
      <c r="D563" s="5" t="s">
        <v>68</v>
      </c>
      <c r="E563" s="5" t="s">
        <v>696</v>
      </c>
      <c r="F563" s="5">
        <v>57045916</v>
      </c>
      <c r="G563" s="5" t="s">
        <v>16</v>
      </c>
      <c r="H563" s="7">
        <v>45812</v>
      </c>
      <c r="I563" s="7">
        <v>45813</v>
      </c>
      <c r="J563" s="8">
        <v>150</v>
      </c>
      <c r="K563" s="7">
        <v>45840</v>
      </c>
      <c r="L563" s="5"/>
      <c r="P563" s="23"/>
    </row>
    <row r="564" spans="1:16" ht="14.4" customHeight="1" x14ac:dyDescent="0.3">
      <c r="A564" s="5">
        <v>565</v>
      </c>
      <c r="B564" s="5" t="s">
        <v>1343</v>
      </c>
      <c r="C564" s="5" t="s">
        <v>1261</v>
      </c>
      <c r="D564" s="5" t="s">
        <v>68</v>
      </c>
      <c r="E564" s="5" t="s">
        <v>1262</v>
      </c>
      <c r="F564" s="5">
        <v>57809971</v>
      </c>
      <c r="G564" s="5" t="s">
        <v>1024</v>
      </c>
      <c r="H564" s="7">
        <v>45812</v>
      </c>
      <c r="I564" s="7">
        <v>45813</v>
      </c>
      <c r="J564" s="8">
        <v>150</v>
      </c>
      <c r="K564" s="7">
        <v>45840</v>
      </c>
      <c r="L564" s="5"/>
      <c r="P564" s="23"/>
    </row>
    <row r="565" spans="1:16" ht="14.4" customHeight="1" x14ac:dyDescent="0.3">
      <c r="A565" s="5">
        <v>566</v>
      </c>
      <c r="B565" s="5" t="s">
        <v>1264</v>
      </c>
      <c r="C565" s="5" t="s">
        <v>1265</v>
      </c>
      <c r="D565" s="5" t="s">
        <v>1265</v>
      </c>
      <c r="E565" s="5" t="s">
        <v>27</v>
      </c>
      <c r="F565" s="5">
        <v>57375387</v>
      </c>
      <c r="G565" s="5" t="s">
        <v>1016</v>
      </c>
      <c r="H565" s="7">
        <v>45813</v>
      </c>
      <c r="I565" s="7">
        <v>45813</v>
      </c>
      <c r="J565" s="8">
        <v>75</v>
      </c>
      <c r="K565" s="7">
        <v>45840</v>
      </c>
      <c r="L565" s="5"/>
      <c r="P565" s="23"/>
    </row>
    <row r="566" spans="1:16" ht="14.4" customHeight="1" x14ac:dyDescent="0.3">
      <c r="A566" s="5">
        <v>567</v>
      </c>
      <c r="B566" s="5" t="s">
        <v>1266</v>
      </c>
      <c r="C566" s="5" t="s">
        <v>1267</v>
      </c>
      <c r="D566" s="5" t="s">
        <v>1267</v>
      </c>
      <c r="E566" s="5" t="s">
        <v>2947</v>
      </c>
      <c r="F566" s="5">
        <v>57361695</v>
      </c>
      <c r="G566" s="5" t="s">
        <v>1016</v>
      </c>
      <c r="H566" s="7">
        <v>45813</v>
      </c>
      <c r="I566" s="7">
        <v>45813</v>
      </c>
      <c r="J566" s="8">
        <v>75</v>
      </c>
      <c r="K566" s="7">
        <v>45840</v>
      </c>
      <c r="L566" s="5"/>
      <c r="P566" s="23"/>
    </row>
    <row r="567" spans="1:16" ht="14.4" customHeight="1" x14ac:dyDescent="0.3">
      <c r="A567" s="5">
        <v>568</v>
      </c>
      <c r="B567" s="5" t="s">
        <v>1268</v>
      </c>
      <c r="C567" s="5" t="s">
        <v>226</v>
      </c>
      <c r="D567" s="5" t="s">
        <v>226</v>
      </c>
      <c r="E567" s="5" t="s">
        <v>226</v>
      </c>
      <c r="F567" s="5">
        <v>58535586</v>
      </c>
      <c r="G567" s="5" t="s">
        <v>1016</v>
      </c>
      <c r="H567" s="7">
        <v>45813</v>
      </c>
      <c r="I567" s="7">
        <v>45813</v>
      </c>
      <c r="J567" s="8">
        <v>75</v>
      </c>
      <c r="K567" s="7">
        <v>45840</v>
      </c>
      <c r="L567" s="5" t="s">
        <v>1263</v>
      </c>
      <c r="P567" s="23"/>
    </row>
    <row r="568" spans="1:16" ht="14.4" customHeight="1" x14ac:dyDescent="0.3">
      <c r="A568" s="5">
        <v>569</v>
      </c>
      <c r="B568" s="5" t="s">
        <v>1269</v>
      </c>
      <c r="C568" s="5" t="s">
        <v>1270</v>
      </c>
      <c r="D568" s="5" t="s">
        <v>1270</v>
      </c>
      <c r="E568" s="5" t="s">
        <v>63</v>
      </c>
      <c r="F568" s="5">
        <v>58169174</v>
      </c>
      <c r="G568" s="5" t="s">
        <v>1016</v>
      </c>
      <c r="H568" s="7">
        <v>45813</v>
      </c>
      <c r="I568" s="7">
        <v>45813</v>
      </c>
      <c r="J568" s="8">
        <v>75</v>
      </c>
      <c r="K568" s="7">
        <v>45840</v>
      </c>
      <c r="L568" s="5"/>
      <c r="P568" s="23"/>
    </row>
    <row r="569" spans="1:16" ht="14.4" customHeight="1" x14ac:dyDescent="0.3">
      <c r="A569" s="5">
        <v>570</v>
      </c>
      <c r="B569" s="5" t="s">
        <v>1271</v>
      </c>
      <c r="C569" s="5" t="s">
        <v>1272</v>
      </c>
      <c r="D569" s="5" t="s">
        <v>68</v>
      </c>
      <c r="E569" s="5" t="s">
        <v>49</v>
      </c>
      <c r="F569" s="5">
        <v>57635836</v>
      </c>
      <c r="G569" s="5" t="s">
        <v>1146</v>
      </c>
      <c r="H569" s="7">
        <v>45813</v>
      </c>
      <c r="I569" s="7">
        <v>45813</v>
      </c>
      <c r="J569" s="16">
        <v>75</v>
      </c>
      <c r="K569" s="7">
        <v>45840</v>
      </c>
      <c r="L569" s="5" t="s">
        <v>1273</v>
      </c>
      <c r="P569" s="23"/>
    </row>
    <row r="570" spans="1:16" ht="14.4" customHeight="1" x14ac:dyDescent="0.3">
      <c r="A570" s="5">
        <v>571</v>
      </c>
      <c r="B570" s="5" t="s">
        <v>1274</v>
      </c>
      <c r="C570" s="5" t="s">
        <v>1275</v>
      </c>
      <c r="D570" s="5" t="s">
        <v>466</v>
      </c>
      <c r="E570" s="5" t="s">
        <v>466</v>
      </c>
      <c r="F570" s="5">
        <v>57717744</v>
      </c>
      <c r="G570" s="5" t="s">
        <v>1231</v>
      </c>
      <c r="H570" s="7">
        <v>45813</v>
      </c>
      <c r="I570" s="7">
        <v>45813</v>
      </c>
      <c r="J570" s="8">
        <v>150</v>
      </c>
      <c r="K570" s="7">
        <v>45840</v>
      </c>
      <c r="L570" s="5"/>
      <c r="P570" s="23"/>
    </row>
    <row r="571" spans="1:16" ht="14.4" customHeight="1" x14ac:dyDescent="0.3">
      <c r="A571" s="5">
        <v>572</v>
      </c>
      <c r="B571" s="5" t="s">
        <v>1277</v>
      </c>
      <c r="C571" s="5" t="s">
        <v>1278</v>
      </c>
      <c r="D571" s="5" t="s">
        <v>1279</v>
      </c>
      <c r="E571" s="5" t="s">
        <v>1279</v>
      </c>
      <c r="F571" s="5">
        <v>57591340</v>
      </c>
      <c r="G571" s="5" t="s">
        <v>1146</v>
      </c>
      <c r="H571" s="7">
        <v>45813</v>
      </c>
      <c r="I571" s="7">
        <v>45813</v>
      </c>
      <c r="J571" s="16">
        <v>75</v>
      </c>
      <c r="K571" s="7">
        <v>45840</v>
      </c>
      <c r="L571" s="5" t="s">
        <v>1280</v>
      </c>
      <c r="P571" s="23"/>
    </row>
    <row r="572" spans="1:16" ht="14.4" customHeight="1" x14ac:dyDescent="0.3">
      <c r="A572" s="5">
        <v>573</v>
      </c>
      <c r="B572" s="5" t="s">
        <v>1276</v>
      </c>
      <c r="C572" s="5" t="s">
        <v>1281</v>
      </c>
      <c r="D572" s="5" t="s">
        <v>204</v>
      </c>
      <c r="E572" s="5" t="s">
        <v>204</v>
      </c>
      <c r="F572" s="5">
        <v>58247066</v>
      </c>
      <c r="G572" s="5" t="s">
        <v>1146</v>
      </c>
      <c r="H572" s="7">
        <v>45813</v>
      </c>
      <c r="I572" s="7">
        <v>45813</v>
      </c>
      <c r="J572" s="16">
        <v>75</v>
      </c>
      <c r="K572" s="7">
        <v>45840</v>
      </c>
      <c r="L572" s="5" t="s">
        <v>1282</v>
      </c>
      <c r="P572" s="23"/>
    </row>
    <row r="573" spans="1:16" ht="14.4" customHeight="1" x14ac:dyDescent="0.3">
      <c r="A573" s="5">
        <v>574</v>
      </c>
      <c r="B573" s="5" t="s">
        <v>1134</v>
      </c>
      <c r="C573" s="5" t="s">
        <v>1283</v>
      </c>
      <c r="D573" s="5" t="s">
        <v>601</v>
      </c>
      <c r="E573" s="5" t="s">
        <v>546</v>
      </c>
      <c r="F573" s="5">
        <v>57144737</v>
      </c>
      <c r="G573" s="5" t="s">
        <v>963</v>
      </c>
      <c r="H573" s="7">
        <v>45813</v>
      </c>
      <c r="I573" s="7">
        <v>45813</v>
      </c>
      <c r="J573" s="16">
        <v>150</v>
      </c>
      <c r="K573" s="7">
        <v>45840</v>
      </c>
      <c r="L573" s="5"/>
      <c r="P573" s="23"/>
    </row>
    <row r="574" spans="1:16" ht="14.4" customHeight="1" x14ac:dyDescent="0.3">
      <c r="A574" s="5">
        <v>575</v>
      </c>
      <c r="B574" s="5" t="s">
        <v>1284</v>
      </c>
      <c r="C574" s="5" t="s">
        <v>1285</v>
      </c>
      <c r="D574" s="5" t="s">
        <v>68</v>
      </c>
      <c r="E574" s="5" t="s">
        <v>69</v>
      </c>
      <c r="F574" s="5">
        <v>58326513</v>
      </c>
      <c r="G574" s="5" t="s">
        <v>16</v>
      </c>
      <c r="H574" s="7">
        <v>45812</v>
      </c>
      <c r="I574" s="7">
        <v>45813</v>
      </c>
      <c r="J574" s="16">
        <v>150</v>
      </c>
      <c r="K574" s="7">
        <v>45840</v>
      </c>
      <c r="L574" s="5"/>
      <c r="P574" s="23"/>
    </row>
    <row r="575" spans="1:16" ht="14.4" customHeight="1" x14ac:dyDescent="0.3">
      <c r="A575" s="5">
        <v>576</v>
      </c>
      <c r="B575" s="5" t="s">
        <v>1286</v>
      </c>
      <c r="C575" s="5" t="s">
        <v>1287</v>
      </c>
      <c r="D575" s="5" t="s">
        <v>137</v>
      </c>
      <c r="E575" s="5" t="s">
        <v>1279</v>
      </c>
      <c r="F575" s="5">
        <v>57023220</v>
      </c>
      <c r="G575" s="5" t="s">
        <v>16</v>
      </c>
      <c r="H575" s="7">
        <v>45812</v>
      </c>
      <c r="I575" s="7">
        <v>45813</v>
      </c>
      <c r="J575" s="16">
        <v>150</v>
      </c>
      <c r="K575" s="7">
        <v>45840</v>
      </c>
      <c r="L575" s="5"/>
      <c r="P575" s="23"/>
    </row>
    <row r="576" spans="1:16" ht="14.4" customHeight="1" x14ac:dyDescent="0.3">
      <c r="A576" s="5">
        <v>577</v>
      </c>
      <c r="B576" s="5" t="s">
        <v>1288</v>
      </c>
      <c r="C576" s="5" t="s">
        <v>1289</v>
      </c>
      <c r="D576" s="5" t="s">
        <v>475</v>
      </c>
      <c r="E576" s="5" t="s">
        <v>194</v>
      </c>
      <c r="F576" s="5">
        <v>59293243</v>
      </c>
      <c r="G576" s="5" t="s">
        <v>16</v>
      </c>
      <c r="H576" s="7">
        <v>45812</v>
      </c>
      <c r="I576" s="7">
        <v>45813</v>
      </c>
      <c r="J576" s="16">
        <v>150</v>
      </c>
      <c r="K576" s="7">
        <v>45840</v>
      </c>
      <c r="L576" s="5"/>
      <c r="P576" s="23"/>
    </row>
    <row r="577" spans="1:16" ht="14.4" customHeight="1" x14ac:dyDescent="0.3">
      <c r="A577" s="5">
        <v>578</v>
      </c>
      <c r="B577" s="5" t="s">
        <v>1290</v>
      </c>
      <c r="C577" s="5" t="s">
        <v>1291</v>
      </c>
      <c r="D577" s="5" t="s">
        <v>137</v>
      </c>
      <c r="E577" s="5" t="s">
        <v>223</v>
      </c>
      <c r="F577" s="5">
        <v>58094787</v>
      </c>
      <c r="G577" s="5" t="s">
        <v>16</v>
      </c>
      <c r="H577" s="7">
        <v>45812</v>
      </c>
      <c r="I577" s="7">
        <v>45813</v>
      </c>
      <c r="J577" s="16">
        <v>150</v>
      </c>
      <c r="K577" s="7">
        <v>45840</v>
      </c>
      <c r="L577" s="5"/>
      <c r="P577" s="23"/>
    </row>
    <row r="578" spans="1:16" ht="14.4" customHeight="1" x14ac:dyDescent="0.3">
      <c r="A578" s="5">
        <v>579</v>
      </c>
      <c r="B578" s="5" t="s">
        <v>1292</v>
      </c>
      <c r="C578" s="5" t="s">
        <v>1293</v>
      </c>
      <c r="D578" s="5" t="s">
        <v>475</v>
      </c>
      <c r="E578" s="5" t="s">
        <v>807</v>
      </c>
      <c r="F578" s="5">
        <v>59135164</v>
      </c>
      <c r="G578" s="5" t="s">
        <v>16</v>
      </c>
      <c r="H578" s="7">
        <v>45812</v>
      </c>
      <c r="I578" s="7">
        <v>45813</v>
      </c>
      <c r="J578" s="16">
        <v>150</v>
      </c>
      <c r="K578" s="7">
        <v>45840</v>
      </c>
      <c r="L578" s="5"/>
      <c r="P578" s="23"/>
    </row>
    <row r="579" spans="1:16" ht="14.4" customHeight="1" x14ac:dyDescent="0.3">
      <c r="A579" s="5">
        <v>580</v>
      </c>
      <c r="B579" s="5" t="s">
        <v>1294</v>
      </c>
      <c r="C579" s="5" t="s">
        <v>1295</v>
      </c>
      <c r="D579" s="5" t="s">
        <v>68</v>
      </c>
      <c r="E579" s="5" t="s">
        <v>74</v>
      </c>
      <c r="F579" s="5">
        <v>58178429</v>
      </c>
      <c r="G579" s="5" t="s">
        <v>16</v>
      </c>
      <c r="H579" s="7">
        <v>45812</v>
      </c>
      <c r="I579" s="7">
        <v>45813</v>
      </c>
      <c r="J579" s="16">
        <v>150</v>
      </c>
      <c r="K579" s="7">
        <v>45840</v>
      </c>
      <c r="L579" s="5"/>
      <c r="P579" s="23"/>
    </row>
    <row r="580" spans="1:16" ht="14.4" customHeight="1" x14ac:dyDescent="0.3">
      <c r="A580" s="5">
        <v>581</v>
      </c>
      <c r="B580" s="5" t="s">
        <v>1296</v>
      </c>
      <c r="C580" s="5" t="s">
        <v>1297</v>
      </c>
      <c r="D580" s="5" t="s">
        <v>137</v>
      </c>
      <c r="E580" s="5" t="s">
        <v>98</v>
      </c>
      <c r="F580" s="5">
        <v>58823129</v>
      </c>
      <c r="G580" s="5" t="s">
        <v>16</v>
      </c>
      <c r="H580" s="7">
        <v>45812</v>
      </c>
      <c r="I580" s="7">
        <v>45813</v>
      </c>
      <c r="J580" s="16">
        <v>150</v>
      </c>
      <c r="K580" s="7">
        <v>45840</v>
      </c>
      <c r="L580" s="5"/>
      <c r="P580" s="23"/>
    </row>
    <row r="581" spans="1:16" ht="14.4" customHeight="1" x14ac:dyDescent="0.3">
      <c r="A581" s="5">
        <v>582</v>
      </c>
      <c r="B581" s="5" t="s">
        <v>1298</v>
      </c>
      <c r="C581" s="5" t="s">
        <v>1299</v>
      </c>
      <c r="D581" s="5" t="s">
        <v>137</v>
      </c>
      <c r="E581" s="5" t="s">
        <v>77</v>
      </c>
      <c r="F581" s="5">
        <v>57901986</v>
      </c>
      <c r="G581" s="5" t="s">
        <v>16</v>
      </c>
      <c r="H581" s="7">
        <v>45812</v>
      </c>
      <c r="I581" s="7">
        <v>45813</v>
      </c>
      <c r="J581" s="16">
        <v>150</v>
      </c>
      <c r="K581" s="7">
        <v>45840</v>
      </c>
      <c r="L581" s="5"/>
      <c r="P581" s="23"/>
    </row>
    <row r="582" spans="1:16" ht="14.4" customHeight="1" x14ac:dyDescent="0.3">
      <c r="A582" s="5">
        <v>583</v>
      </c>
      <c r="B582" s="5" t="s">
        <v>473</v>
      </c>
      <c r="C582" s="5" t="s">
        <v>1300</v>
      </c>
      <c r="D582" s="5" t="s">
        <v>41</v>
      </c>
      <c r="E582" s="5" t="s">
        <v>126</v>
      </c>
      <c r="F582" s="5">
        <v>58014817</v>
      </c>
      <c r="G582" s="5" t="s">
        <v>16</v>
      </c>
      <c r="H582" s="7">
        <v>45812</v>
      </c>
      <c r="I582" s="7">
        <v>45813</v>
      </c>
      <c r="J582" s="16">
        <v>150</v>
      </c>
      <c r="K582" s="7">
        <v>45840</v>
      </c>
      <c r="L582" s="5"/>
      <c r="P582" s="23"/>
    </row>
    <row r="583" spans="1:16" ht="14.4" customHeight="1" x14ac:dyDescent="0.3">
      <c r="A583" s="5">
        <v>584</v>
      </c>
      <c r="B583" s="5" t="s">
        <v>595</v>
      </c>
      <c r="C583" s="5" t="s">
        <v>1301</v>
      </c>
      <c r="D583" s="5" t="s">
        <v>569</v>
      </c>
      <c r="E583" s="5" t="s">
        <v>1170</v>
      </c>
      <c r="F583" s="5">
        <v>58146306</v>
      </c>
      <c r="G583" s="5" t="s">
        <v>16</v>
      </c>
      <c r="H583" s="7">
        <v>45812</v>
      </c>
      <c r="I583" s="7">
        <v>45813</v>
      </c>
      <c r="J583" s="16">
        <v>150</v>
      </c>
      <c r="K583" s="7">
        <v>45840</v>
      </c>
      <c r="L583" s="5"/>
      <c r="P583" s="23"/>
    </row>
    <row r="584" spans="1:16" ht="14.4" customHeight="1" x14ac:dyDescent="0.3">
      <c r="A584" s="5">
        <v>585</v>
      </c>
      <c r="B584" s="5" t="s">
        <v>1302</v>
      </c>
      <c r="C584" s="5" t="s">
        <v>1303</v>
      </c>
      <c r="D584" s="5" t="s">
        <v>41</v>
      </c>
      <c r="E584" s="5" t="s">
        <v>1304</v>
      </c>
      <c r="F584" s="5">
        <v>59211497</v>
      </c>
      <c r="G584" s="5" t="s">
        <v>16</v>
      </c>
      <c r="H584" s="7">
        <v>45812</v>
      </c>
      <c r="I584" s="7">
        <v>45813</v>
      </c>
      <c r="J584" s="16">
        <v>150</v>
      </c>
      <c r="K584" s="7">
        <v>45840</v>
      </c>
      <c r="L584" s="5"/>
      <c r="P584" s="23"/>
    </row>
    <row r="585" spans="1:16" ht="14.4" customHeight="1" x14ac:dyDescent="0.3">
      <c r="A585" s="5">
        <v>586</v>
      </c>
      <c r="B585" s="5" t="s">
        <v>1305</v>
      </c>
      <c r="C585" s="5" t="s">
        <v>1181</v>
      </c>
      <c r="D585" s="5" t="s">
        <v>569</v>
      </c>
      <c r="E585" s="5" t="s">
        <v>276</v>
      </c>
      <c r="F585" s="5">
        <v>57029805</v>
      </c>
      <c r="G585" s="5" t="s">
        <v>16</v>
      </c>
      <c r="H585" s="7">
        <v>45812</v>
      </c>
      <c r="I585" s="7">
        <v>45813</v>
      </c>
      <c r="J585" s="16">
        <v>150</v>
      </c>
      <c r="K585" s="7">
        <v>45840</v>
      </c>
      <c r="L585" s="5"/>
      <c r="P585" s="23"/>
    </row>
    <row r="586" spans="1:16" ht="14.4" customHeight="1" x14ac:dyDescent="0.3">
      <c r="A586" s="5">
        <v>587</v>
      </c>
      <c r="B586" s="5" t="s">
        <v>1306</v>
      </c>
      <c r="C586" s="5" t="s">
        <v>1307</v>
      </c>
      <c r="D586" s="5" t="s">
        <v>137</v>
      </c>
      <c r="E586" s="5" t="s">
        <v>998</v>
      </c>
      <c r="F586" s="24" t="s">
        <v>1308</v>
      </c>
      <c r="G586" s="5" t="s">
        <v>16</v>
      </c>
      <c r="H586" s="7">
        <v>45812</v>
      </c>
      <c r="I586" s="7">
        <v>45813</v>
      </c>
      <c r="J586" s="16">
        <v>150</v>
      </c>
      <c r="K586" s="7">
        <v>45840</v>
      </c>
      <c r="L586" s="5"/>
      <c r="P586" s="23"/>
    </row>
    <row r="587" spans="1:16" ht="14.4" customHeight="1" x14ac:dyDescent="0.3">
      <c r="A587" s="5">
        <v>588</v>
      </c>
      <c r="B587" s="5" t="s">
        <v>1309</v>
      </c>
      <c r="C587" s="5" t="s">
        <v>1310</v>
      </c>
      <c r="D587" s="5" t="s">
        <v>68</v>
      </c>
      <c r="E587" s="5" t="s">
        <v>49</v>
      </c>
      <c r="F587" s="5">
        <v>58443803</v>
      </c>
      <c r="G587" s="5" t="s">
        <v>16</v>
      </c>
      <c r="H587" s="7">
        <v>45812</v>
      </c>
      <c r="I587" s="7">
        <v>45813</v>
      </c>
      <c r="J587" s="16">
        <v>150</v>
      </c>
      <c r="K587" s="7">
        <v>45840</v>
      </c>
      <c r="L587" s="5"/>
      <c r="P587" s="23"/>
    </row>
    <row r="588" spans="1:16" ht="14.4" customHeight="1" x14ac:dyDescent="0.3">
      <c r="A588" s="5">
        <v>589</v>
      </c>
      <c r="B588" s="5" t="s">
        <v>1311</v>
      </c>
      <c r="C588" s="5" t="s">
        <v>1312</v>
      </c>
      <c r="D588" s="5" t="s">
        <v>68</v>
      </c>
      <c r="E588" s="5" t="s">
        <v>63</v>
      </c>
      <c r="F588" s="5">
        <v>58292958</v>
      </c>
      <c r="G588" s="5" t="s">
        <v>16</v>
      </c>
      <c r="H588" s="7">
        <v>45812</v>
      </c>
      <c r="I588" s="7">
        <v>45813</v>
      </c>
      <c r="J588" s="16">
        <v>150</v>
      </c>
      <c r="K588" s="7">
        <v>45840</v>
      </c>
      <c r="L588" s="5"/>
      <c r="P588" s="23"/>
    </row>
    <row r="589" spans="1:16" ht="14.4" customHeight="1" x14ac:dyDescent="0.3">
      <c r="A589" s="5">
        <v>590</v>
      </c>
      <c r="B589" s="5" t="s">
        <v>1313</v>
      </c>
      <c r="C589" s="5" t="s">
        <v>1314</v>
      </c>
      <c r="D589" s="5" t="s">
        <v>41</v>
      </c>
      <c r="E589" s="5" t="s">
        <v>1315</v>
      </c>
      <c r="F589" s="5">
        <v>57193112</v>
      </c>
      <c r="G589" s="5" t="s">
        <v>16</v>
      </c>
      <c r="H589" s="7">
        <v>45812</v>
      </c>
      <c r="I589" s="7">
        <v>45813</v>
      </c>
      <c r="J589" s="16">
        <v>150</v>
      </c>
      <c r="K589" s="7">
        <v>45840</v>
      </c>
      <c r="L589" s="5"/>
      <c r="P589" s="23"/>
    </row>
    <row r="590" spans="1:16" ht="14.4" customHeight="1" x14ac:dyDescent="0.3">
      <c r="A590" s="5">
        <v>591</v>
      </c>
      <c r="B590" s="5" t="s">
        <v>1316</v>
      </c>
      <c r="C590" s="5" t="s">
        <v>1317</v>
      </c>
      <c r="D590" s="5" t="s">
        <v>601</v>
      </c>
      <c r="E590" s="5" t="s">
        <v>211</v>
      </c>
      <c r="F590" s="24" t="s">
        <v>1318</v>
      </c>
      <c r="G590" s="5" t="s">
        <v>16</v>
      </c>
      <c r="H590" s="7">
        <v>45812</v>
      </c>
      <c r="I590" s="7">
        <v>45813</v>
      </c>
      <c r="J590" s="16">
        <v>150</v>
      </c>
      <c r="K590" s="7">
        <v>45840</v>
      </c>
      <c r="L590" s="5"/>
      <c r="P590" s="23"/>
    </row>
    <row r="591" spans="1:16" ht="14.4" customHeight="1" x14ac:dyDescent="0.3">
      <c r="A591" s="5">
        <v>592</v>
      </c>
      <c r="B591" s="21" t="s">
        <v>1319</v>
      </c>
      <c r="C591" s="21" t="s">
        <v>1321</v>
      </c>
      <c r="D591" s="21" t="s">
        <v>1322</v>
      </c>
      <c r="E591" s="5" t="s">
        <v>1322</v>
      </c>
      <c r="F591" s="21">
        <v>54955604</v>
      </c>
      <c r="G591" s="5" t="s">
        <v>1024</v>
      </c>
      <c r="H591" s="7">
        <v>45812</v>
      </c>
      <c r="I591" s="7">
        <v>45813</v>
      </c>
      <c r="J591" s="16">
        <v>150</v>
      </c>
      <c r="K591" s="7">
        <v>45840</v>
      </c>
      <c r="L591" s="5" t="s">
        <v>1338</v>
      </c>
      <c r="P591" s="23"/>
    </row>
    <row r="592" spans="1:16" ht="14.4" customHeight="1" x14ac:dyDescent="0.3">
      <c r="A592" s="5">
        <v>593</v>
      </c>
      <c r="B592" s="5" t="s">
        <v>1320</v>
      </c>
      <c r="C592" s="5" t="s">
        <v>2843</v>
      </c>
      <c r="D592" s="5" t="s">
        <v>226</v>
      </c>
      <c r="E592" s="5" t="s">
        <v>226</v>
      </c>
      <c r="F592" s="5">
        <v>57703327</v>
      </c>
      <c r="G592" s="5" t="s">
        <v>1024</v>
      </c>
      <c r="H592" s="7">
        <v>45812</v>
      </c>
      <c r="I592" s="7">
        <v>45813</v>
      </c>
      <c r="J592" s="8">
        <v>150</v>
      </c>
      <c r="K592" s="7">
        <v>45840</v>
      </c>
      <c r="L592" s="5"/>
      <c r="P592" s="23"/>
    </row>
    <row r="593" spans="1:16" ht="14.4" customHeight="1" x14ac:dyDescent="0.3">
      <c r="A593" s="5">
        <v>594</v>
      </c>
      <c r="B593" s="5" t="s">
        <v>1326</v>
      </c>
      <c r="C593" s="5" t="s">
        <v>831</v>
      </c>
      <c r="D593" s="5" t="s">
        <v>226</v>
      </c>
      <c r="E593" s="5" t="s">
        <v>226</v>
      </c>
      <c r="F593" s="5">
        <v>58160275</v>
      </c>
      <c r="G593" s="5" t="s">
        <v>16</v>
      </c>
      <c r="H593" s="7">
        <v>45812</v>
      </c>
      <c r="I593" s="7">
        <v>45813</v>
      </c>
      <c r="J593" s="8">
        <v>150</v>
      </c>
      <c r="K593" s="7">
        <v>45840</v>
      </c>
      <c r="L593" s="5"/>
      <c r="P593" s="23"/>
    </row>
    <row r="594" spans="1:16" ht="14.4" customHeight="1" x14ac:dyDescent="0.3">
      <c r="A594" s="5">
        <v>596</v>
      </c>
      <c r="B594" s="5" t="s">
        <v>1328</v>
      </c>
      <c r="C594" s="5" t="s">
        <v>1324</v>
      </c>
      <c r="D594" s="5" t="s">
        <v>68</v>
      </c>
      <c r="E594" s="5" t="s">
        <v>69</v>
      </c>
      <c r="F594" s="5">
        <v>58207040</v>
      </c>
      <c r="G594" s="5" t="s">
        <v>16</v>
      </c>
      <c r="H594" s="7">
        <v>45812</v>
      </c>
      <c r="I594" s="7">
        <v>45813</v>
      </c>
      <c r="J594" s="8">
        <v>150</v>
      </c>
      <c r="K594" s="7">
        <v>45840</v>
      </c>
      <c r="L594" s="5"/>
      <c r="P594" s="23"/>
    </row>
    <row r="595" spans="1:16" ht="14.4" customHeight="1" x14ac:dyDescent="0.3">
      <c r="A595" s="5">
        <v>597</v>
      </c>
      <c r="B595" s="5" t="s">
        <v>1329</v>
      </c>
      <c r="C595" s="5" t="s">
        <v>1331</v>
      </c>
      <c r="D595" s="5" t="s">
        <v>1332</v>
      </c>
      <c r="E595" s="5" t="s">
        <v>84</v>
      </c>
      <c r="F595" s="5">
        <v>57613687</v>
      </c>
      <c r="G595" s="5" t="s">
        <v>16</v>
      </c>
      <c r="H595" s="7">
        <v>45812</v>
      </c>
      <c r="I595" s="7">
        <v>45813</v>
      </c>
      <c r="J595" s="8">
        <v>150</v>
      </c>
      <c r="K595" s="7">
        <v>45840</v>
      </c>
      <c r="L595" s="5"/>
      <c r="P595" s="23"/>
    </row>
    <row r="596" spans="1:16" ht="14.4" customHeight="1" x14ac:dyDescent="0.3">
      <c r="A596" s="5">
        <v>598</v>
      </c>
      <c r="B596" s="5" t="s">
        <v>694</v>
      </c>
      <c r="C596" s="5" t="s">
        <v>695</v>
      </c>
      <c r="D596" s="5" t="s">
        <v>1333</v>
      </c>
      <c r="E596" s="5" t="s">
        <v>696</v>
      </c>
      <c r="F596" s="5">
        <v>57025491</v>
      </c>
      <c r="G596" s="5" t="s">
        <v>16</v>
      </c>
      <c r="H596" s="7">
        <v>45812</v>
      </c>
      <c r="I596" s="7">
        <v>45813</v>
      </c>
      <c r="J596" s="8">
        <v>150</v>
      </c>
      <c r="K596" s="7">
        <v>45840</v>
      </c>
      <c r="L596" s="5"/>
      <c r="P596" s="23"/>
    </row>
    <row r="597" spans="1:16" ht="14.4" customHeight="1" x14ac:dyDescent="0.3">
      <c r="A597" s="5">
        <v>599</v>
      </c>
      <c r="B597" s="5" t="s">
        <v>1334</v>
      </c>
      <c r="C597" s="5" t="s">
        <v>1335</v>
      </c>
      <c r="D597" s="5" t="s">
        <v>1336</v>
      </c>
      <c r="E597" s="5" t="s">
        <v>291</v>
      </c>
      <c r="F597" s="5">
        <v>57517168</v>
      </c>
      <c r="G597" s="5" t="s">
        <v>1231</v>
      </c>
      <c r="H597" s="7">
        <v>45813</v>
      </c>
      <c r="I597" s="7">
        <v>45813</v>
      </c>
      <c r="J597" s="8">
        <v>150</v>
      </c>
      <c r="K597" s="7">
        <v>45840</v>
      </c>
      <c r="L597" s="5" t="s">
        <v>1337</v>
      </c>
      <c r="P597" s="23"/>
    </row>
    <row r="598" spans="1:16" ht="14.4" customHeight="1" x14ac:dyDescent="0.3">
      <c r="A598" s="5">
        <v>595</v>
      </c>
      <c r="B598" s="5" t="s">
        <v>1327</v>
      </c>
      <c r="C598" s="5" t="s">
        <v>1325</v>
      </c>
      <c r="D598" s="5" t="s">
        <v>1330</v>
      </c>
      <c r="E598" s="5" t="s">
        <v>251</v>
      </c>
      <c r="F598" s="5">
        <v>58263578</v>
      </c>
      <c r="G598" s="5" t="s">
        <v>16</v>
      </c>
      <c r="H598" s="7">
        <v>45812</v>
      </c>
      <c r="I598" s="7">
        <v>45817</v>
      </c>
      <c r="J598" s="8">
        <v>150</v>
      </c>
      <c r="K598" s="7">
        <v>45840</v>
      </c>
      <c r="L598" s="5"/>
      <c r="P598" s="23"/>
    </row>
    <row r="599" spans="1:16" ht="14.4" customHeight="1" x14ac:dyDescent="0.3">
      <c r="A599" s="5">
        <v>600</v>
      </c>
      <c r="B599" s="5" t="s">
        <v>1355</v>
      </c>
      <c r="C599" s="5" t="s">
        <v>1356</v>
      </c>
      <c r="D599" s="5" t="s">
        <v>84</v>
      </c>
      <c r="E599" s="5" t="s">
        <v>791</v>
      </c>
      <c r="F599" s="5">
        <v>57078879</v>
      </c>
      <c r="G599" s="5" t="s">
        <v>16</v>
      </c>
      <c r="H599" s="7">
        <v>45816</v>
      </c>
      <c r="I599" s="7">
        <v>45817</v>
      </c>
      <c r="J599" s="8">
        <v>150</v>
      </c>
      <c r="K599" s="7">
        <v>45840</v>
      </c>
      <c r="L599" s="5"/>
      <c r="P599" s="23"/>
    </row>
    <row r="600" spans="1:16" ht="14.4" customHeight="1" x14ac:dyDescent="0.3">
      <c r="A600" s="5">
        <v>601</v>
      </c>
      <c r="B600" s="5" t="s">
        <v>1387</v>
      </c>
      <c r="C600" s="5" t="s">
        <v>1388</v>
      </c>
      <c r="D600" s="5" t="s">
        <v>137</v>
      </c>
      <c r="E600" s="5" t="s">
        <v>1389</v>
      </c>
      <c r="F600" s="5">
        <v>52504968</v>
      </c>
      <c r="G600" s="5" t="s">
        <v>16</v>
      </c>
      <c r="H600" s="7">
        <v>45816</v>
      </c>
      <c r="I600" s="7">
        <v>45817</v>
      </c>
      <c r="J600" s="8">
        <v>150</v>
      </c>
      <c r="K600" s="7">
        <v>45840</v>
      </c>
      <c r="L600" s="5"/>
      <c r="P600" s="23"/>
    </row>
    <row r="601" spans="1:16" ht="14.4" customHeight="1" x14ac:dyDescent="0.3">
      <c r="A601" s="5">
        <v>602</v>
      </c>
      <c r="B601" s="5" t="s">
        <v>1405</v>
      </c>
      <c r="C601" s="5" t="s">
        <v>1406</v>
      </c>
      <c r="D601" s="5" t="s">
        <v>601</v>
      </c>
      <c r="E601" s="5" t="s">
        <v>1369</v>
      </c>
      <c r="F601" s="5">
        <v>59047514</v>
      </c>
      <c r="G601" s="5" t="s">
        <v>16</v>
      </c>
      <c r="H601" s="7">
        <v>45816</v>
      </c>
      <c r="I601" s="7">
        <v>45817</v>
      </c>
      <c r="J601" s="8">
        <v>150</v>
      </c>
      <c r="K601" s="7">
        <v>45840</v>
      </c>
      <c r="L601" s="5"/>
      <c r="P601" s="23"/>
    </row>
    <row r="602" spans="1:16" ht="14.4" customHeight="1" x14ac:dyDescent="0.3">
      <c r="A602" s="5">
        <v>603</v>
      </c>
      <c r="B602" s="5" t="s">
        <v>1413</v>
      </c>
      <c r="C602" s="5" t="s">
        <v>1414</v>
      </c>
      <c r="D602" s="5" t="s">
        <v>601</v>
      </c>
      <c r="E602" s="5" t="s">
        <v>1415</v>
      </c>
      <c r="F602" s="5">
        <v>58156468</v>
      </c>
      <c r="G602" s="5" t="s">
        <v>16</v>
      </c>
      <c r="H602" s="7">
        <v>45816</v>
      </c>
      <c r="I602" s="7">
        <v>45817</v>
      </c>
      <c r="J602" s="8">
        <v>150</v>
      </c>
      <c r="K602" s="7">
        <v>45840</v>
      </c>
      <c r="L602" s="5"/>
      <c r="P602" s="23"/>
    </row>
    <row r="603" spans="1:16" ht="14.4" customHeight="1" x14ac:dyDescent="0.3">
      <c r="A603" s="5">
        <v>604</v>
      </c>
      <c r="B603" s="5" t="s">
        <v>1390</v>
      </c>
      <c r="C603" s="5" t="s">
        <v>1391</v>
      </c>
      <c r="D603" s="5" t="s">
        <v>569</v>
      </c>
      <c r="E603" s="5" t="s">
        <v>368</v>
      </c>
      <c r="F603" s="5">
        <v>57848823</v>
      </c>
      <c r="G603" s="5" t="s">
        <v>16</v>
      </c>
      <c r="H603" s="7">
        <v>45816</v>
      </c>
      <c r="I603" s="7">
        <v>45817</v>
      </c>
      <c r="J603" s="8">
        <v>150</v>
      </c>
      <c r="K603" s="7">
        <v>45840</v>
      </c>
      <c r="L603" s="5"/>
      <c r="P603" s="23"/>
    </row>
    <row r="604" spans="1:16" ht="14.4" customHeight="1" x14ac:dyDescent="0.3">
      <c r="A604" s="5">
        <v>605</v>
      </c>
      <c r="B604" s="5" t="s">
        <v>1374</v>
      </c>
      <c r="C604" s="5" t="s">
        <v>1375</v>
      </c>
      <c r="D604" s="5" t="s">
        <v>68</v>
      </c>
      <c r="E604" s="5" t="s">
        <v>69</v>
      </c>
      <c r="F604" s="5">
        <v>58222874</v>
      </c>
      <c r="G604" s="5" t="s">
        <v>16</v>
      </c>
      <c r="H604" s="7">
        <v>45816</v>
      </c>
      <c r="I604" s="7">
        <v>45817</v>
      </c>
      <c r="J604" s="8">
        <v>150</v>
      </c>
      <c r="K604" s="7">
        <v>45840</v>
      </c>
      <c r="L604" s="5"/>
      <c r="P604" s="23"/>
    </row>
    <row r="605" spans="1:16" ht="14.4" customHeight="1" x14ac:dyDescent="0.3">
      <c r="A605" s="5">
        <v>607</v>
      </c>
      <c r="B605" s="5" t="s">
        <v>1392</v>
      </c>
      <c r="C605" s="5" t="s">
        <v>1393</v>
      </c>
      <c r="D605" s="5" t="s">
        <v>569</v>
      </c>
      <c r="E605" s="5" t="s">
        <v>782</v>
      </c>
      <c r="F605" s="5">
        <v>58167542</v>
      </c>
      <c r="G605" s="5" t="s">
        <v>16</v>
      </c>
      <c r="H605" s="7">
        <v>45816</v>
      </c>
      <c r="I605" s="7">
        <v>45817</v>
      </c>
      <c r="J605" s="8">
        <v>150</v>
      </c>
      <c r="K605" s="7">
        <v>45840</v>
      </c>
      <c r="L605" s="5"/>
      <c r="P605" s="23"/>
    </row>
    <row r="606" spans="1:16" ht="14.4" customHeight="1" x14ac:dyDescent="0.3">
      <c r="A606" s="5">
        <v>608</v>
      </c>
      <c r="B606" s="5" t="s">
        <v>1381</v>
      </c>
      <c r="C606" s="5" t="s">
        <v>1382</v>
      </c>
      <c r="D606" s="5" t="s">
        <v>137</v>
      </c>
      <c r="E606" s="5" t="s">
        <v>458</v>
      </c>
      <c r="F606" s="5">
        <v>58396495</v>
      </c>
      <c r="G606" s="5" t="s">
        <v>16</v>
      </c>
      <c r="H606" s="7">
        <v>45816</v>
      </c>
      <c r="I606" s="7">
        <v>45817</v>
      </c>
      <c r="J606" s="8">
        <v>150</v>
      </c>
      <c r="K606" s="7">
        <v>45840</v>
      </c>
      <c r="L606" s="5"/>
      <c r="P606" s="23"/>
    </row>
    <row r="607" spans="1:16" ht="14.4" customHeight="1" x14ac:dyDescent="0.3">
      <c r="A607" s="5">
        <v>609</v>
      </c>
      <c r="B607" s="5" t="s">
        <v>1403</v>
      </c>
      <c r="C607" s="5" t="s">
        <v>1404</v>
      </c>
      <c r="D607" s="5" t="s">
        <v>68</v>
      </c>
      <c r="E607" s="5" t="s">
        <v>49</v>
      </c>
      <c r="F607" s="5">
        <v>57830376</v>
      </c>
      <c r="G607" s="5" t="s">
        <v>16</v>
      </c>
      <c r="H607" s="7">
        <v>45816</v>
      </c>
      <c r="I607" s="7">
        <v>45817</v>
      </c>
      <c r="J607" s="8">
        <v>150</v>
      </c>
      <c r="K607" s="7">
        <v>45840</v>
      </c>
      <c r="L607" s="5"/>
      <c r="P607" s="23"/>
    </row>
    <row r="608" spans="1:16" ht="14.4" customHeight="1" x14ac:dyDescent="0.3">
      <c r="A608" s="5">
        <v>611</v>
      </c>
      <c r="B608" s="5" t="s">
        <v>1367</v>
      </c>
      <c r="C608" s="5" t="s">
        <v>1368</v>
      </c>
      <c r="D608" s="5" t="s">
        <v>601</v>
      </c>
      <c r="E608" s="5" t="s">
        <v>1369</v>
      </c>
      <c r="F608" s="5">
        <v>57637943</v>
      </c>
      <c r="G608" s="5" t="s">
        <v>16</v>
      </c>
      <c r="H608" s="7">
        <v>45816</v>
      </c>
      <c r="I608" s="7">
        <v>45817</v>
      </c>
      <c r="J608" s="8">
        <v>150</v>
      </c>
      <c r="K608" s="7">
        <v>45840</v>
      </c>
      <c r="L608" s="5"/>
      <c r="P608" s="23"/>
    </row>
    <row r="609" spans="1:16" ht="14.4" customHeight="1" x14ac:dyDescent="0.3">
      <c r="A609" s="5">
        <v>612</v>
      </c>
      <c r="B609" s="5" t="s">
        <v>1394</v>
      </c>
      <c r="C609" s="5" t="s">
        <v>1395</v>
      </c>
      <c r="D609" s="5" t="s">
        <v>68</v>
      </c>
      <c r="E609" s="5" t="s">
        <v>69</v>
      </c>
      <c r="F609" s="5">
        <v>57868386</v>
      </c>
      <c r="G609" s="5" t="s">
        <v>16</v>
      </c>
      <c r="H609" s="7">
        <v>45816</v>
      </c>
      <c r="I609" s="7">
        <v>45817</v>
      </c>
      <c r="J609" s="8">
        <v>150</v>
      </c>
      <c r="K609" s="7">
        <v>45840</v>
      </c>
      <c r="L609" s="5"/>
      <c r="P609" s="23"/>
    </row>
    <row r="610" spans="1:16" ht="14.4" customHeight="1" x14ac:dyDescent="0.3">
      <c r="A610" s="5">
        <v>613</v>
      </c>
      <c r="B610" s="5" t="s">
        <v>1361</v>
      </c>
      <c r="C610" s="5" t="s">
        <v>1362</v>
      </c>
      <c r="D610" s="5" t="s">
        <v>68</v>
      </c>
      <c r="E610" s="5" t="s">
        <v>226</v>
      </c>
      <c r="F610" s="5">
        <v>57582607</v>
      </c>
      <c r="G610" s="5" t="s">
        <v>16</v>
      </c>
      <c r="H610" s="7">
        <v>45816</v>
      </c>
      <c r="I610" s="7">
        <v>45817</v>
      </c>
      <c r="J610" s="8">
        <v>150</v>
      </c>
      <c r="K610" s="7">
        <v>45840</v>
      </c>
      <c r="L610" s="5"/>
      <c r="P610" s="23"/>
    </row>
    <row r="611" spans="1:16" ht="14.4" customHeight="1" x14ac:dyDescent="0.3">
      <c r="A611" s="5">
        <v>614</v>
      </c>
      <c r="B611" s="5" t="s">
        <v>848</v>
      </c>
      <c r="C611" s="5" t="s">
        <v>849</v>
      </c>
      <c r="D611" s="5" t="s">
        <v>601</v>
      </c>
      <c r="E611" s="5" t="s">
        <v>262</v>
      </c>
      <c r="F611" s="5">
        <v>59152550</v>
      </c>
      <c r="G611" s="5" t="s">
        <v>16</v>
      </c>
      <c r="H611" s="7">
        <v>45816</v>
      </c>
      <c r="I611" s="7">
        <v>45817</v>
      </c>
      <c r="J611" s="8">
        <v>150</v>
      </c>
      <c r="K611" s="7">
        <v>45840</v>
      </c>
      <c r="L611" s="5"/>
      <c r="P611" s="23"/>
    </row>
    <row r="612" spans="1:16" ht="14.4" customHeight="1" x14ac:dyDescent="0.3">
      <c r="A612" s="5">
        <v>615</v>
      </c>
      <c r="B612" s="5" t="s">
        <v>1409</v>
      </c>
      <c r="C612" s="5" t="s">
        <v>1410</v>
      </c>
      <c r="D612" s="5" t="s">
        <v>68</v>
      </c>
      <c r="E612" s="5" t="s">
        <v>69</v>
      </c>
      <c r="F612" s="5">
        <v>58165100</v>
      </c>
      <c r="G612" s="5" t="s">
        <v>16</v>
      </c>
      <c r="H612" s="7">
        <v>45816</v>
      </c>
      <c r="I612" s="7">
        <v>45817</v>
      </c>
      <c r="J612" s="8">
        <v>150</v>
      </c>
      <c r="K612" s="7">
        <v>45840</v>
      </c>
      <c r="L612" s="5"/>
      <c r="P612" s="23"/>
    </row>
    <row r="613" spans="1:16" ht="14.4" customHeight="1" x14ac:dyDescent="0.3">
      <c r="A613" s="5">
        <v>616</v>
      </c>
      <c r="B613" s="5" t="s">
        <v>1370</v>
      </c>
      <c r="C613" s="5" t="s">
        <v>1371</v>
      </c>
      <c r="D613" s="5" t="s">
        <v>569</v>
      </c>
      <c r="E613" s="5" t="s">
        <v>276</v>
      </c>
      <c r="F613" s="24" t="s">
        <v>1353</v>
      </c>
      <c r="G613" s="5" t="s">
        <v>16</v>
      </c>
      <c r="H613" s="7">
        <v>45816</v>
      </c>
      <c r="I613" s="7">
        <v>45817</v>
      </c>
      <c r="J613" s="8">
        <v>150</v>
      </c>
      <c r="K613" s="7">
        <v>45840</v>
      </c>
      <c r="L613" s="5"/>
      <c r="P613" s="23"/>
    </row>
    <row r="614" spans="1:16" ht="14.4" customHeight="1" x14ac:dyDescent="0.3">
      <c r="A614" s="5">
        <v>617</v>
      </c>
      <c r="B614" s="5" t="s">
        <v>1385</v>
      </c>
      <c r="C614" s="5" t="s">
        <v>1386</v>
      </c>
      <c r="D614" s="5" t="s">
        <v>68</v>
      </c>
      <c r="E614" s="5" t="s">
        <v>226</v>
      </c>
      <c r="F614" s="5">
        <v>57863298</v>
      </c>
      <c r="G614" s="5" t="s">
        <v>16</v>
      </c>
      <c r="H614" s="7">
        <v>45816</v>
      </c>
      <c r="I614" s="7">
        <v>45817</v>
      </c>
      <c r="J614" s="8">
        <v>150</v>
      </c>
      <c r="K614" s="7">
        <v>45840</v>
      </c>
      <c r="L614" s="5"/>
      <c r="P614" s="23"/>
    </row>
    <row r="615" spans="1:16" ht="14.4" customHeight="1" x14ac:dyDescent="0.3">
      <c r="A615" s="5">
        <v>618</v>
      </c>
      <c r="B615" s="5" t="s">
        <v>1383</v>
      </c>
      <c r="C615" s="5" t="s">
        <v>1384</v>
      </c>
      <c r="D615" s="5" t="s">
        <v>68</v>
      </c>
      <c r="E615" s="5" t="s">
        <v>226</v>
      </c>
      <c r="F615" s="5">
        <v>57257131</v>
      </c>
      <c r="G615" s="5" t="s">
        <v>16</v>
      </c>
      <c r="H615" s="7">
        <v>45816</v>
      </c>
      <c r="I615" s="7">
        <v>45817</v>
      </c>
      <c r="J615" s="8">
        <v>150</v>
      </c>
      <c r="K615" s="7">
        <v>45840</v>
      </c>
      <c r="L615" s="5"/>
      <c r="P615" s="23"/>
    </row>
    <row r="616" spans="1:16" ht="14.4" customHeight="1" x14ac:dyDescent="0.3">
      <c r="A616" s="5">
        <v>619</v>
      </c>
      <c r="B616" s="5" t="s">
        <v>1379</v>
      </c>
      <c r="C616" s="5" t="s">
        <v>1380</v>
      </c>
      <c r="D616" s="5" t="s">
        <v>601</v>
      </c>
      <c r="E616" s="5" t="s">
        <v>634</v>
      </c>
      <c r="F616" s="5">
        <v>58139885</v>
      </c>
      <c r="G616" s="5" t="s">
        <v>16</v>
      </c>
      <c r="H616" s="7">
        <v>45816</v>
      </c>
      <c r="I616" s="7">
        <v>45817</v>
      </c>
      <c r="J616" s="8">
        <v>150</v>
      </c>
      <c r="K616" s="7">
        <v>45840</v>
      </c>
      <c r="L616" s="5"/>
      <c r="P616" s="23"/>
    </row>
    <row r="617" spans="1:16" ht="14.4" customHeight="1" x14ac:dyDescent="0.3">
      <c r="A617" s="5">
        <v>620</v>
      </c>
      <c r="B617" s="5" t="s">
        <v>1407</v>
      </c>
      <c r="C617" s="5" t="s">
        <v>1408</v>
      </c>
      <c r="D617" s="5" t="s">
        <v>68</v>
      </c>
      <c r="E617" s="5" t="s">
        <v>49</v>
      </c>
      <c r="F617" s="5">
        <v>59395156</v>
      </c>
      <c r="G617" s="5" t="s">
        <v>16</v>
      </c>
      <c r="H617" s="7">
        <v>45816</v>
      </c>
      <c r="I617" s="7">
        <v>45817</v>
      </c>
      <c r="J617" s="8">
        <v>150</v>
      </c>
      <c r="K617" s="7">
        <v>45840</v>
      </c>
      <c r="L617" s="5"/>
      <c r="P617" s="23"/>
    </row>
    <row r="618" spans="1:16" ht="14.4" customHeight="1" x14ac:dyDescent="0.3">
      <c r="A618" s="5">
        <v>621</v>
      </c>
      <c r="B618" s="5" t="s">
        <v>1365</v>
      </c>
      <c r="C618" s="5" t="s">
        <v>1366</v>
      </c>
      <c r="D618" s="5" t="s">
        <v>601</v>
      </c>
      <c r="E618" s="5" t="s">
        <v>259</v>
      </c>
      <c r="F618" s="5">
        <v>58336735</v>
      </c>
      <c r="G618" s="5" t="s">
        <v>16</v>
      </c>
      <c r="H618" s="7">
        <v>45816</v>
      </c>
      <c r="I618" s="7">
        <v>45817</v>
      </c>
      <c r="J618" s="8">
        <v>150</v>
      </c>
      <c r="K618" s="7">
        <v>45840</v>
      </c>
      <c r="L618" s="5"/>
      <c r="P618" s="23"/>
    </row>
    <row r="619" spans="1:16" ht="14.4" customHeight="1" x14ac:dyDescent="0.3">
      <c r="A619" s="5">
        <v>622</v>
      </c>
      <c r="B619" s="5" t="s">
        <v>1396</v>
      </c>
      <c r="C619" s="5" t="s">
        <v>1397</v>
      </c>
      <c r="D619" s="5" t="s">
        <v>68</v>
      </c>
      <c r="E619" s="5" t="s">
        <v>2392</v>
      </c>
      <c r="F619" s="5">
        <v>55157679</v>
      </c>
      <c r="G619" s="5" t="s">
        <v>16</v>
      </c>
      <c r="H619" s="7">
        <v>45816</v>
      </c>
      <c r="I619" s="7">
        <v>45817</v>
      </c>
      <c r="J619" s="8">
        <v>150</v>
      </c>
      <c r="K619" s="7">
        <v>45840</v>
      </c>
      <c r="L619" s="5"/>
      <c r="P619" s="23"/>
    </row>
    <row r="620" spans="1:16" ht="14.4" customHeight="1" x14ac:dyDescent="0.3">
      <c r="A620" s="5">
        <v>623</v>
      </c>
      <c r="B620" s="5" t="s">
        <v>905</v>
      </c>
      <c r="C620" s="5" t="s">
        <v>906</v>
      </c>
      <c r="D620" s="5" t="s">
        <v>68</v>
      </c>
      <c r="E620" s="5" t="s">
        <v>63</v>
      </c>
      <c r="F620" s="5">
        <v>57615763</v>
      </c>
      <c r="G620" s="5" t="s">
        <v>16</v>
      </c>
      <c r="H620" s="7">
        <v>45816</v>
      </c>
      <c r="I620" s="7">
        <v>45817</v>
      </c>
      <c r="J620" s="8">
        <v>150</v>
      </c>
      <c r="K620" s="7">
        <v>45840</v>
      </c>
      <c r="L620" s="5"/>
      <c r="P620" s="23"/>
    </row>
    <row r="621" spans="1:16" ht="14.4" customHeight="1" x14ac:dyDescent="0.3">
      <c r="A621" s="5">
        <v>624</v>
      </c>
      <c r="B621" s="5" t="s">
        <v>1359</v>
      </c>
      <c r="C621" s="5" t="s">
        <v>1360</v>
      </c>
      <c r="D621" s="5" t="s">
        <v>569</v>
      </c>
      <c r="E621" s="5" t="s">
        <v>276</v>
      </c>
      <c r="F621" s="5">
        <v>59251093</v>
      </c>
      <c r="G621" s="5" t="s">
        <v>16</v>
      </c>
      <c r="H621" s="7">
        <v>45816</v>
      </c>
      <c r="I621" s="7">
        <v>45817</v>
      </c>
      <c r="J621" s="8">
        <v>150</v>
      </c>
      <c r="K621" s="7">
        <v>45840</v>
      </c>
      <c r="L621" s="5"/>
      <c r="P621" s="23"/>
    </row>
    <row r="622" spans="1:16" ht="14.4" customHeight="1" x14ac:dyDescent="0.3">
      <c r="A622" s="5">
        <v>625</v>
      </c>
      <c r="B622" s="5" t="s">
        <v>1401</v>
      </c>
      <c r="C622" s="5" t="s">
        <v>1402</v>
      </c>
      <c r="D622" s="5" t="s">
        <v>601</v>
      </c>
      <c r="E622" s="5" t="s">
        <v>659</v>
      </c>
      <c r="F622" s="5">
        <v>59163093</v>
      </c>
      <c r="G622" s="5" t="s">
        <v>16</v>
      </c>
      <c r="H622" s="7">
        <v>45816</v>
      </c>
      <c r="I622" s="7">
        <v>45817</v>
      </c>
      <c r="J622" s="8">
        <v>150</v>
      </c>
      <c r="K622" s="7">
        <v>45840</v>
      </c>
      <c r="L622" s="5"/>
      <c r="P622" s="23"/>
    </row>
    <row r="623" spans="1:16" ht="14.4" customHeight="1" x14ac:dyDescent="0.3">
      <c r="A623" s="5">
        <v>626</v>
      </c>
      <c r="B623" s="5" t="s">
        <v>1363</v>
      </c>
      <c r="C623" s="5" t="s">
        <v>1364</v>
      </c>
      <c r="D623" s="5" t="s">
        <v>137</v>
      </c>
      <c r="E623" s="5" t="s">
        <v>223</v>
      </c>
      <c r="F623" s="5">
        <v>57699801</v>
      </c>
      <c r="G623" s="5" t="s">
        <v>16</v>
      </c>
      <c r="H623" s="7">
        <v>45816</v>
      </c>
      <c r="I623" s="7">
        <v>45817</v>
      </c>
      <c r="J623" s="8">
        <v>150</v>
      </c>
      <c r="K623" s="7">
        <v>45840</v>
      </c>
      <c r="L623" s="5"/>
      <c r="P623" s="23"/>
    </row>
    <row r="624" spans="1:16" ht="14.4" customHeight="1" x14ac:dyDescent="0.3">
      <c r="A624" s="5">
        <v>627</v>
      </c>
      <c r="B624" s="5" t="s">
        <v>1399</v>
      </c>
      <c r="C624" s="5" t="s">
        <v>1400</v>
      </c>
      <c r="D624" s="5" t="s">
        <v>68</v>
      </c>
      <c r="E624" s="5" t="s">
        <v>74</v>
      </c>
      <c r="F624" s="5">
        <v>58046068</v>
      </c>
      <c r="G624" s="5" t="s">
        <v>16</v>
      </c>
      <c r="H624" s="7">
        <v>45816</v>
      </c>
      <c r="I624" s="7">
        <v>45817</v>
      </c>
      <c r="J624" s="8">
        <v>150</v>
      </c>
      <c r="K624" s="7">
        <v>45840</v>
      </c>
      <c r="L624" s="5"/>
      <c r="P624" s="23"/>
    </row>
    <row r="625" spans="1:16" ht="14.4" customHeight="1" x14ac:dyDescent="0.3">
      <c r="A625" s="5">
        <v>628</v>
      </c>
      <c r="B625" s="5" t="s">
        <v>1357</v>
      </c>
      <c r="C625" s="5" t="s">
        <v>1358</v>
      </c>
      <c r="D625" s="5" t="s">
        <v>137</v>
      </c>
      <c r="E625" s="5" t="s">
        <v>223</v>
      </c>
      <c r="F625" s="5">
        <v>59444636</v>
      </c>
      <c r="G625" s="5" t="s">
        <v>16</v>
      </c>
      <c r="H625" s="7">
        <v>45816</v>
      </c>
      <c r="I625" s="7">
        <v>45817</v>
      </c>
      <c r="J625" s="8">
        <v>150</v>
      </c>
      <c r="K625" s="7">
        <v>45840</v>
      </c>
      <c r="L625" s="5"/>
      <c r="P625" s="23"/>
    </row>
    <row r="626" spans="1:16" ht="14.4" customHeight="1" x14ac:dyDescent="0.3">
      <c r="A626" s="5">
        <v>629</v>
      </c>
      <c r="B626" s="5" t="s">
        <v>1411</v>
      </c>
      <c r="C626" s="5" t="s">
        <v>1412</v>
      </c>
      <c r="D626" s="5" t="s">
        <v>68</v>
      </c>
      <c r="E626" s="5" t="s">
        <v>63</v>
      </c>
      <c r="F626" s="5">
        <v>57501485</v>
      </c>
      <c r="G626" s="5" t="s">
        <v>16</v>
      </c>
      <c r="H626" s="7">
        <v>45816</v>
      </c>
      <c r="I626" s="7">
        <v>45817</v>
      </c>
      <c r="J626" s="8">
        <v>150</v>
      </c>
      <c r="K626" s="7">
        <v>45840</v>
      </c>
      <c r="L626" s="5"/>
      <c r="P626" s="23"/>
    </row>
    <row r="627" spans="1:16" ht="14.4" customHeight="1" x14ac:dyDescent="0.3">
      <c r="A627" s="5">
        <v>630</v>
      </c>
      <c r="B627" s="5" t="s">
        <v>698</v>
      </c>
      <c r="C627" s="5" t="s">
        <v>699</v>
      </c>
      <c r="D627" s="5" t="s">
        <v>137</v>
      </c>
      <c r="E627" s="5" t="s">
        <v>77</v>
      </c>
      <c r="F627" s="5">
        <v>58304085</v>
      </c>
      <c r="G627" s="5" t="s">
        <v>16</v>
      </c>
      <c r="H627" s="7">
        <v>45816</v>
      </c>
      <c r="I627" s="7">
        <v>45817</v>
      </c>
      <c r="J627" s="8">
        <v>150</v>
      </c>
      <c r="K627" s="7">
        <v>45840</v>
      </c>
      <c r="L627" s="5"/>
      <c r="P627" s="23"/>
    </row>
    <row r="628" spans="1:16" ht="14.4" customHeight="1" x14ac:dyDescent="0.3">
      <c r="A628" s="5">
        <v>631</v>
      </c>
      <c r="B628" s="5" t="s">
        <v>1376</v>
      </c>
      <c r="C628" s="5" t="s">
        <v>1377</v>
      </c>
      <c r="D628" s="5" t="s">
        <v>903</v>
      </c>
      <c r="E628" s="5" t="s">
        <v>1378</v>
      </c>
      <c r="F628" s="5">
        <v>57032342</v>
      </c>
      <c r="G628" s="5" t="s">
        <v>16</v>
      </c>
      <c r="H628" s="7">
        <v>45816</v>
      </c>
      <c r="I628" s="7">
        <v>45817</v>
      </c>
      <c r="J628" s="8">
        <v>150</v>
      </c>
      <c r="K628" s="7">
        <v>45840</v>
      </c>
      <c r="L628" s="5"/>
      <c r="P628" s="23"/>
    </row>
    <row r="629" spans="1:16" ht="14.4" customHeight="1" x14ac:dyDescent="0.3">
      <c r="A629" s="5">
        <v>632</v>
      </c>
      <c r="B629" s="5" t="s">
        <v>1417</v>
      </c>
      <c r="C629" s="5" t="s">
        <v>651</v>
      </c>
      <c r="D629" s="5" t="s">
        <v>569</v>
      </c>
      <c r="E629" s="5" t="s">
        <v>291</v>
      </c>
      <c r="F629" s="5">
        <v>57722084</v>
      </c>
      <c r="G629" s="5" t="s">
        <v>16</v>
      </c>
      <c r="H629" s="7">
        <v>45816</v>
      </c>
      <c r="I629" s="7">
        <v>45817</v>
      </c>
      <c r="J629" s="8">
        <v>150</v>
      </c>
      <c r="K629" s="7">
        <v>45840</v>
      </c>
      <c r="L629" s="5"/>
      <c r="P629" s="23"/>
    </row>
    <row r="630" spans="1:16" ht="14.4" customHeight="1" x14ac:dyDescent="0.3">
      <c r="A630" s="5">
        <v>633</v>
      </c>
      <c r="B630" s="5" t="s">
        <v>456</v>
      </c>
      <c r="C630" s="5" t="s">
        <v>457</v>
      </c>
      <c r="D630" s="5" t="s">
        <v>137</v>
      </c>
      <c r="E630" s="5" t="s">
        <v>458</v>
      </c>
      <c r="F630" s="5">
        <v>59188047</v>
      </c>
      <c r="G630" s="5" t="s">
        <v>16</v>
      </c>
      <c r="H630" s="7">
        <v>45816</v>
      </c>
      <c r="I630" s="7">
        <v>45817</v>
      </c>
      <c r="J630" s="8">
        <v>150</v>
      </c>
      <c r="K630" s="7">
        <v>45840</v>
      </c>
      <c r="L630" s="5"/>
      <c r="P630" s="23"/>
    </row>
    <row r="631" spans="1:16" ht="14.4" customHeight="1" x14ac:dyDescent="0.3">
      <c r="A631" s="5">
        <v>634</v>
      </c>
      <c r="B631" s="5" t="s">
        <v>1350</v>
      </c>
      <c r="C631" s="5" t="s">
        <v>1351</v>
      </c>
      <c r="D631" s="5" t="s">
        <v>101</v>
      </c>
      <c r="E631" s="5" t="s">
        <v>101</v>
      </c>
      <c r="F631" s="24" t="s">
        <v>1352</v>
      </c>
      <c r="G631" s="5" t="s">
        <v>1024</v>
      </c>
      <c r="H631" s="7">
        <v>45816</v>
      </c>
      <c r="I631" s="7">
        <v>45817</v>
      </c>
      <c r="J631" s="8">
        <v>150</v>
      </c>
      <c r="K631" s="7">
        <v>45840</v>
      </c>
      <c r="L631" s="5" t="s">
        <v>1349</v>
      </c>
      <c r="P631" s="23"/>
    </row>
    <row r="632" spans="1:16" ht="14.4" customHeight="1" x14ac:dyDescent="0.3">
      <c r="A632" s="5">
        <v>635</v>
      </c>
      <c r="B632" s="5" t="s">
        <v>1344</v>
      </c>
      <c r="C632" s="5" t="s">
        <v>1346</v>
      </c>
      <c r="D632" s="5" t="s">
        <v>41</v>
      </c>
      <c r="E632" s="5" t="s">
        <v>41</v>
      </c>
      <c r="F632" s="5">
        <v>57917239</v>
      </c>
      <c r="G632" s="5" t="s">
        <v>1024</v>
      </c>
      <c r="H632" s="7">
        <v>45816</v>
      </c>
      <c r="I632" s="7">
        <v>45817</v>
      </c>
      <c r="J632" s="8">
        <v>150</v>
      </c>
      <c r="K632" s="7">
        <v>45840</v>
      </c>
      <c r="L632" s="5" t="s">
        <v>1345</v>
      </c>
      <c r="P632" s="23"/>
    </row>
    <row r="633" spans="1:16" ht="14.4" customHeight="1" x14ac:dyDescent="0.3">
      <c r="A633" s="5">
        <v>636</v>
      </c>
      <c r="B633" s="5" t="s">
        <v>1348</v>
      </c>
      <c r="C633" s="5" t="s">
        <v>290</v>
      </c>
      <c r="D633" s="5" t="s">
        <v>291</v>
      </c>
      <c r="E633" s="5" t="s">
        <v>291</v>
      </c>
      <c r="F633" s="5">
        <v>57893501</v>
      </c>
      <c r="G633" s="5" t="s">
        <v>1024</v>
      </c>
      <c r="H633" s="7">
        <v>45816</v>
      </c>
      <c r="I633" s="7">
        <v>45817</v>
      </c>
      <c r="J633" s="8">
        <v>150</v>
      </c>
      <c r="K633" s="7">
        <v>45840</v>
      </c>
      <c r="L633" s="5" t="s">
        <v>1347</v>
      </c>
      <c r="P633" s="23"/>
    </row>
    <row r="634" spans="1:16" ht="14.4" customHeight="1" x14ac:dyDescent="0.3">
      <c r="A634" s="5">
        <v>637</v>
      </c>
      <c r="B634" s="7" t="s">
        <v>949</v>
      </c>
      <c r="C634" s="7" t="s">
        <v>1354</v>
      </c>
      <c r="D634" s="5" t="s">
        <v>68</v>
      </c>
      <c r="E634" s="5" t="s">
        <v>696</v>
      </c>
      <c r="F634" s="6">
        <v>59450164</v>
      </c>
      <c r="G634" s="5" t="s">
        <v>1024</v>
      </c>
      <c r="H634" s="7">
        <v>45816</v>
      </c>
      <c r="I634" s="7">
        <v>45817</v>
      </c>
      <c r="J634" s="8">
        <v>150</v>
      </c>
      <c r="K634" s="7">
        <v>45840</v>
      </c>
      <c r="L634" s="5" t="s">
        <v>1156</v>
      </c>
      <c r="P634" s="23"/>
    </row>
    <row r="635" spans="1:16" ht="14.4" customHeight="1" x14ac:dyDescent="0.3">
      <c r="A635" s="5">
        <v>638</v>
      </c>
      <c r="B635" s="5" t="s">
        <v>1030</v>
      </c>
      <c r="C635" s="5" t="s">
        <v>1031</v>
      </c>
      <c r="D635" s="5" t="s">
        <v>69</v>
      </c>
      <c r="E635" s="5" t="s">
        <v>69</v>
      </c>
      <c r="F635" s="5">
        <v>57852775</v>
      </c>
      <c r="G635" s="5" t="s">
        <v>1024</v>
      </c>
      <c r="H635" s="7">
        <v>45816</v>
      </c>
      <c r="I635" s="7">
        <v>45817</v>
      </c>
      <c r="J635" s="8">
        <v>150</v>
      </c>
      <c r="K635" s="7">
        <v>45840</v>
      </c>
      <c r="L635" s="5"/>
      <c r="P635" s="23"/>
    </row>
    <row r="636" spans="1:16" ht="14.4" customHeight="1" x14ac:dyDescent="0.3">
      <c r="A636" s="5">
        <v>639</v>
      </c>
      <c r="B636" s="5" t="s">
        <v>1418</v>
      </c>
      <c r="C636" s="5" t="s">
        <v>1421</v>
      </c>
      <c r="D636" s="5" t="s">
        <v>69</v>
      </c>
      <c r="E636" s="5" t="s">
        <v>69</v>
      </c>
      <c r="F636" s="5">
        <v>59366000</v>
      </c>
      <c r="G636" s="5" t="s">
        <v>16</v>
      </c>
      <c r="H636" s="7">
        <v>45816</v>
      </c>
      <c r="I636" s="7">
        <v>45817</v>
      </c>
      <c r="J636" s="8">
        <v>150</v>
      </c>
      <c r="K636" s="7">
        <v>45840</v>
      </c>
      <c r="L636" s="5"/>
      <c r="P636" s="23"/>
    </row>
    <row r="637" spans="1:16" ht="14.4" customHeight="1" x14ac:dyDescent="0.3">
      <c r="A637" s="5">
        <v>640</v>
      </c>
      <c r="B637" s="5" t="s">
        <v>1419</v>
      </c>
      <c r="C637" s="5" t="s">
        <v>1422</v>
      </c>
      <c r="D637" s="5" t="s">
        <v>74</v>
      </c>
      <c r="E637" s="5" t="s">
        <v>1262</v>
      </c>
      <c r="F637" s="5">
        <v>54786476</v>
      </c>
      <c r="G637" s="5" t="s">
        <v>16</v>
      </c>
      <c r="H637" s="7">
        <v>45816</v>
      </c>
      <c r="I637" s="7">
        <v>45817</v>
      </c>
      <c r="J637" s="8">
        <v>150</v>
      </c>
      <c r="K637" s="7">
        <v>45840</v>
      </c>
      <c r="L637" s="5"/>
      <c r="P637" s="23"/>
    </row>
    <row r="638" spans="1:16" ht="14.4" customHeight="1" x14ac:dyDescent="0.3">
      <c r="A638" s="5">
        <v>641</v>
      </c>
      <c r="B638" s="5" t="s">
        <v>1420</v>
      </c>
      <c r="C638" s="5" t="s">
        <v>651</v>
      </c>
      <c r="D638" s="5" t="s">
        <v>291</v>
      </c>
      <c r="E638" s="5" t="s">
        <v>291</v>
      </c>
      <c r="F638" s="5">
        <v>59137510</v>
      </c>
      <c r="G638" s="5" t="s">
        <v>16</v>
      </c>
      <c r="H638" s="7">
        <v>45816</v>
      </c>
      <c r="I638" s="7">
        <v>45817</v>
      </c>
      <c r="J638" s="8">
        <v>150</v>
      </c>
      <c r="K638" s="7">
        <v>45840</v>
      </c>
      <c r="L638" s="5"/>
      <c r="P638" s="23"/>
    </row>
    <row r="639" spans="1:16" ht="14.4" customHeight="1" x14ac:dyDescent="0.3">
      <c r="A639" s="5">
        <v>642</v>
      </c>
      <c r="B639" s="5" t="s">
        <v>1651</v>
      </c>
      <c r="C639" s="5" t="s">
        <v>1423</v>
      </c>
      <c r="D639" s="5" t="s">
        <v>14</v>
      </c>
      <c r="E639" s="5" t="s">
        <v>360</v>
      </c>
      <c r="F639" s="5">
        <v>57669533</v>
      </c>
      <c r="G639" s="5" t="s">
        <v>16</v>
      </c>
      <c r="H639" s="7">
        <v>45816</v>
      </c>
      <c r="I639" s="7">
        <v>45817</v>
      </c>
      <c r="J639" s="8">
        <v>150</v>
      </c>
      <c r="K639" s="7">
        <v>45840</v>
      </c>
      <c r="L639" s="5"/>
      <c r="P639" s="23"/>
    </row>
    <row r="640" spans="1:16" ht="14.4" customHeight="1" x14ac:dyDescent="0.3">
      <c r="A640" s="5">
        <v>643</v>
      </c>
      <c r="B640" s="5" t="s">
        <v>1066</v>
      </c>
      <c r="C640" s="5" t="s">
        <v>1424</v>
      </c>
      <c r="D640" s="5" t="s">
        <v>68</v>
      </c>
      <c r="E640" s="5" t="s">
        <v>101</v>
      </c>
      <c r="F640" s="5">
        <v>54905493</v>
      </c>
      <c r="G640" s="5" t="s">
        <v>963</v>
      </c>
      <c r="H640" s="7">
        <v>45817</v>
      </c>
      <c r="I640" s="7">
        <v>45817</v>
      </c>
      <c r="J640" s="16">
        <v>150</v>
      </c>
      <c r="K640" s="7">
        <v>45840</v>
      </c>
      <c r="L640" s="5"/>
      <c r="P640" s="23"/>
    </row>
    <row r="641" spans="1:16" ht="14.4" customHeight="1" x14ac:dyDescent="0.3">
      <c r="A641" s="5">
        <v>645</v>
      </c>
      <c r="B641" s="5" t="s">
        <v>1426</v>
      </c>
      <c r="C641" s="5" t="s">
        <v>1425</v>
      </c>
      <c r="D641" s="5" t="s">
        <v>22</v>
      </c>
      <c r="E641" s="5" t="s">
        <v>23</v>
      </c>
      <c r="F641" s="5">
        <v>57749245</v>
      </c>
      <c r="G641" s="5" t="s">
        <v>963</v>
      </c>
      <c r="H641" s="7">
        <v>45817</v>
      </c>
      <c r="I641" s="7">
        <v>45817</v>
      </c>
      <c r="J641" s="16">
        <v>150</v>
      </c>
      <c r="K641" s="7">
        <v>45840</v>
      </c>
      <c r="L641" s="5" t="s">
        <v>1427</v>
      </c>
      <c r="P641" s="23"/>
    </row>
    <row r="642" spans="1:16" ht="14.4" customHeight="1" x14ac:dyDescent="0.3">
      <c r="A642" s="5">
        <v>646</v>
      </c>
      <c r="B642" s="5" t="s">
        <v>1428</v>
      </c>
      <c r="C642" s="5" t="s">
        <v>1429</v>
      </c>
      <c r="D642" s="5" t="s">
        <v>466</v>
      </c>
      <c r="E642" s="5" t="s">
        <v>466</v>
      </c>
      <c r="F642" s="5">
        <v>57937253</v>
      </c>
      <c r="G642" s="5" t="s">
        <v>1024</v>
      </c>
      <c r="H642" s="7">
        <v>45816</v>
      </c>
      <c r="I642" s="7">
        <v>45817</v>
      </c>
      <c r="J642" s="8">
        <v>150</v>
      </c>
      <c r="K642" s="7">
        <v>45840</v>
      </c>
      <c r="L642" s="5"/>
      <c r="P642" s="23"/>
    </row>
    <row r="643" spans="1:16" ht="14.4" customHeight="1" x14ac:dyDescent="0.3">
      <c r="A643" s="5">
        <v>647</v>
      </c>
      <c r="B643" s="5" t="s">
        <v>1652</v>
      </c>
      <c r="C643" s="5" t="s">
        <v>1430</v>
      </c>
      <c r="D643" s="5" t="s">
        <v>144</v>
      </c>
      <c r="E643" s="5" t="s">
        <v>144</v>
      </c>
      <c r="F643" s="5">
        <v>59291886</v>
      </c>
      <c r="G643" s="5" t="s">
        <v>1016</v>
      </c>
      <c r="H643" s="7">
        <v>45817</v>
      </c>
      <c r="I643" s="7">
        <v>45817</v>
      </c>
      <c r="J643" s="8">
        <v>75</v>
      </c>
      <c r="K643" s="7">
        <v>45840</v>
      </c>
      <c r="L643" s="5" t="s">
        <v>1280</v>
      </c>
      <c r="P643" s="23"/>
    </row>
    <row r="644" spans="1:16" ht="14.4" customHeight="1" x14ac:dyDescent="0.3">
      <c r="A644" s="5">
        <v>606</v>
      </c>
      <c r="B644" s="5" t="s">
        <v>1416</v>
      </c>
      <c r="C644" s="5" t="s">
        <v>823</v>
      </c>
      <c r="D644" s="5" t="s">
        <v>569</v>
      </c>
      <c r="E644" s="5" t="s">
        <v>276</v>
      </c>
      <c r="F644" s="5">
        <v>58346541</v>
      </c>
      <c r="G644" s="5" t="s">
        <v>16</v>
      </c>
      <c r="H644" s="7">
        <v>45816</v>
      </c>
      <c r="I644" s="7">
        <v>45820</v>
      </c>
      <c r="J644" s="8">
        <v>150</v>
      </c>
      <c r="K644" s="7">
        <v>45840</v>
      </c>
      <c r="L644" s="5"/>
      <c r="P644" s="23"/>
    </row>
    <row r="645" spans="1:16" ht="14.4" customHeight="1" x14ac:dyDescent="0.3">
      <c r="A645" s="5">
        <v>610</v>
      </c>
      <c r="B645" s="5" t="s">
        <v>1372</v>
      </c>
      <c r="C645" s="5" t="s">
        <v>1373</v>
      </c>
      <c r="D645" s="5" t="s">
        <v>84</v>
      </c>
      <c r="E645" s="5" t="s">
        <v>84</v>
      </c>
      <c r="F645" s="5">
        <v>58039455</v>
      </c>
      <c r="G645" s="5" t="s">
        <v>16</v>
      </c>
      <c r="H645" s="7">
        <v>45816</v>
      </c>
      <c r="I645" s="7">
        <v>45820</v>
      </c>
      <c r="J645" s="8">
        <v>150</v>
      </c>
      <c r="K645" s="7">
        <v>45840</v>
      </c>
      <c r="L645" s="5"/>
      <c r="P645" s="23"/>
    </row>
    <row r="646" spans="1:16" ht="14.4" customHeight="1" x14ac:dyDescent="0.3">
      <c r="A646" s="5">
        <v>644</v>
      </c>
      <c r="B646" s="5" t="s">
        <v>1134</v>
      </c>
      <c r="C646" s="5" t="s">
        <v>1135</v>
      </c>
      <c r="D646" s="5" t="s">
        <v>601</v>
      </c>
      <c r="E646" s="5" t="s">
        <v>546</v>
      </c>
      <c r="F646" s="5">
        <v>57144737</v>
      </c>
      <c r="G646" s="5" t="s">
        <v>963</v>
      </c>
      <c r="H646" s="7">
        <v>45817</v>
      </c>
      <c r="I646" s="7">
        <v>45820</v>
      </c>
      <c r="J646" s="16">
        <v>150</v>
      </c>
      <c r="K646" s="7">
        <v>45840</v>
      </c>
      <c r="L646" s="5"/>
      <c r="P646" s="23"/>
    </row>
    <row r="647" spans="1:16" ht="14.4" customHeight="1" x14ac:dyDescent="0.3">
      <c r="A647" s="5">
        <v>648</v>
      </c>
      <c r="B647" s="5" t="s">
        <v>1431</v>
      </c>
      <c r="C647" s="5" t="s">
        <v>1432</v>
      </c>
      <c r="D647" s="5" t="s">
        <v>601</v>
      </c>
      <c r="E647" s="5" t="s">
        <v>259</v>
      </c>
      <c r="F647" s="5">
        <v>58093231</v>
      </c>
      <c r="G647" s="5" t="s">
        <v>16</v>
      </c>
      <c r="H647" s="7">
        <v>45819</v>
      </c>
      <c r="I647" s="7">
        <v>45820</v>
      </c>
      <c r="J647" s="8">
        <v>150</v>
      </c>
      <c r="K647" s="7">
        <v>45840</v>
      </c>
      <c r="L647" s="5"/>
      <c r="P647" s="23"/>
    </row>
    <row r="648" spans="1:16" ht="14.4" customHeight="1" x14ac:dyDescent="0.3">
      <c r="A648" s="5">
        <v>649</v>
      </c>
      <c r="B648" s="5" t="s">
        <v>1433</v>
      </c>
      <c r="C648" s="5" t="s">
        <v>1434</v>
      </c>
      <c r="D648" s="5" t="s">
        <v>68</v>
      </c>
      <c r="E648" s="5" t="s">
        <v>101</v>
      </c>
      <c r="F648" s="5">
        <v>57426350</v>
      </c>
      <c r="G648" s="5" t="s">
        <v>16</v>
      </c>
      <c r="H648" s="7">
        <v>45819</v>
      </c>
      <c r="I648" s="7">
        <v>45820</v>
      </c>
      <c r="J648" s="8">
        <v>150</v>
      </c>
      <c r="K648" s="7">
        <v>45840</v>
      </c>
      <c r="L648" s="5"/>
      <c r="P648" s="23"/>
    </row>
    <row r="649" spans="1:16" ht="14.4" customHeight="1" x14ac:dyDescent="0.3">
      <c r="A649" s="5">
        <v>650</v>
      </c>
      <c r="B649" s="5" t="s">
        <v>1435</v>
      </c>
      <c r="C649" s="5" t="s">
        <v>1436</v>
      </c>
      <c r="D649" s="5" t="s">
        <v>601</v>
      </c>
      <c r="E649" s="5" t="s">
        <v>1437</v>
      </c>
      <c r="F649" s="5">
        <v>57704232</v>
      </c>
      <c r="G649" s="5" t="s">
        <v>16</v>
      </c>
      <c r="H649" s="7">
        <v>45819</v>
      </c>
      <c r="I649" s="7">
        <v>45820</v>
      </c>
      <c r="J649" s="8">
        <v>150</v>
      </c>
      <c r="K649" s="7">
        <v>45840</v>
      </c>
      <c r="L649" s="5"/>
      <c r="P649" s="23"/>
    </row>
    <row r="650" spans="1:16" ht="14.4" customHeight="1" x14ac:dyDescent="0.3">
      <c r="A650" s="5">
        <v>651</v>
      </c>
      <c r="B650" s="5" t="s">
        <v>1438</v>
      </c>
      <c r="C650" s="5" t="s">
        <v>1439</v>
      </c>
      <c r="D650" s="5" t="s">
        <v>41</v>
      </c>
      <c r="E650" s="5" t="s">
        <v>1440</v>
      </c>
      <c r="F650" s="5">
        <v>59427281</v>
      </c>
      <c r="G650" s="5" t="s">
        <v>16</v>
      </c>
      <c r="H650" s="7">
        <v>45819</v>
      </c>
      <c r="I650" s="7">
        <v>45820</v>
      </c>
      <c r="J650" s="8">
        <v>150</v>
      </c>
      <c r="K650" s="7">
        <v>45840</v>
      </c>
      <c r="L650" s="5"/>
      <c r="P650" s="23"/>
    </row>
    <row r="651" spans="1:16" ht="14.4" customHeight="1" x14ac:dyDescent="0.3">
      <c r="A651" s="5">
        <v>652</v>
      </c>
      <c r="B651" s="5" t="s">
        <v>1441</v>
      </c>
      <c r="C651" s="5" t="s">
        <v>1442</v>
      </c>
      <c r="D651" s="5" t="s">
        <v>569</v>
      </c>
      <c r="E651" s="5" t="s">
        <v>276</v>
      </c>
      <c r="F651" s="5">
        <v>58173590</v>
      </c>
      <c r="G651" s="5" t="s">
        <v>16</v>
      </c>
      <c r="H651" s="7">
        <v>45819</v>
      </c>
      <c r="I651" s="7">
        <v>45820</v>
      </c>
      <c r="J651" s="8">
        <v>150</v>
      </c>
      <c r="K651" s="7">
        <v>45840</v>
      </c>
      <c r="L651" s="5"/>
      <c r="P651" s="23"/>
    </row>
    <row r="652" spans="1:16" ht="14.4" customHeight="1" x14ac:dyDescent="0.3">
      <c r="A652" s="5">
        <v>653</v>
      </c>
      <c r="B652" s="5" t="s">
        <v>1443</v>
      </c>
      <c r="C652" s="5" t="s">
        <v>1444</v>
      </c>
      <c r="D652" s="5" t="s">
        <v>84</v>
      </c>
      <c r="E652" s="5" t="s">
        <v>84</v>
      </c>
      <c r="F652" s="5">
        <v>57987550</v>
      </c>
      <c r="G652" s="5" t="s">
        <v>16</v>
      </c>
      <c r="H652" s="7">
        <v>45819</v>
      </c>
      <c r="I652" s="7">
        <v>45820</v>
      </c>
      <c r="J652" s="8">
        <v>150</v>
      </c>
      <c r="K652" s="7">
        <v>45840</v>
      </c>
      <c r="L652" s="5"/>
      <c r="P652" s="23"/>
    </row>
    <row r="653" spans="1:16" ht="14.4" customHeight="1" x14ac:dyDescent="0.3">
      <c r="A653" s="5">
        <v>654</v>
      </c>
      <c r="B653" s="5" t="s">
        <v>1445</v>
      </c>
      <c r="C653" s="5" t="s">
        <v>1446</v>
      </c>
      <c r="D653" s="5" t="s">
        <v>475</v>
      </c>
      <c r="E653" s="5" t="s">
        <v>163</v>
      </c>
      <c r="F653" s="5">
        <v>57755000</v>
      </c>
      <c r="G653" s="5" t="s">
        <v>16</v>
      </c>
      <c r="H653" s="7">
        <v>45819</v>
      </c>
      <c r="I653" s="7">
        <v>45820</v>
      </c>
      <c r="J653" s="8">
        <v>150</v>
      </c>
      <c r="K653" s="7">
        <v>45840</v>
      </c>
      <c r="L653" s="5"/>
      <c r="P653" s="23"/>
    </row>
    <row r="654" spans="1:16" ht="14.4" customHeight="1" x14ac:dyDescent="0.3">
      <c r="A654" s="5">
        <v>655</v>
      </c>
      <c r="B654" s="5" t="s">
        <v>1447</v>
      </c>
      <c r="C654" s="5" t="s">
        <v>1448</v>
      </c>
      <c r="D654" s="5" t="s">
        <v>601</v>
      </c>
      <c r="E654" s="5" t="s">
        <v>634</v>
      </c>
      <c r="F654" s="5">
        <v>58141471</v>
      </c>
      <c r="G654" s="5" t="s">
        <v>16</v>
      </c>
      <c r="H654" s="7">
        <v>45819</v>
      </c>
      <c r="I654" s="7">
        <v>45820</v>
      </c>
      <c r="J654" s="8">
        <v>150</v>
      </c>
      <c r="K654" s="7">
        <v>45840</v>
      </c>
      <c r="L654" s="5"/>
      <c r="P654" s="23"/>
    </row>
    <row r="655" spans="1:16" ht="14.4" customHeight="1" x14ac:dyDescent="0.3">
      <c r="A655" s="5">
        <v>656</v>
      </c>
      <c r="B655" s="5" t="s">
        <v>173</v>
      </c>
      <c r="C655" s="5" t="s">
        <v>1449</v>
      </c>
      <c r="D655" s="5" t="s">
        <v>68</v>
      </c>
      <c r="E655" s="5" t="s">
        <v>74</v>
      </c>
      <c r="F655" s="5">
        <v>57881293</v>
      </c>
      <c r="G655" s="5" t="s">
        <v>16</v>
      </c>
      <c r="H655" s="7">
        <v>45819</v>
      </c>
      <c r="I655" s="7">
        <v>45820</v>
      </c>
      <c r="J655" s="8">
        <v>150</v>
      </c>
      <c r="K655" s="7">
        <v>45840</v>
      </c>
      <c r="L655" s="5"/>
      <c r="P655" s="23"/>
    </row>
    <row r="656" spans="1:16" ht="14.4" customHeight="1" x14ac:dyDescent="0.3">
      <c r="A656" s="5">
        <v>657</v>
      </c>
      <c r="B656" s="5" t="s">
        <v>1450</v>
      </c>
      <c r="C656" s="5" t="s">
        <v>1451</v>
      </c>
      <c r="D656" s="5" t="s">
        <v>475</v>
      </c>
      <c r="E656" s="5" t="s">
        <v>163</v>
      </c>
      <c r="F656" s="5">
        <v>57412010</v>
      </c>
      <c r="G656" s="5" t="s">
        <v>16</v>
      </c>
      <c r="H656" s="7">
        <v>45819</v>
      </c>
      <c r="I656" s="7">
        <v>45820</v>
      </c>
      <c r="J656" s="8">
        <v>150</v>
      </c>
      <c r="K656" s="7">
        <v>45840</v>
      </c>
      <c r="L656" s="5"/>
      <c r="P656" s="23"/>
    </row>
    <row r="657" spans="1:16" ht="14.4" customHeight="1" x14ac:dyDescent="0.3">
      <c r="A657" s="5">
        <v>658</v>
      </c>
      <c r="B657" s="5" t="s">
        <v>1452</v>
      </c>
      <c r="C657" s="5" t="s">
        <v>1453</v>
      </c>
      <c r="D657" s="5" t="s">
        <v>137</v>
      </c>
      <c r="E657" s="5" t="s">
        <v>223</v>
      </c>
      <c r="F657" s="5">
        <v>57659764</v>
      </c>
      <c r="G657" s="5" t="s">
        <v>16</v>
      </c>
      <c r="H657" s="7">
        <v>45819</v>
      </c>
      <c r="I657" s="7">
        <v>45820</v>
      </c>
      <c r="J657" s="8">
        <v>150</v>
      </c>
      <c r="K657" s="7">
        <v>45840</v>
      </c>
      <c r="L657" s="5"/>
      <c r="P657" s="23"/>
    </row>
    <row r="658" spans="1:16" ht="14.4" customHeight="1" x14ac:dyDescent="0.3">
      <c r="A658" s="5">
        <v>659</v>
      </c>
      <c r="B658" s="5" t="s">
        <v>1454</v>
      </c>
      <c r="C658" s="5" t="s">
        <v>1455</v>
      </c>
      <c r="D658" s="5" t="s">
        <v>601</v>
      </c>
      <c r="E658" s="5" t="s">
        <v>155</v>
      </c>
      <c r="F658" s="5">
        <v>58138137</v>
      </c>
      <c r="G658" s="5" t="s">
        <v>16</v>
      </c>
      <c r="H658" s="7">
        <v>45819</v>
      </c>
      <c r="I658" s="7">
        <v>45820</v>
      </c>
      <c r="J658" s="8">
        <v>150</v>
      </c>
      <c r="K658" s="7">
        <v>45840</v>
      </c>
      <c r="L658" s="5"/>
      <c r="P658" s="23"/>
    </row>
    <row r="659" spans="1:16" ht="14.4" customHeight="1" x14ac:dyDescent="0.3">
      <c r="A659" s="5">
        <v>660</v>
      </c>
      <c r="B659" s="5" t="s">
        <v>1456</v>
      </c>
      <c r="C659" s="5" t="s">
        <v>1457</v>
      </c>
      <c r="D659" s="5" t="s">
        <v>41</v>
      </c>
      <c r="E659" s="5" t="s">
        <v>23</v>
      </c>
      <c r="F659" s="5">
        <v>57051426</v>
      </c>
      <c r="G659" s="5" t="s">
        <v>16</v>
      </c>
      <c r="H659" s="7">
        <v>45819</v>
      </c>
      <c r="I659" s="7">
        <v>45820</v>
      </c>
      <c r="J659" s="8">
        <v>150</v>
      </c>
      <c r="K659" s="7">
        <v>45840</v>
      </c>
      <c r="L659" s="5"/>
      <c r="P659" s="23"/>
    </row>
    <row r="660" spans="1:16" ht="14.4" customHeight="1" x14ac:dyDescent="0.3">
      <c r="A660" s="5">
        <v>661</v>
      </c>
      <c r="B660" s="5" t="s">
        <v>1458</v>
      </c>
      <c r="C660" s="5" t="s">
        <v>1459</v>
      </c>
      <c r="D660" s="5" t="s">
        <v>475</v>
      </c>
      <c r="E660" s="5" t="s">
        <v>807</v>
      </c>
      <c r="F660" s="5">
        <v>58028160</v>
      </c>
      <c r="G660" s="5" t="s">
        <v>16</v>
      </c>
      <c r="H660" s="7">
        <v>45819</v>
      </c>
      <c r="I660" s="7">
        <v>45820</v>
      </c>
      <c r="J660" s="8">
        <v>150</v>
      </c>
      <c r="K660" s="7">
        <v>45840</v>
      </c>
      <c r="L660" s="5"/>
      <c r="P660" s="23"/>
    </row>
    <row r="661" spans="1:16" ht="14.4" customHeight="1" x14ac:dyDescent="0.3">
      <c r="A661" s="5">
        <v>662</v>
      </c>
      <c r="B661" s="5" t="s">
        <v>1460</v>
      </c>
      <c r="C661" s="5" t="s">
        <v>1461</v>
      </c>
      <c r="D661" s="5" t="s">
        <v>84</v>
      </c>
      <c r="E661" s="5" t="s">
        <v>84</v>
      </c>
      <c r="F661" s="5">
        <v>57170110</v>
      </c>
      <c r="G661" s="5" t="s">
        <v>16</v>
      </c>
      <c r="H661" s="7">
        <v>45819</v>
      </c>
      <c r="I661" s="7">
        <v>45820</v>
      </c>
      <c r="J661" s="8">
        <v>150</v>
      </c>
      <c r="K661" s="7">
        <v>45840</v>
      </c>
      <c r="L661" s="5"/>
      <c r="P661" s="23"/>
    </row>
    <row r="662" spans="1:16" ht="14.4" customHeight="1" x14ac:dyDescent="0.3">
      <c r="A662" s="5">
        <v>663</v>
      </c>
      <c r="B662" s="5" t="s">
        <v>1462</v>
      </c>
      <c r="C662" s="5" t="s">
        <v>1463</v>
      </c>
      <c r="D662" s="5" t="s">
        <v>84</v>
      </c>
      <c r="E662" s="5" t="s">
        <v>84</v>
      </c>
      <c r="F662" s="5">
        <v>58227543</v>
      </c>
      <c r="G662" s="5" t="s">
        <v>16</v>
      </c>
      <c r="H662" s="7">
        <v>45819</v>
      </c>
      <c r="I662" s="7">
        <v>45820</v>
      </c>
      <c r="J662" s="8">
        <v>150</v>
      </c>
      <c r="K662" s="7">
        <v>45840</v>
      </c>
      <c r="L662" s="5"/>
      <c r="P662" s="23"/>
    </row>
    <row r="663" spans="1:16" ht="14.4" customHeight="1" x14ac:dyDescent="0.3">
      <c r="A663" s="5">
        <v>664</v>
      </c>
      <c r="B663" s="5" t="s">
        <v>1464</v>
      </c>
      <c r="C663" s="5" t="s">
        <v>1465</v>
      </c>
      <c r="D663" s="5" t="s">
        <v>569</v>
      </c>
      <c r="E663" s="5" t="s">
        <v>709</v>
      </c>
      <c r="F663" s="5">
        <v>59294454</v>
      </c>
      <c r="G663" s="5" t="s">
        <v>16</v>
      </c>
      <c r="H663" s="7">
        <v>45819</v>
      </c>
      <c r="I663" s="7">
        <v>45820</v>
      </c>
      <c r="J663" s="8">
        <v>150</v>
      </c>
      <c r="K663" s="7">
        <v>45840</v>
      </c>
      <c r="L663" s="5"/>
      <c r="P663" s="23"/>
    </row>
    <row r="664" spans="1:16" ht="14.4" customHeight="1" x14ac:dyDescent="0.3">
      <c r="A664" s="5">
        <v>665</v>
      </c>
      <c r="B664" s="5" t="s">
        <v>1466</v>
      </c>
      <c r="C664" s="5" t="s">
        <v>1467</v>
      </c>
      <c r="D664" s="5" t="s">
        <v>601</v>
      </c>
      <c r="E664" s="5" t="s">
        <v>262</v>
      </c>
      <c r="F664" s="5">
        <v>57593962</v>
      </c>
      <c r="G664" s="5" t="s">
        <v>16</v>
      </c>
      <c r="H664" s="7">
        <v>45819</v>
      </c>
      <c r="I664" s="7">
        <v>45820</v>
      </c>
      <c r="J664" s="8">
        <v>150</v>
      </c>
      <c r="K664" s="7">
        <v>45840</v>
      </c>
      <c r="L664" s="5"/>
      <c r="P664" s="23"/>
    </row>
    <row r="665" spans="1:16" ht="14.4" customHeight="1" x14ac:dyDescent="0.3">
      <c r="A665" s="5">
        <v>666</v>
      </c>
      <c r="B665" s="5" t="s">
        <v>1653</v>
      </c>
      <c r="C665" s="5" t="s">
        <v>1468</v>
      </c>
      <c r="D665" s="5" t="s">
        <v>68</v>
      </c>
      <c r="E665" s="5" t="s">
        <v>69</v>
      </c>
      <c r="F665" s="5">
        <v>54949449</v>
      </c>
      <c r="G665" s="5" t="s">
        <v>16</v>
      </c>
      <c r="H665" s="7">
        <v>45819</v>
      </c>
      <c r="I665" s="7">
        <v>45820</v>
      </c>
      <c r="J665" s="8">
        <v>150</v>
      </c>
      <c r="K665" s="7">
        <v>45840</v>
      </c>
      <c r="L665" s="5"/>
      <c r="P665" s="23"/>
    </row>
    <row r="666" spans="1:16" ht="14.4" customHeight="1" x14ac:dyDescent="0.3">
      <c r="A666" s="5">
        <v>667</v>
      </c>
      <c r="B666" s="5" t="s">
        <v>1469</v>
      </c>
      <c r="C666" s="5" t="s">
        <v>1470</v>
      </c>
      <c r="D666" s="5" t="s">
        <v>41</v>
      </c>
      <c r="E666" s="5" t="s">
        <v>715</v>
      </c>
      <c r="F666" s="5">
        <v>57601675</v>
      </c>
      <c r="G666" s="5" t="s">
        <v>16</v>
      </c>
      <c r="H666" s="7">
        <v>45819</v>
      </c>
      <c r="I666" s="7">
        <v>45820</v>
      </c>
      <c r="J666" s="8">
        <v>150</v>
      </c>
      <c r="K666" s="7">
        <v>45840</v>
      </c>
      <c r="L666" s="5"/>
      <c r="P666" s="23"/>
    </row>
    <row r="667" spans="1:16" ht="14.4" customHeight="1" x14ac:dyDescent="0.3">
      <c r="A667" s="5">
        <v>668</v>
      </c>
      <c r="B667" s="5" t="s">
        <v>391</v>
      </c>
      <c r="C667" s="5" t="s">
        <v>1471</v>
      </c>
      <c r="D667" s="5" t="s">
        <v>41</v>
      </c>
      <c r="E667" s="5" t="s">
        <v>1472</v>
      </c>
      <c r="F667" s="5">
        <v>59186019</v>
      </c>
      <c r="G667" s="5" t="s">
        <v>16</v>
      </c>
      <c r="H667" s="7">
        <v>45819</v>
      </c>
      <c r="I667" s="7">
        <v>45820</v>
      </c>
      <c r="J667" s="8">
        <v>150</v>
      </c>
      <c r="K667" s="7">
        <v>45840</v>
      </c>
      <c r="L667" s="5"/>
      <c r="P667" s="23"/>
    </row>
    <row r="668" spans="1:16" ht="14.4" customHeight="1" x14ac:dyDescent="0.3">
      <c r="A668" s="5">
        <v>669</v>
      </c>
      <c r="B668" s="5" t="s">
        <v>1473</v>
      </c>
      <c r="C668" s="5" t="s">
        <v>1474</v>
      </c>
      <c r="D668" s="5" t="s">
        <v>426</v>
      </c>
      <c r="E668" s="5" t="s">
        <v>1475</v>
      </c>
      <c r="F668" s="5">
        <v>57775600</v>
      </c>
      <c r="G668" s="5" t="s">
        <v>16</v>
      </c>
      <c r="H668" s="7">
        <v>45819</v>
      </c>
      <c r="I668" s="7">
        <v>45820</v>
      </c>
      <c r="J668" s="8">
        <v>150</v>
      </c>
      <c r="K668" s="7">
        <v>45840</v>
      </c>
      <c r="L668" s="5"/>
      <c r="P668" s="23"/>
    </row>
    <row r="669" spans="1:16" ht="14.4" customHeight="1" x14ac:dyDescent="0.3">
      <c r="A669" s="5">
        <v>670</v>
      </c>
      <c r="B669" s="5" t="s">
        <v>1476</v>
      </c>
      <c r="C669" s="5" t="s">
        <v>1477</v>
      </c>
      <c r="D669" s="5" t="s">
        <v>68</v>
      </c>
      <c r="E669" s="5" t="s">
        <v>74</v>
      </c>
      <c r="F669" s="5">
        <v>57673520</v>
      </c>
      <c r="G669" s="5" t="s">
        <v>16</v>
      </c>
      <c r="H669" s="7">
        <v>45819</v>
      </c>
      <c r="I669" s="7">
        <v>45820</v>
      </c>
      <c r="J669" s="8">
        <v>150</v>
      </c>
      <c r="K669" s="7">
        <v>45840</v>
      </c>
      <c r="L669" s="5"/>
      <c r="P669" s="23"/>
    </row>
    <row r="670" spans="1:16" ht="14.4" customHeight="1" x14ac:dyDescent="0.3">
      <c r="A670" s="5">
        <v>671</v>
      </c>
      <c r="B670" s="5" t="s">
        <v>1478</v>
      </c>
      <c r="C670" s="5" t="s">
        <v>1479</v>
      </c>
      <c r="D670" s="5" t="s">
        <v>601</v>
      </c>
      <c r="E670" s="5" t="s">
        <v>262</v>
      </c>
      <c r="F670" s="5" t="s">
        <v>1480</v>
      </c>
      <c r="G670" s="5" t="s">
        <v>16</v>
      </c>
      <c r="H670" s="7">
        <v>45819</v>
      </c>
      <c r="I670" s="7">
        <v>45820</v>
      </c>
      <c r="J670" s="8">
        <v>150</v>
      </c>
      <c r="K670" s="7">
        <v>45840</v>
      </c>
      <c r="L670" s="5"/>
      <c r="P670" s="23"/>
    </row>
    <row r="671" spans="1:16" ht="14.4" customHeight="1" x14ac:dyDescent="0.3">
      <c r="A671" s="5">
        <v>672</v>
      </c>
      <c r="B671" s="5" t="s">
        <v>1481</v>
      </c>
      <c r="C671" s="5" t="s">
        <v>1482</v>
      </c>
      <c r="D671" s="5" t="s">
        <v>475</v>
      </c>
      <c r="E671" s="5" t="s">
        <v>475</v>
      </c>
      <c r="F671" s="5">
        <v>52529812</v>
      </c>
      <c r="G671" s="5" t="s">
        <v>16</v>
      </c>
      <c r="H671" s="7">
        <v>45819</v>
      </c>
      <c r="I671" s="7">
        <v>45820</v>
      </c>
      <c r="J671" s="8">
        <v>150</v>
      </c>
      <c r="K671" s="7">
        <v>45840</v>
      </c>
      <c r="L671" s="5"/>
      <c r="P671" s="23"/>
    </row>
    <row r="672" spans="1:16" ht="14.4" customHeight="1" x14ac:dyDescent="0.3">
      <c r="A672" s="5">
        <v>673</v>
      </c>
      <c r="B672" s="5" t="s">
        <v>1483</v>
      </c>
      <c r="C672" s="5" t="s">
        <v>1484</v>
      </c>
      <c r="D672" s="5" t="s">
        <v>1485</v>
      </c>
      <c r="E672" s="5" t="s">
        <v>84</v>
      </c>
      <c r="F672" s="5">
        <v>58222230</v>
      </c>
      <c r="G672" s="5" t="s">
        <v>16</v>
      </c>
      <c r="H672" s="7">
        <v>45819</v>
      </c>
      <c r="I672" s="7">
        <v>45820</v>
      </c>
      <c r="J672" s="8">
        <v>150</v>
      </c>
      <c r="K672" s="7">
        <v>45840</v>
      </c>
      <c r="L672" s="5"/>
      <c r="P672" s="23"/>
    </row>
    <row r="673" spans="1:16" ht="14.4" customHeight="1" x14ac:dyDescent="0.3">
      <c r="A673" s="5">
        <v>674</v>
      </c>
      <c r="B673" s="5" t="s">
        <v>1486</v>
      </c>
      <c r="C673" s="5" t="s">
        <v>1487</v>
      </c>
      <c r="D673" s="5" t="s">
        <v>137</v>
      </c>
      <c r="E673" s="5" t="s">
        <v>2949</v>
      </c>
      <c r="F673" s="5">
        <v>59236513</v>
      </c>
      <c r="G673" s="5" t="s">
        <v>16</v>
      </c>
      <c r="H673" s="7">
        <v>45819</v>
      </c>
      <c r="I673" s="7">
        <v>45820</v>
      </c>
      <c r="J673" s="8">
        <v>150</v>
      </c>
      <c r="K673" s="7">
        <v>45840</v>
      </c>
      <c r="L673" s="5"/>
      <c r="P673" s="23"/>
    </row>
    <row r="674" spans="1:16" ht="14.4" customHeight="1" x14ac:dyDescent="0.3">
      <c r="A674" s="5">
        <v>675</v>
      </c>
      <c r="B674" s="5" t="s">
        <v>556</v>
      </c>
      <c r="C674" s="5" t="s">
        <v>1488</v>
      </c>
      <c r="D674" s="5" t="s">
        <v>426</v>
      </c>
      <c r="E674" s="5" t="s">
        <v>558</v>
      </c>
      <c r="F674" s="5">
        <v>58150895</v>
      </c>
      <c r="G674" s="5" t="s">
        <v>16</v>
      </c>
      <c r="H674" s="7">
        <v>45819</v>
      </c>
      <c r="I674" s="7">
        <v>45820</v>
      </c>
      <c r="J674" s="8">
        <v>150</v>
      </c>
      <c r="K674" s="7">
        <v>45840</v>
      </c>
      <c r="L674" s="5"/>
      <c r="P674" s="23"/>
    </row>
    <row r="675" spans="1:16" ht="14.4" customHeight="1" x14ac:dyDescent="0.3">
      <c r="A675" s="5">
        <v>676</v>
      </c>
      <c r="B675" s="5" t="s">
        <v>1489</v>
      </c>
      <c r="C675" s="5" t="s">
        <v>1490</v>
      </c>
      <c r="D675" s="5" t="s">
        <v>84</v>
      </c>
      <c r="E675" s="5" t="s">
        <v>84</v>
      </c>
      <c r="F675" s="5">
        <v>59278432</v>
      </c>
      <c r="G675" s="5" t="s">
        <v>1024</v>
      </c>
      <c r="H675" s="7">
        <v>45819</v>
      </c>
      <c r="I675" s="7">
        <v>45820</v>
      </c>
      <c r="J675" s="8">
        <v>150</v>
      </c>
      <c r="K675" s="7">
        <v>45840</v>
      </c>
      <c r="L675" s="5" t="s">
        <v>1493</v>
      </c>
      <c r="P675" s="23"/>
    </row>
    <row r="676" spans="1:16" ht="14.4" customHeight="1" x14ac:dyDescent="0.3">
      <c r="A676" s="5">
        <v>677</v>
      </c>
      <c r="B676" s="5" t="s">
        <v>1491</v>
      </c>
      <c r="C676" s="5" t="s">
        <v>1492</v>
      </c>
      <c r="D676" s="5" t="s">
        <v>68</v>
      </c>
      <c r="E676" s="5" t="s">
        <v>69</v>
      </c>
      <c r="F676" s="5">
        <v>58044200</v>
      </c>
      <c r="G676" s="5" t="s">
        <v>1024</v>
      </c>
      <c r="H676" s="7">
        <v>45819</v>
      </c>
      <c r="I676" s="7">
        <v>45820</v>
      </c>
      <c r="J676" s="8">
        <v>150</v>
      </c>
      <c r="K676" s="7">
        <v>45840</v>
      </c>
      <c r="L676" s="5" t="s">
        <v>1156</v>
      </c>
      <c r="P676" s="23"/>
    </row>
    <row r="677" spans="1:16" ht="14.4" customHeight="1" x14ac:dyDescent="0.3">
      <c r="A677" s="5">
        <v>678</v>
      </c>
      <c r="B677" s="5" t="s">
        <v>1363</v>
      </c>
      <c r="C677" s="5" t="s">
        <v>1494</v>
      </c>
      <c r="D677" s="5" t="s">
        <v>137</v>
      </c>
      <c r="E677" s="5" t="s">
        <v>223</v>
      </c>
      <c r="F677" s="5">
        <v>57699801</v>
      </c>
      <c r="G677" s="5" t="s">
        <v>16</v>
      </c>
      <c r="H677" s="7">
        <v>45819</v>
      </c>
      <c r="I677" s="7">
        <v>45820</v>
      </c>
      <c r="J677" s="8">
        <v>150</v>
      </c>
      <c r="K677" s="7">
        <v>45840</v>
      </c>
      <c r="L677" s="5"/>
      <c r="P677" s="23"/>
    </row>
    <row r="678" spans="1:16" ht="14.4" customHeight="1" x14ac:dyDescent="0.3">
      <c r="A678" s="5">
        <v>679</v>
      </c>
      <c r="B678" s="5" t="s">
        <v>1495</v>
      </c>
      <c r="C678" s="5" t="s">
        <v>1496</v>
      </c>
      <c r="D678" s="5" t="s">
        <v>41</v>
      </c>
      <c r="E678" s="5" t="s">
        <v>41</v>
      </c>
      <c r="F678" s="5" t="s">
        <v>1497</v>
      </c>
      <c r="G678" s="5" t="s">
        <v>16</v>
      </c>
      <c r="H678" s="7">
        <v>45819</v>
      </c>
      <c r="I678" s="7">
        <v>45820</v>
      </c>
      <c r="J678" s="8">
        <v>150</v>
      </c>
      <c r="K678" s="7">
        <v>45840</v>
      </c>
      <c r="L678" s="5"/>
      <c r="P678" s="23"/>
    </row>
    <row r="679" spans="1:16" ht="14.4" customHeight="1" x14ac:dyDescent="0.3">
      <c r="A679" s="5">
        <v>680</v>
      </c>
      <c r="B679" s="5" t="s">
        <v>1654</v>
      </c>
      <c r="C679" s="5" t="s">
        <v>1498</v>
      </c>
      <c r="D679" s="5" t="s">
        <v>254</v>
      </c>
      <c r="E679" s="5" t="s">
        <v>254</v>
      </c>
      <c r="F679" s="5">
        <v>57088037</v>
      </c>
      <c r="G679" s="5" t="s">
        <v>1016</v>
      </c>
      <c r="H679" s="7">
        <v>45820</v>
      </c>
      <c r="I679" s="7">
        <v>45820</v>
      </c>
      <c r="J679" s="8">
        <v>75</v>
      </c>
      <c r="K679" s="7">
        <v>45840</v>
      </c>
      <c r="L679" s="5"/>
      <c r="P679" s="23"/>
    </row>
    <row r="680" spans="1:16" ht="14.4" customHeight="1" x14ac:dyDescent="0.3">
      <c r="A680" s="5">
        <v>681</v>
      </c>
      <c r="B680" s="5" t="s">
        <v>1499</v>
      </c>
      <c r="C680" s="5" t="s">
        <v>1500</v>
      </c>
      <c r="D680" s="5" t="s">
        <v>1500</v>
      </c>
      <c r="E680" s="5" t="s">
        <v>84</v>
      </c>
      <c r="F680" s="5">
        <v>59320969</v>
      </c>
      <c r="G680" s="5" t="s">
        <v>1016</v>
      </c>
      <c r="H680" s="7">
        <v>45820</v>
      </c>
      <c r="I680" s="7">
        <v>45820</v>
      </c>
      <c r="J680" s="8">
        <v>150</v>
      </c>
      <c r="K680" s="7">
        <v>45840</v>
      </c>
      <c r="L680" s="5"/>
      <c r="P680" s="23"/>
    </row>
    <row r="681" spans="1:16" ht="14.4" customHeight="1" x14ac:dyDescent="0.3">
      <c r="A681" s="5">
        <v>682</v>
      </c>
      <c r="B681" s="5" t="s">
        <v>1502</v>
      </c>
      <c r="C681" s="5" t="s">
        <v>1501</v>
      </c>
      <c r="D681" s="5" t="s">
        <v>68</v>
      </c>
      <c r="E681" s="5" t="s">
        <v>49</v>
      </c>
      <c r="F681" s="5">
        <v>58340650</v>
      </c>
      <c r="G681" s="5" t="s">
        <v>963</v>
      </c>
      <c r="H681" s="7">
        <v>45820</v>
      </c>
      <c r="I681" s="7">
        <v>45824</v>
      </c>
      <c r="J681" s="16">
        <v>150</v>
      </c>
      <c r="K681" s="7">
        <v>45840</v>
      </c>
      <c r="L681" s="5" t="s">
        <v>1025</v>
      </c>
      <c r="P681" s="23"/>
    </row>
    <row r="682" spans="1:16" ht="14.4" customHeight="1" x14ac:dyDescent="0.3">
      <c r="A682" s="5">
        <v>683</v>
      </c>
      <c r="B682" s="5" t="s">
        <v>1505</v>
      </c>
      <c r="C682" s="5" t="s">
        <v>1506</v>
      </c>
      <c r="D682" s="5" t="s">
        <v>601</v>
      </c>
      <c r="E682" s="5" t="s">
        <v>155</v>
      </c>
      <c r="F682" s="5">
        <v>54732553</v>
      </c>
      <c r="G682" s="5" t="s">
        <v>16</v>
      </c>
      <c r="H682" s="7">
        <v>45823</v>
      </c>
      <c r="I682" s="7">
        <v>45824</v>
      </c>
      <c r="J682" s="8">
        <v>150</v>
      </c>
      <c r="K682" s="7">
        <v>45840</v>
      </c>
      <c r="L682" s="5"/>
      <c r="P682" s="23"/>
    </row>
    <row r="683" spans="1:16" ht="14.4" customHeight="1" x14ac:dyDescent="0.3">
      <c r="A683" s="5">
        <v>684</v>
      </c>
      <c r="B683" s="5" t="s">
        <v>1507</v>
      </c>
      <c r="C683" s="5" t="s">
        <v>1508</v>
      </c>
      <c r="D683" s="5" t="s">
        <v>137</v>
      </c>
      <c r="E683" s="5" t="s">
        <v>1279</v>
      </c>
      <c r="F683" s="5" t="s">
        <v>1509</v>
      </c>
      <c r="G683" s="5" t="s">
        <v>16</v>
      </c>
      <c r="H683" s="7">
        <v>45823</v>
      </c>
      <c r="I683" s="7">
        <v>45824</v>
      </c>
      <c r="J683" s="8">
        <v>150</v>
      </c>
      <c r="K683" s="7">
        <v>45840</v>
      </c>
      <c r="L683" s="5"/>
      <c r="P683" s="23"/>
    </row>
    <row r="684" spans="1:16" ht="14.4" customHeight="1" x14ac:dyDescent="0.3">
      <c r="A684" s="5">
        <v>685</v>
      </c>
      <c r="B684" s="5" t="s">
        <v>1510</v>
      </c>
      <c r="C684" s="5" t="s">
        <v>1511</v>
      </c>
      <c r="D684" s="5" t="s">
        <v>84</v>
      </c>
      <c r="E684" s="5" t="s">
        <v>84</v>
      </c>
      <c r="F684" s="5">
        <v>57534783</v>
      </c>
      <c r="G684" s="5" t="s">
        <v>16</v>
      </c>
      <c r="H684" s="7">
        <v>45823</v>
      </c>
      <c r="I684" s="7">
        <v>45824</v>
      </c>
      <c r="J684" s="8">
        <v>150</v>
      </c>
      <c r="K684" s="7">
        <v>45840</v>
      </c>
      <c r="L684" s="5"/>
      <c r="P684" s="23"/>
    </row>
    <row r="685" spans="1:16" ht="14.4" customHeight="1" x14ac:dyDescent="0.3">
      <c r="A685" s="5">
        <v>686</v>
      </c>
      <c r="B685" s="5" t="s">
        <v>400</v>
      </c>
      <c r="C685" s="5" t="s">
        <v>697</v>
      </c>
      <c r="D685" s="5" t="s">
        <v>68</v>
      </c>
      <c r="E685" s="5" t="s">
        <v>402</v>
      </c>
      <c r="F685" s="5">
        <v>59718556</v>
      </c>
      <c r="G685" s="5" t="s">
        <v>16</v>
      </c>
      <c r="H685" s="7">
        <v>45823</v>
      </c>
      <c r="I685" s="7">
        <v>45824</v>
      </c>
      <c r="J685" s="8">
        <v>150</v>
      </c>
      <c r="K685" s="7">
        <v>45840</v>
      </c>
      <c r="L685" s="5"/>
      <c r="P685" s="23"/>
    </row>
    <row r="686" spans="1:16" ht="14.4" customHeight="1" x14ac:dyDescent="0.3">
      <c r="A686" s="5">
        <v>687</v>
      </c>
      <c r="B686" s="5" t="s">
        <v>1512</v>
      </c>
      <c r="C686" s="5" t="s">
        <v>1513</v>
      </c>
      <c r="D686" s="5" t="s">
        <v>426</v>
      </c>
      <c r="E686" s="5" t="s">
        <v>1143</v>
      </c>
      <c r="F686" s="5">
        <v>58153713</v>
      </c>
      <c r="G686" s="5" t="s">
        <v>16</v>
      </c>
      <c r="H686" s="7">
        <v>45823</v>
      </c>
      <c r="I686" s="7">
        <v>45824</v>
      </c>
      <c r="J686" s="8">
        <v>150</v>
      </c>
      <c r="K686" s="7">
        <v>45840</v>
      </c>
      <c r="L686" s="5"/>
      <c r="P686" s="23"/>
    </row>
    <row r="687" spans="1:16" ht="14.4" customHeight="1" x14ac:dyDescent="0.3">
      <c r="A687" s="5">
        <v>688</v>
      </c>
      <c r="B687" s="5" t="s">
        <v>197</v>
      </c>
      <c r="C687" s="5" t="s">
        <v>1514</v>
      </c>
      <c r="D687" s="5" t="s">
        <v>601</v>
      </c>
      <c r="E687" s="5" t="s">
        <v>1515</v>
      </c>
      <c r="F687" s="5">
        <v>57965628</v>
      </c>
      <c r="G687" s="5" t="s">
        <v>16</v>
      </c>
      <c r="H687" s="7">
        <v>45823</v>
      </c>
      <c r="I687" s="7">
        <v>45824</v>
      </c>
      <c r="J687" s="8">
        <v>150</v>
      </c>
      <c r="K687" s="7">
        <v>45840</v>
      </c>
      <c r="L687" s="5"/>
      <c r="P687" s="23"/>
    </row>
    <row r="688" spans="1:16" ht="14.4" customHeight="1" x14ac:dyDescent="0.3">
      <c r="A688" s="5">
        <v>689</v>
      </c>
      <c r="B688" s="5" t="s">
        <v>1516</v>
      </c>
      <c r="C688" s="5" t="s">
        <v>1517</v>
      </c>
      <c r="D688" s="5" t="s">
        <v>68</v>
      </c>
      <c r="E688" s="5" t="s">
        <v>49</v>
      </c>
      <c r="F688" s="5">
        <v>57177093</v>
      </c>
      <c r="G688" s="5" t="s">
        <v>16</v>
      </c>
      <c r="H688" s="7">
        <v>45823</v>
      </c>
      <c r="I688" s="7">
        <v>45824</v>
      </c>
      <c r="J688" s="8">
        <v>150</v>
      </c>
      <c r="K688" s="7">
        <v>45840</v>
      </c>
      <c r="L688" s="5"/>
      <c r="P688" s="23"/>
    </row>
    <row r="689" spans="1:16" ht="14.4" customHeight="1" x14ac:dyDescent="0.3">
      <c r="A689" s="5">
        <v>690</v>
      </c>
      <c r="B689" s="5" t="s">
        <v>1518</v>
      </c>
      <c r="C689" s="5" t="s">
        <v>1519</v>
      </c>
      <c r="D689" s="5" t="s">
        <v>426</v>
      </c>
      <c r="E689" s="5" t="s">
        <v>594</v>
      </c>
      <c r="F689" s="5">
        <v>57837612</v>
      </c>
      <c r="G689" s="5" t="s">
        <v>16</v>
      </c>
      <c r="H689" s="7">
        <v>45823</v>
      </c>
      <c r="I689" s="7">
        <v>45824</v>
      </c>
      <c r="J689" s="8">
        <v>150</v>
      </c>
      <c r="K689" s="7">
        <v>45840</v>
      </c>
      <c r="L689" s="5"/>
      <c r="P689" s="23"/>
    </row>
    <row r="690" spans="1:16" ht="14.4" customHeight="1" x14ac:dyDescent="0.3">
      <c r="A690" s="5">
        <v>691</v>
      </c>
      <c r="B690" s="5" t="s">
        <v>733</v>
      </c>
      <c r="C690" s="5" t="s">
        <v>1520</v>
      </c>
      <c r="D690" s="5" t="s">
        <v>68</v>
      </c>
      <c r="E690" s="5" t="s">
        <v>226</v>
      </c>
      <c r="F690" s="5">
        <v>57718586</v>
      </c>
      <c r="G690" s="5" t="s">
        <v>16</v>
      </c>
      <c r="H690" s="7">
        <v>45823</v>
      </c>
      <c r="I690" s="7">
        <v>45824</v>
      </c>
      <c r="J690" s="8">
        <v>150</v>
      </c>
      <c r="K690" s="7">
        <v>45840</v>
      </c>
      <c r="L690" s="5"/>
      <c r="P690" s="23"/>
    </row>
    <row r="691" spans="1:16" ht="14.4" customHeight="1" x14ac:dyDescent="0.3">
      <c r="A691" s="5">
        <v>692</v>
      </c>
      <c r="B691" s="5" t="s">
        <v>1521</v>
      </c>
      <c r="C691" s="5" t="s">
        <v>1522</v>
      </c>
      <c r="D691" s="5" t="s">
        <v>601</v>
      </c>
      <c r="E691" s="5" t="s">
        <v>1369</v>
      </c>
      <c r="F691" s="5">
        <v>58322010</v>
      </c>
      <c r="G691" s="5" t="s">
        <v>16</v>
      </c>
      <c r="H691" s="7">
        <v>45823</v>
      </c>
      <c r="I691" s="7">
        <v>45824</v>
      </c>
      <c r="J691" s="8">
        <v>150</v>
      </c>
      <c r="K691" s="7">
        <v>45840</v>
      </c>
      <c r="L691" s="5"/>
      <c r="P691" s="23"/>
    </row>
    <row r="692" spans="1:16" ht="14.4" customHeight="1" x14ac:dyDescent="0.3">
      <c r="A692" s="5">
        <v>693</v>
      </c>
      <c r="B692" s="5" t="s">
        <v>1523</v>
      </c>
      <c r="C692" s="5" t="s">
        <v>1524</v>
      </c>
      <c r="D692" s="5" t="s">
        <v>601</v>
      </c>
      <c r="E692" s="5" t="s">
        <v>259</v>
      </c>
      <c r="F692" s="5">
        <v>58319014</v>
      </c>
      <c r="G692" s="5" t="s">
        <v>16</v>
      </c>
      <c r="H692" s="7">
        <v>45823</v>
      </c>
      <c r="I692" s="7">
        <v>45824</v>
      </c>
      <c r="J692" s="8">
        <v>150</v>
      </c>
      <c r="K692" s="7">
        <v>45840</v>
      </c>
      <c r="L692" s="5"/>
      <c r="P692" s="23"/>
    </row>
    <row r="693" spans="1:16" ht="14.4" customHeight="1" x14ac:dyDescent="0.3">
      <c r="A693" s="5">
        <v>695</v>
      </c>
      <c r="B693" s="5" t="s">
        <v>1527</v>
      </c>
      <c r="C693" s="5" t="s">
        <v>1528</v>
      </c>
      <c r="D693" s="5" t="s">
        <v>84</v>
      </c>
      <c r="E693" s="5" t="s">
        <v>84</v>
      </c>
      <c r="F693" s="5">
        <v>57127869</v>
      </c>
      <c r="G693" s="5" t="s">
        <v>16</v>
      </c>
      <c r="H693" s="7">
        <v>45823</v>
      </c>
      <c r="I693" s="7">
        <v>45824</v>
      </c>
      <c r="J693" s="8">
        <v>150</v>
      </c>
      <c r="K693" s="7">
        <v>45840</v>
      </c>
      <c r="L693" s="5"/>
      <c r="P693" s="23"/>
    </row>
    <row r="694" spans="1:16" ht="14.4" customHeight="1" x14ac:dyDescent="0.3">
      <c r="A694" s="5">
        <v>696</v>
      </c>
      <c r="B694" s="5" t="s">
        <v>1529</v>
      </c>
      <c r="C694" s="5" t="s">
        <v>1530</v>
      </c>
      <c r="D694" s="5" t="s">
        <v>41</v>
      </c>
      <c r="E694" s="5" t="s">
        <v>23</v>
      </c>
      <c r="F694" s="5">
        <v>54959166</v>
      </c>
      <c r="G694" s="5" t="s">
        <v>16</v>
      </c>
      <c r="H694" s="7">
        <v>45823</v>
      </c>
      <c r="I694" s="7">
        <v>45824</v>
      </c>
      <c r="J694" s="8">
        <v>150</v>
      </c>
      <c r="K694" s="7">
        <v>45840</v>
      </c>
      <c r="L694" s="5"/>
      <c r="P694" s="23"/>
    </row>
    <row r="695" spans="1:16" ht="14.4" customHeight="1" x14ac:dyDescent="0.3">
      <c r="A695" s="5">
        <v>697</v>
      </c>
      <c r="B695" s="5" t="s">
        <v>1531</v>
      </c>
      <c r="C695" s="5" t="s">
        <v>1532</v>
      </c>
      <c r="D695" s="5" t="s">
        <v>68</v>
      </c>
      <c r="E695" s="5" t="s">
        <v>49</v>
      </c>
      <c r="F695" s="5">
        <v>58076395</v>
      </c>
      <c r="G695" s="5" t="s">
        <v>16</v>
      </c>
      <c r="H695" s="7">
        <v>45823</v>
      </c>
      <c r="I695" s="7">
        <v>45824</v>
      </c>
      <c r="J695" s="8">
        <v>150</v>
      </c>
      <c r="K695" s="7">
        <v>45840</v>
      </c>
      <c r="L695" s="5"/>
      <c r="P695" s="23"/>
    </row>
    <row r="696" spans="1:16" ht="14.4" customHeight="1" x14ac:dyDescent="0.3">
      <c r="A696" s="5">
        <v>698</v>
      </c>
      <c r="B696" s="5" t="s">
        <v>1533</v>
      </c>
      <c r="C696" s="5" t="s">
        <v>1534</v>
      </c>
      <c r="D696" s="5" t="s">
        <v>68</v>
      </c>
      <c r="E696" s="5" t="s">
        <v>226</v>
      </c>
      <c r="F696" s="5">
        <v>57969252</v>
      </c>
      <c r="G696" s="5" t="s">
        <v>16</v>
      </c>
      <c r="H696" s="7">
        <v>45823</v>
      </c>
      <c r="I696" s="7">
        <v>45824</v>
      </c>
      <c r="J696" s="8">
        <v>150</v>
      </c>
      <c r="K696" s="7">
        <v>45840</v>
      </c>
      <c r="L696" s="5"/>
      <c r="P696" s="23"/>
    </row>
    <row r="697" spans="1:16" ht="14.4" customHeight="1" x14ac:dyDescent="0.3">
      <c r="A697" s="5">
        <v>699</v>
      </c>
      <c r="B697" s="5" t="s">
        <v>1535</v>
      </c>
      <c r="C697" s="5" t="s">
        <v>1536</v>
      </c>
      <c r="D697" s="5" t="s">
        <v>68</v>
      </c>
      <c r="E697" s="5" t="s">
        <v>101</v>
      </c>
      <c r="F697" s="5" t="s">
        <v>1537</v>
      </c>
      <c r="G697" s="5" t="s">
        <v>16</v>
      </c>
      <c r="H697" s="7">
        <v>45823</v>
      </c>
      <c r="I697" s="7">
        <v>45824</v>
      </c>
      <c r="J697" s="8">
        <v>150</v>
      </c>
      <c r="K697" s="7">
        <v>45840</v>
      </c>
      <c r="L697" s="5"/>
      <c r="P697" s="23"/>
    </row>
    <row r="698" spans="1:16" ht="14.4" customHeight="1" x14ac:dyDescent="0.3">
      <c r="A698" s="5">
        <v>700</v>
      </c>
      <c r="B698" s="5" t="s">
        <v>1538</v>
      </c>
      <c r="C698" s="5" t="s">
        <v>1539</v>
      </c>
      <c r="D698" s="5" t="s">
        <v>68</v>
      </c>
      <c r="E698" s="5" t="s">
        <v>63</v>
      </c>
      <c r="F698" s="5">
        <v>59898669</v>
      </c>
      <c r="G698" s="5" t="s">
        <v>16</v>
      </c>
      <c r="H698" s="7">
        <v>45823</v>
      </c>
      <c r="I698" s="7">
        <v>45824</v>
      </c>
      <c r="J698" s="8">
        <v>150</v>
      </c>
      <c r="K698" s="7">
        <v>45840</v>
      </c>
      <c r="L698" s="5"/>
      <c r="P698" s="23"/>
    </row>
    <row r="699" spans="1:16" ht="14.4" customHeight="1" x14ac:dyDescent="0.3">
      <c r="A699" s="5">
        <v>701</v>
      </c>
      <c r="B699" s="5" t="s">
        <v>1540</v>
      </c>
      <c r="C699" s="5" t="s">
        <v>1125</v>
      </c>
      <c r="D699" s="5" t="s">
        <v>137</v>
      </c>
      <c r="E699" s="5" t="s">
        <v>204</v>
      </c>
      <c r="F699" s="5">
        <v>57575292</v>
      </c>
      <c r="G699" s="5" t="s">
        <v>16</v>
      </c>
      <c r="H699" s="7">
        <v>45823</v>
      </c>
      <c r="I699" s="7">
        <v>45824</v>
      </c>
      <c r="J699" s="8">
        <v>150</v>
      </c>
      <c r="K699" s="7">
        <v>45840</v>
      </c>
      <c r="L699" s="5"/>
      <c r="P699" s="23"/>
    </row>
    <row r="700" spans="1:16" ht="14.4" customHeight="1" x14ac:dyDescent="0.3">
      <c r="A700" s="5">
        <v>702</v>
      </c>
      <c r="B700" s="5" t="s">
        <v>1541</v>
      </c>
      <c r="C700" s="5" t="s">
        <v>1542</v>
      </c>
      <c r="D700" s="5" t="s">
        <v>137</v>
      </c>
      <c r="E700" s="5" t="s">
        <v>137</v>
      </c>
      <c r="F700" s="5">
        <v>52556300</v>
      </c>
      <c r="G700" s="5" t="s">
        <v>16</v>
      </c>
      <c r="H700" s="7">
        <v>45823</v>
      </c>
      <c r="I700" s="7">
        <v>45824</v>
      </c>
      <c r="J700" s="8">
        <v>150</v>
      </c>
      <c r="K700" s="7">
        <v>45840</v>
      </c>
      <c r="L700" s="5"/>
      <c r="P700" s="23"/>
    </row>
    <row r="701" spans="1:16" ht="14.4" customHeight="1" x14ac:dyDescent="0.3">
      <c r="A701" s="5">
        <v>703</v>
      </c>
      <c r="B701" s="5" t="s">
        <v>1543</v>
      </c>
      <c r="C701" s="5" t="s">
        <v>1544</v>
      </c>
      <c r="D701" s="5" t="s">
        <v>475</v>
      </c>
      <c r="E701" s="5" t="s">
        <v>807</v>
      </c>
      <c r="F701" s="5">
        <v>58192376</v>
      </c>
      <c r="G701" s="5" t="s">
        <v>16</v>
      </c>
      <c r="H701" s="7">
        <v>45823</v>
      </c>
      <c r="I701" s="7">
        <v>45824</v>
      </c>
      <c r="J701" s="8">
        <v>150</v>
      </c>
      <c r="K701" s="7">
        <v>45840</v>
      </c>
      <c r="L701" s="5"/>
      <c r="P701" s="23"/>
    </row>
    <row r="702" spans="1:16" ht="14.4" customHeight="1" x14ac:dyDescent="0.3">
      <c r="A702" s="5">
        <v>704</v>
      </c>
      <c r="B702" s="5" t="s">
        <v>1545</v>
      </c>
      <c r="C702" s="5" t="s">
        <v>1546</v>
      </c>
      <c r="D702" s="5" t="s">
        <v>426</v>
      </c>
      <c r="E702" s="5" t="s">
        <v>1475</v>
      </c>
      <c r="F702" s="5">
        <v>57491001</v>
      </c>
      <c r="G702" s="5" t="s">
        <v>16</v>
      </c>
      <c r="H702" s="7">
        <v>45823</v>
      </c>
      <c r="I702" s="7">
        <v>45824</v>
      </c>
      <c r="J702" s="8">
        <v>150</v>
      </c>
      <c r="K702" s="7">
        <v>45840</v>
      </c>
      <c r="L702" s="5"/>
      <c r="P702" s="23"/>
    </row>
    <row r="703" spans="1:16" ht="14.4" customHeight="1" x14ac:dyDescent="0.3">
      <c r="A703" s="5">
        <v>705</v>
      </c>
      <c r="B703" s="5" t="s">
        <v>1655</v>
      </c>
      <c r="C703" s="5" t="s">
        <v>1547</v>
      </c>
      <c r="D703" s="5" t="s">
        <v>68</v>
      </c>
      <c r="E703" s="5" t="s">
        <v>69</v>
      </c>
      <c r="F703" s="5">
        <v>58025986</v>
      </c>
      <c r="G703" s="5" t="s">
        <v>16</v>
      </c>
      <c r="H703" s="7">
        <v>45823</v>
      </c>
      <c r="I703" s="7">
        <v>45824</v>
      </c>
      <c r="J703" s="8">
        <v>150</v>
      </c>
      <c r="K703" s="7">
        <v>45840</v>
      </c>
      <c r="L703" s="5"/>
      <c r="P703" s="23"/>
    </row>
    <row r="704" spans="1:16" ht="14.4" customHeight="1" x14ac:dyDescent="0.3">
      <c r="A704" s="5">
        <v>706</v>
      </c>
      <c r="B704" s="5" t="s">
        <v>1548</v>
      </c>
      <c r="C704" s="5" t="s">
        <v>1549</v>
      </c>
      <c r="D704" s="5" t="s">
        <v>569</v>
      </c>
      <c r="E704" s="5" t="s">
        <v>158</v>
      </c>
      <c r="F704" s="5">
        <v>59025676</v>
      </c>
      <c r="G704" s="5" t="s">
        <v>16</v>
      </c>
      <c r="H704" s="7">
        <v>45823</v>
      </c>
      <c r="I704" s="7">
        <v>45824</v>
      </c>
      <c r="J704" s="8">
        <v>150</v>
      </c>
      <c r="K704" s="7">
        <v>45840</v>
      </c>
      <c r="L704" s="5"/>
      <c r="P704" s="23"/>
    </row>
    <row r="705" spans="1:16" ht="14.4" customHeight="1" x14ac:dyDescent="0.3">
      <c r="A705" s="5">
        <v>707</v>
      </c>
      <c r="B705" s="5" t="s">
        <v>1550</v>
      </c>
      <c r="C705" s="5" t="s">
        <v>1551</v>
      </c>
      <c r="D705" s="5" t="s">
        <v>569</v>
      </c>
      <c r="E705" s="5" t="s">
        <v>494</v>
      </c>
      <c r="F705" s="5">
        <v>57011275</v>
      </c>
      <c r="G705" s="5" t="s">
        <v>16</v>
      </c>
      <c r="H705" s="7">
        <v>45823</v>
      </c>
      <c r="I705" s="7">
        <v>45824</v>
      </c>
      <c r="J705" s="8">
        <v>150</v>
      </c>
      <c r="K705" s="7">
        <v>45840</v>
      </c>
      <c r="L705" s="5"/>
      <c r="P705" s="23"/>
    </row>
    <row r="706" spans="1:16" ht="14.4" customHeight="1" x14ac:dyDescent="0.3">
      <c r="A706" s="5">
        <v>708</v>
      </c>
      <c r="B706" s="5" t="s">
        <v>1552</v>
      </c>
      <c r="C706" s="5" t="s">
        <v>1553</v>
      </c>
      <c r="D706" s="5" t="s">
        <v>475</v>
      </c>
      <c r="E706" s="5" t="s">
        <v>807</v>
      </c>
      <c r="F706" s="5">
        <v>54913161</v>
      </c>
      <c r="G706" s="5" t="s">
        <v>16</v>
      </c>
      <c r="H706" s="7">
        <v>45823</v>
      </c>
      <c r="I706" s="7">
        <v>45824</v>
      </c>
      <c r="J706" s="8">
        <v>150</v>
      </c>
      <c r="K706" s="7">
        <v>45840</v>
      </c>
      <c r="L706" s="5"/>
      <c r="P706" s="23"/>
    </row>
    <row r="707" spans="1:16" ht="14.4" customHeight="1" x14ac:dyDescent="0.3">
      <c r="A707" s="5">
        <v>709</v>
      </c>
      <c r="B707" s="5" t="s">
        <v>1104</v>
      </c>
      <c r="C707" s="5" t="s">
        <v>548</v>
      </c>
      <c r="D707" s="5" t="s">
        <v>137</v>
      </c>
      <c r="E707" s="5" t="s">
        <v>204</v>
      </c>
      <c r="F707" s="5">
        <v>57560789</v>
      </c>
      <c r="G707" s="5" t="s">
        <v>16</v>
      </c>
      <c r="H707" s="7">
        <v>45823</v>
      </c>
      <c r="I707" s="7">
        <v>45824</v>
      </c>
      <c r="J707" s="8">
        <v>150</v>
      </c>
      <c r="K707" s="7">
        <v>45840</v>
      </c>
      <c r="L707" s="5"/>
      <c r="P707" s="23"/>
    </row>
    <row r="708" spans="1:16" ht="14.4" customHeight="1" x14ac:dyDescent="0.3">
      <c r="A708" s="5">
        <v>710</v>
      </c>
      <c r="B708" s="5" t="s">
        <v>1554</v>
      </c>
      <c r="C708" s="5" t="s">
        <v>1555</v>
      </c>
      <c r="D708" s="5" t="s">
        <v>475</v>
      </c>
      <c r="E708" s="5" t="s">
        <v>475</v>
      </c>
      <c r="F708" s="5">
        <v>57180789</v>
      </c>
      <c r="G708" s="5" t="s">
        <v>1146</v>
      </c>
      <c r="H708" s="7">
        <v>45824</v>
      </c>
      <c r="I708" s="7">
        <v>45824</v>
      </c>
      <c r="J708" s="16">
        <v>75</v>
      </c>
      <c r="K708" s="7">
        <v>45840</v>
      </c>
      <c r="L708" s="5" t="s">
        <v>1566</v>
      </c>
      <c r="P708" s="23"/>
    </row>
    <row r="709" spans="1:16" ht="14.4" customHeight="1" x14ac:dyDescent="0.3">
      <c r="A709" s="5">
        <v>711</v>
      </c>
      <c r="B709" s="5" t="s">
        <v>1556</v>
      </c>
      <c r="C709" s="5" t="s">
        <v>1143</v>
      </c>
      <c r="D709" s="5" t="s">
        <v>426</v>
      </c>
      <c r="E709" s="5" t="s">
        <v>1143</v>
      </c>
      <c r="F709" s="5">
        <v>54566417</v>
      </c>
      <c r="G709" s="5" t="s">
        <v>1231</v>
      </c>
      <c r="H709" s="7">
        <v>45824</v>
      </c>
      <c r="I709" s="7">
        <v>45824</v>
      </c>
      <c r="J709" s="8">
        <v>150</v>
      </c>
      <c r="K709" s="7">
        <v>45840</v>
      </c>
      <c r="L709" s="5" t="s">
        <v>964</v>
      </c>
      <c r="P709" s="23"/>
    </row>
    <row r="710" spans="1:16" ht="14.4" customHeight="1" x14ac:dyDescent="0.3">
      <c r="A710" s="5">
        <v>712</v>
      </c>
      <c r="B710" s="5" t="s">
        <v>1557</v>
      </c>
      <c r="C710" s="5" t="s">
        <v>1558</v>
      </c>
      <c r="D710" s="5" t="s">
        <v>475</v>
      </c>
      <c r="E710" s="5" t="s">
        <v>475</v>
      </c>
      <c r="F710" s="5">
        <v>58328460</v>
      </c>
      <c r="G710" s="5" t="s">
        <v>1567</v>
      </c>
      <c r="H710" s="7">
        <v>45820</v>
      </c>
      <c r="I710" s="7">
        <v>45824</v>
      </c>
      <c r="J710" s="8">
        <v>150</v>
      </c>
      <c r="K710" s="7">
        <v>45840</v>
      </c>
      <c r="L710" s="5" t="s">
        <v>1569</v>
      </c>
      <c r="P710" s="23"/>
    </row>
    <row r="711" spans="1:16" ht="14.4" customHeight="1" x14ac:dyDescent="0.3">
      <c r="A711" s="5">
        <v>715</v>
      </c>
      <c r="B711" s="5" t="s">
        <v>1563</v>
      </c>
      <c r="C711" s="5" t="s">
        <v>1568</v>
      </c>
      <c r="D711" s="5" t="s">
        <v>22</v>
      </c>
      <c r="E711" s="5" t="s">
        <v>1568</v>
      </c>
      <c r="F711" s="5">
        <v>57489546</v>
      </c>
      <c r="G711" s="5" t="s">
        <v>1024</v>
      </c>
      <c r="H711" s="7">
        <v>45823</v>
      </c>
      <c r="I711" s="7">
        <v>45824</v>
      </c>
      <c r="J711" s="8">
        <v>150</v>
      </c>
      <c r="K711" s="7">
        <v>45840</v>
      </c>
      <c r="L711" s="5" t="s">
        <v>1564</v>
      </c>
      <c r="P711" s="23"/>
    </row>
    <row r="712" spans="1:16" ht="14.4" customHeight="1" x14ac:dyDescent="0.3">
      <c r="A712" s="5">
        <v>716</v>
      </c>
      <c r="B712" s="5" t="s">
        <v>1489</v>
      </c>
      <c r="C712" s="5" t="s">
        <v>1490</v>
      </c>
      <c r="D712" s="5" t="s">
        <v>84</v>
      </c>
      <c r="E712" s="5" t="s">
        <v>84</v>
      </c>
      <c r="F712" s="5">
        <v>59278432</v>
      </c>
      <c r="G712" s="5" t="s">
        <v>1024</v>
      </c>
      <c r="H712" s="7">
        <v>45823</v>
      </c>
      <c r="I712" s="7">
        <v>45824</v>
      </c>
      <c r="J712" s="8">
        <v>150</v>
      </c>
      <c r="K712" s="7">
        <v>45840</v>
      </c>
      <c r="L712" s="5" t="s">
        <v>1565</v>
      </c>
      <c r="P712" s="23"/>
    </row>
    <row r="713" spans="1:16" ht="14.4" customHeight="1" x14ac:dyDescent="0.3">
      <c r="A713" s="5">
        <v>717</v>
      </c>
      <c r="B713" s="5" t="s">
        <v>180</v>
      </c>
      <c r="C713" s="5" t="s">
        <v>1596</v>
      </c>
      <c r="D713" s="5" t="s">
        <v>84</v>
      </c>
      <c r="E713" s="5" t="s">
        <v>149</v>
      </c>
      <c r="F713" s="5">
        <v>57060726</v>
      </c>
      <c r="G713" s="5" t="s">
        <v>16</v>
      </c>
      <c r="H713" s="7">
        <v>45826</v>
      </c>
      <c r="I713" s="7">
        <v>45828</v>
      </c>
      <c r="J713" s="8">
        <v>150</v>
      </c>
      <c r="K713" s="7">
        <v>45840</v>
      </c>
      <c r="L713" s="5"/>
      <c r="P713" s="23"/>
    </row>
    <row r="714" spans="1:16" ht="14.4" customHeight="1" x14ac:dyDescent="0.3">
      <c r="A714" s="5">
        <v>718</v>
      </c>
      <c r="B714" s="5" t="s">
        <v>1618</v>
      </c>
      <c r="C714" s="5" t="s">
        <v>1619</v>
      </c>
      <c r="D714" s="5" t="s">
        <v>84</v>
      </c>
      <c r="E714" s="5" t="s">
        <v>84</v>
      </c>
      <c r="F714" s="5">
        <v>58212856</v>
      </c>
      <c r="G714" s="5" t="s">
        <v>16</v>
      </c>
      <c r="H714" s="7">
        <v>45826</v>
      </c>
      <c r="I714" s="7">
        <v>45828</v>
      </c>
      <c r="J714" s="8">
        <v>150</v>
      </c>
      <c r="K714" s="7">
        <v>45840</v>
      </c>
      <c r="L714" s="5"/>
      <c r="P714" s="23"/>
    </row>
    <row r="715" spans="1:16" ht="14.4" customHeight="1" x14ac:dyDescent="0.3">
      <c r="A715" s="5">
        <v>719</v>
      </c>
      <c r="B715" s="5" t="s">
        <v>1590</v>
      </c>
      <c r="C715" s="5" t="s">
        <v>1591</v>
      </c>
      <c r="D715" s="5" t="s">
        <v>84</v>
      </c>
      <c r="E715" s="5" t="s">
        <v>84</v>
      </c>
      <c r="F715" s="5">
        <v>57030129</v>
      </c>
      <c r="G715" s="5" t="s">
        <v>16</v>
      </c>
      <c r="H715" s="7">
        <v>45826</v>
      </c>
      <c r="I715" s="7">
        <v>45828</v>
      </c>
      <c r="J715" s="8">
        <v>150</v>
      </c>
      <c r="K715" s="7">
        <v>45840</v>
      </c>
      <c r="L715" s="5"/>
      <c r="P715" s="23"/>
    </row>
    <row r="716" spans="1:16" ht="14.4" customHeight="1" x14ac:dyDescent="0.3">
      <c r="A716" s="5">
        <v>720</v>
      </c>
      <c r="B716" s="5" t="s">
        <v>1610</v>
      </c>
      <c r="C716" s="5" t="s">
        <v>1611</v>
      </c>
      <c r="D716" s="5" t="s">
        <v>68</v>
      </c>
      <c r="E716" s="5" t="s">
        <v>2392</v>
      </c>
      <c r="F716" s="5" t="s">
        <v>1612</v>
      </c>
      <c r="G716" s="5" t="s">
        <v>16</v>
      </c>
      <c r="H716" s="7">
        <v>45826</v>
      </c>
      <c r="I716" s="7">
        <v>45828</v>
      </c>
      <c r="J716" s="8">
        <v>150</v>
      </c>
      <c r="K716" s="7">
        <v>45840</v>
      </c>
      <c r="L716" s="5"/>
      <c r="P716" s="23"/>
    </row>
    <row r="717" spans="1:16" ht="14.4" customHeight="1" x14ac:dyDescent="0.3">
      <c r="A717" s="5">
        <v>721</v>
      </c>
      <c r="B717" s="5" t="s">
        <v>1579</v>
      </c>
      <c r="C717" s="5" t="s">
        <v>1300</v>
      </c>
      <c r="D717" s="5" t="s">
        <v>41</v>
      </c>
      <c r="E717" s="5" t="s">
        <v>126</v>
      </c>
      <c r="F717" s="5">
        <v>59071536</v>
      </c>
      <c r="G717" s="5" t="s">
        <v>16</v>
      </c>
      <c r="H717" s="7">
        <v>45826</v>
      </c>
      <c r="I717" s="7">
        <v>45828</v>
      </c>
      <c r="J717" s="8">
        <v>150</v>
      </c>
      <c r="K717" s="7">
        <v>45840</v>
      </c>
      <c r="L717" s="5"/>
      <c r="P717" s="23"/>
    </row>
    <row r="718" spans="1:16" ht="14.4" customHeight="1" x14ac:dyDescent="0.3">
      <c r="A718" s="5">
        <v>722</v>
      </c>
      <c r="B718" s="5" t="s">
        <v>1580</v>
      </c>
      <c r="C718" s="5" t="s">
        <v>1581</v>
      </c>
      <c r="D718" s="5" t="s">
        <v>41</v>
      </c>
      <c r="E718" s="5" t="s">
        <v>1315</v>
      </c>
      <c r="F718" s="5">
        <v>58101958</v>
      </c>
      <c r="G718" s="5" t="s">
        <v>16</v>
      </c>
      <c r="H718" s="7">
        <v>45826</v>
      </c>
      <c r="I718" s="7">
        <v>45828</v>
      </c>
      <c r="J718" s="8">
        <v>150</v>
      </c>
      <c r="K718" s="7">
        <v>45840</v>
      </c>
      <c r="L718" s="5"/>
      <c r="P718" s="23"/>
    </row>
    <row r="719" spans="1:16" ht="14.4" customHeight="1" x14ac:dyDescent="0.3">
      <c r="A719" s="5">
        <v>723</v>
      </c>
      <c r="B719" s="5" t="s">
        <v>1343</v>
      </c>
      <c r="C719" s="5" t="s">
        <v>1261</v>
      </c>
      <c r="D719" s="5" t="s">
        <v>475</v>
      </c>
      <c r="E719" s="5" t="s">
        <v>1262</v>
      </c>
      <c r="F719" s="5">
        <v>57809971</v>
      </c>
      <c r="G719" s="5" t="s">
        <v>1024</v>
      </c>
      <c r="H719" s="7">
        <v>45826</v>
      </c>
      <c r="I719" s="7">
        <v>45828</v>
      </c>
      <c r="J719" s="8">
        <v>150</v>
      </c>
      <c r="K719" s="7">
        <v>45840</v>
      </c>
      <c r="L719" s="5"/>
      <c r="P719" s="23"/>
    </row>
    <row r="720" spans="1:16" ht="14.4" customHeight="1" x14ac:dyDescent="0.3">
      <c r="A720" s="5">
        <v>724</v>
      </c>
      <c r="B720" s="5" t="s">
        <v>1604</v>
      </c>
      <c r="C720" s="5" t="s">
        <v>1605</v>
      </c>
      <c r="D720" s="5" t="s">
        <v>68</v>
      </c>
      <c r="E720" s="5" t="s">
        <v>168</v>
      </c>
      <c r="F720" s="5">
        <v>59824965</v>
      </c>
      <c r="G720" s="5" t="s">
        <v>16</v>
      </c>
      <c r="H720" s="7">
        <v>45826</v>
      </c>
      <c r="I720" s="7">
        <v>45828</v>
      </c>
      <c r="J720" s="8">
        <v>150</v>
      </c>
      <c r="K720" s="7">
        <v>45840</v>
      </c>
      <c r="L720" s="5"/>
      <c r="P720" s="23"/>
    </row>
    <row r="721" spans="1:16" ht="14.4" customHeight="1" x14ac:dyDescent="0.3">
      <c r="A721" s="5">
        <v>726</v>
      </c>
      <c r="B721" s="5" t="s">
        <v>1582</v>
      </c>
      <c r="C721" s="5" t="s">
        <v>1583</v>
      </c>
      <c r="D721" s="5" t="s">
        <v>84</v>
      </c>
      <c r="E721" s="5" t="s">
        <v>84</v>
      </c>
      <c r="F721" s="5">
        <v>58598902</v>
      </c>
      <c r="G721" s="5" t="s">
        <v>16</v>
      </c>
      <c r="H721" s="7">
        <v>45826</v>
      </c>
      <c r="I721" s="7">
        <v>45828</v>
      </c>
      <c r="J721" s="8">
        <v>150</v>
      </c>
      <c r="K721" s="7">
        <v>45840</v>
      </c>
      <c r="L721" s="5"/>
      <c r="P721" s="23"/>
    </row>
    <row r="722" spans="1:16" ht="14.4" customHeight="1" x14ac:dyDescent="0.3">
      <c r="A722" s="5">
        <v>727</v>
      </c>
      <c r="B722" s="5" t="s">
        <v>1592</v>
      </c>
      <c r="C722" s="5" t="s">
        <v>1593</v>
      </c>
      <c r="D722" s="5" t="s">
        <v>84</v>
      </c>
      <c r="E722" s="5" t="s">
        <v>84</v>
      </c>
      <c r="F722" s="5">
        <v>59396749</v>
      </c>
      <c r="G722" s="5" t="s">
        <v>16</v>
      </c>
      <c r="H722" s="7">
        <v>45826</v>
      </c>
      <c r="I722" s="7">
        <v>45828</v>
      </c>
      <c r="J722" s="8">
        <v>150</v>
      </c>
      <c r="K722" s="7">
        <v>45840</v>
      </c>
      <c r="L722" s="5"/>
      <c r="P722" s="23"/>
    </row>
    <row r="723" spans="1:16" ht="14.4" customHeight="1" x14ac:dyDescent="0.3">
      <c r="A723" s="5">
        <v>728</v>
      </c>
      <c r="B723" s="5" t="s">
        <v>1656</v>
      </c>
      <c r="C723" s="5" t="s">
        <v>1624</v>
      </c>
      <c r="D723" s="5" t="s">
        <v>475</v>
      </c>
      <c r="E723" s="5" t="s">
        <v>475</v>
      </c>
      <c r="F723" s="5">
        <v>59791131</v>
      </c>
      <c r="G723" s="5" t="s">
        <v>16</v>
      </c>
      <c r="H723" s="7">
        <v>45826</v>
      </c>
      <c r="I723" s="7">
        <v>45828</v>
      </c>
      <c r="J723" s="8">
        <v>150</v>
      </c>
      <c r="K723" s="7">
        <v>45840</v>
      </c>
      <c r="L723" s="5"/>
      <c r="P723" s="23"/>
    </row>
    <row r="724" spans="1:16" ht="14.4" customHeight="1" x14ac:dyDescent="0.3">
      <c r="A724" s="5">
        <v>729</v>
      </c>
      <c r="B724" s="5" t="s">
        <v>1577</v>
      </c>
      <c r="C724" s="5" t="s">
        <v>1578</v>
      </c>
      <c r="D724" s="5" t="s">
        <v>475</v>
      </c>
      <c r="E724" s="5" t="s">
        <v>131</v>
      </c>
      <c r="F724" s="5">
        <v>52587154</v>
      </c>
      <c r="G724" s="5" t="s">
        <v>16</v>
      </c>
      <c r="H724" s="7">
        <v>45826</v>
      </c>
      <c r="I724" s="7">
        <v>45828</v>
      </c>
      <c r="J724" s="8">
        <v>150</v>
      </c>
      <c r="K724" s="7">
        <v>45840</v>
      </c>
      <c r="L724" s="5"/>
      <c r="P724" s="23"/>
    </row>
    <row r="725" spans="1:16" ht="14.4" customHeight="1" x14ac:dyDescent="0.3">
      <c r="A725" s="5">
        <v>730</v>
      </c>
      <c r="B725" s="5" t="s">
        <v>1574</v>
      </c>
      <c r="C725" s="5" t="s">
        <v>1044</v>
      </c>
      <c r="D725" s="5" t="s">
        <v>137</v>
      </c>
      <c r="E725" s="5" t="s">
        <v>98</v>
      </c>
      <c r="F725" s="5">
        <v>58048801</v>
      </c>
      <c r="G725" s="5" t="s">
        <v>16</v>
      </c>
      <c r="H725" s="7">
        <v>45826</v>
      </c>
      <c r="I725" s="7">
        <v>45828</v>
      </c>
      <c r="J725" s="8">
        <v>150</v>
      </c>
      <c r="K725" s="7">
        <v>45840</v>
      </c>
      <c r="L725" s="5"/>
      <c r="P725" s="23"/>
    </row>
    <row r="726" spans="1:16" ht="14.4" customHeight="1" x14ac:dyDescent="0.3">
      <c r="A726" s="5">
        <v>731</v>
      </c>
      <c r="B726" s="5" t="s">
        <v>1620</v>
      </c>
      <c r="C726" s="5" t="s">
        <v>1621</v>
      </c>
      <c r="D726" s="5" t="s">
        <v>475</v>
      </c>
      <c r="E726" s="5" t="s">
        <v>807</v>
      </c>
      <c r="F726" s="5">
        <v>59255067</v>
      </c>
      <c r="G726" s="5" t="s">
        <v>16</v>
      </c>
      <c r="H726" s="7">
        <v>45826</v>
      </c>
      <c r="I726" s="7">
        <v>45828</v>
      </c>
      <c r="J726" s="8">
        <v>150</v>
      </c>
      <c r="K726" s="7">
        <v>45840</v>
      </c>
      <c r="L726" s="5"/>
      <c r="P726" s="23"/>
    </row>
    <row r="727" spans="1:16" ht="14.4" customHeight="1" x14ac:dyDescent="0.3">
      <c r="A727" s="5">
        <v>732</v>
      </c>
      <c r="B727" s="5" t="s">
        <v>667</v>
      </c>
      <c r="C727" s="5" t="s">
        <v>668</v>
      </c>
      <c r="D727" s="5" t="s">
        <v>68</v>
      </c>
      <c r="E727" s="5" t="s">
        <v>69</v>
      </c>
      <c r="F727" s="5">
        <v>57018344</v>
      </c>
      <c r="G727" s="5" t="s">
        <v>16</v>
      </c>
      <c r="H727" s="7">
        <v>45826</v>
      </c>
      <c r="I727" s="7">
        <v>45828</v>
      </c>
      <c r="J727" s="8">
        <v>150</v>
      </c>
      <c r="K727" s="7">
        <v>45840</v>
      </c>
      <c r="L727" s="5"/>
      <c r="P727" s="23"/>
    </row>
    <row r="728" spans="1:16" ht="14.4" customHeight="1" x14ac:dyDescent="0.3">
      <c r="A728" s="5">
        <v>735</v>
      </c>
      <c r="B728" s="5" t="s">
        <v>1622</v>
      </c>
      <c r="C728" s="5" t="s">
        <v>1623</v>
      </c>
      <c r="D728" s="5" t="s">
        <v>68</v>
      </c>
      <c r="E728" s="5" t="s">
        <v>74</v>
      </c>
      <c r="F728" s="5">
        <v>57510048</v>
      </c>
      <c r="G728" s="5" t="s">
        <v>16</v>
      </c>
      <c r="H728" s="7">
        <v>45826</v>
      </c>
      <c r="I728" s="7">
        <v>45828</v>
      </c>
      <c r="J728" s="8">
        <v>150</v>
      </c>
      <c r="K728" s="7">
        <v>45840</v>
      </c>
      <c r="L728" s="5"/>
      <c r="P728" s="23"/>
    </row>
    <row r="729" spans="1:16" ht="14.4" customHeight="1" x14ac:dyDescent="0.3">
      <c r="A729" s="5">
        <v>736</v>
      </c>
      <c r="B729" s="5" t="s">
        <v>1594</v>
      </c>
      <c r="C729" s="5" t="s">
        <v>1595</v>
      </c>
      <c r="D729" s="5" t="s">
        <v>68</v>
      </c>
      <c r="E729" s="5" t="s">
        <v>226</v>
      </c>
      <c r="F729" s="5">
        <v>58293056</v>
      </c>
      <c r="G729" s="5" t="s">
        <v>16</v>
      </c>
      <c r="H729" s="7">
        <v>45826</v>
      </c>
      <c r="I729" s="7">
        <v>45828</v>
      </c>
      <c r="J729" s="8">
        <v>150</v>
      </c>
      <c r="K729" s="7">
        <v>45840</v>
      </c>
      <c r="L729" s="5"/>
      <c r="P729" s="23"/>
    </row>
    <row r="730" spans="1:16" ht="14.4" customHeight="1" x14ac:dyDescent="0.3">
      <c r="A730" s="5">
        <v>737</v>
      </c>
      <c r="B730" s="5" t="s">
        <v>1201</v>
      </c>
      <c r="C730" s="5" t="s">
        <v>1202</v>
      </c>
      <c r="D730" s="5" t="s">
        <v>41</v>
      </c>
      <c r="E730" s="5" t="s">
        <v>743</v>
      </c>
      <c r="F730" s="5">
        <v>58101472</v>
      </c>
      <c r="G730" s="5" t="s">
        <v>16</v>
      </c>
      <c r="H730" s="7">
        <v>45826</v>
      </c>
      <c r="I730" s="7">
        <v>45828</v>
      </c>
      <c r="J730" s="8">
        <v>150</v>
      </c>
      <c r="K730" s="7">
        <v>45840</v>
      </c>
      <c r="L730" s="5"/>
      <c r="P730" s="23"/>
    </row>
    <row r="731" spans="1:16" ht="14.4" customHeight="1" x14ac:dyDescent="0.3">
      <c r="A731" s="5">
        <v>738</v>
      </c>
      <c r="B731" s="5" t="s">
        <v>1572</v>
      </c>
      <c r="C731" s="5" t="s">
        <v>1573</v>
      </c>
      <c r="D731" s="5" t="s">
        <v>68</v>
      </c>
      <c r="E731" s="5" t="s">
        <v>696</v>
      </c>
      <c r="F731" s="5">
        <v>57836495</v>
      </c>
      <c r="G731" s="5" t="s">
        <v>16</v>
      </c>
      <c r="H731" s="7">
        <v>45826</v>
      </c>
      <c r="I731" s="7">
        <v>45828</v>
      </c>
      <c r="J731" s="8">
        <v>150</v>
      </c>
      <c r="K731" s="7">
        <v>45840</v>
      </c>
      <c r="L731" s="5"/>
      <c r="P731" s="23"/>
    </row>
    <row r="732" spans="1:16" ht="14.4" customHeight="1" x14ac:dyDescent="0.3">
      <c r="A732" s="5">
        <v>739</v>
      </c>
      <c r="B732" s="5" t="s">
        <v>1606</v>
      </c>
      <c r="C732" s="5" t="s">
        <v>1607</v>
      </c>
      <c r="D732" s="5" t="s">
        <v>68</v>
      </c>
      <c r="E732" s="5" t="s">
        <v>161</v>
      </c>
      <c r="F732" s="5">
        <v>54522991</v>
      </c>
      <c r="G732" s="5" t="s">
        <v>16</v>
      </c>
      <c r="H732" s="7">
        <v>45826</v>
      </c>
      <c r="I732" s="7">
        <v>45828</v>
      </c>
      <c r="J732" s="8">
        <v>150</v>
      </c>
      <c r="K732" s="7">
        <v>45840</v>
      </c>
      <c r="L732" s="5"/>
      <c r="P732" s="23"/>
    </row>
    <row r="733" spans="1:16" ht="14.4" customHeight="1" x14ac:dyDescent="0.3">
      <c r="A733" s="5">
        <v>740</v>
      </c>
      <c r="B733" s="5" t="s">
        <v>1613</v>
      </c>
      <c r="C733" s="5" t="s">
        <v>1614</v>
      </c>
      <c r="D733" s="5" t="s">
        <v>475</v>
      </c>
      <c r="E733" s="5" t="s">
        <v>1615</v>
      </c>
      <c r="F733" s="5">
        <v>57651014</v>
      </c>
      <c r="G733" s="5" t="s">
        <v>16</v>
      </c>
      <c r="H733" s="7">
        <v>45826</v>
      </c>
      <c r="I733" s="7">
        <v>45828</v>
      </c>
      <c r="J733" s="8">
        <v>150</v>
      </c>
      <c r="K733" s="7">
        <v>45840</v>
      </c>
      <c r="L733" s="5"/>
      <c r="P733" s="23"/>
    </row>
    <row r="734" spans="1:16" ht="14.4" customHeight="1" x14ac:dyDescent="0.3">
      <c r="A734" s="5">
        <v>741</v>
      </c>
      <c r="B734" s="5" t="s">
        <v>1616</v>
      </c>
      <c r="C734" s="5" t="s">
        <v>1617</v>
      </c>
      <c r="D734" s="5" t="s">
        <v>68</v>
      </c>
      <c r="E734" s="5" t="s">
        <v>402</v>
      </c>
      <c r="F734" s="5">
        <v>58802726</v>
      </c>
      <c r="G734" s="5" t="s">
        <v>16</v>
      </c>
      <c r="H734" s="7">
        <v>45826</v>
      </c>
      <c r="I734" s="7">
        <v>45828</v>
      </c>
      <c r="J734" s="8">
        <v>150</v>
      </c>
      <c r="K734" s="7">
        <v>45840</v>
      </c>
      <c r="L734" s="5"/>
      <c r="P734" s="23"/>
    </row>
    <row r="735" spans="1:16" ht="14.4" customHeight="1" x14ac:dyDescent="0.3">
      <c r="A735" s="5">
        <v>742</v>
      </c>
      <c r="B735" s="5" t="s">
        <v>1588</v>
      </c>
      <c r="C735" s="5" t="s">
        <v>1589</v>
      </c>
      <c r="D735" s="5" t="s">
        <v>68</v>
      </c>
      <c r="E735" s="5" t="s">
        <v>69</v>
      </c>
      <c r="F735" s="5">
        <v>58141383</v>
      </c>
      <c r="G735" s="5" t="s">
        <v>16</v>
      </c>
      <c r="H735" s="7">
        <v>45826</v>
      </c>
      <c r="I735" s="7">
        <v>45828</v>
      </c>
      <c r="J735" s="8">
        <v>150</v>
      </c>
      <c r="K735" s="7">
        <v>45840</v>
      </c>
      <c r="L735" s="5"/>
      <c r="P735" s="23"/>
    </row>
    <row r="736" spans="1:16" ht="14.4" customHeight="1" x14ac:dyDescent="0.3">
      <c r="A736" s="5">
        <v>743</v>
      </c>
      <c r="B736" s="5" t="s">
        <v>1602</v>
      </c>
      <c r="C736" s="5" t="s">
        <v>1603</v>
      </c>
      <c r="D736" s="5" t="s">
        <v>68</v>
      </c>
      <c r="E736" s="5" t="s">
        <v>101</v>
      </c>
      <c r="F736" s="5">
        <v>57750086</v>
      </c>
      <c r="G736" s="5" t="s">
        <v>16</v>
      </c>
      <c r="H736" s="7">
        <v>45826</v>
      </c>
      <c r="I736" s="7">
        <v>45828</v>
      </c>
      <c r="J736" s="8">
        <v>150</v>
      </c>
      <c r="K736" s="7">
        <v>45840</v>
      </c>
      <c r="L736" s="5"/>
      <c r="P736" s="23"/>
    </row>
    <row r="737" spans="1:16" ht="14.4" customHeight="1" x14ac:dyDescent="0.3">
      <c r="A737" s="5">
        <v>744</v>
      </c>
      <c r="B737" s="5" t="s">
        <v>1575</v>
      </c>
      <c r="C737" s="5" t="s">
        <v>1576</v>
      </c>
      <c r="D737" s="5" t="s">
        <v>475</v>
      </c>
      <c r="E737" s="5" t="s">
        <v>1076</v>
      </c>
      <c r="F737" s="5">
        <v>57535420</v>
      </c>
      <c r="G737" s="5" t="s">
        <v>16</v>
      </c>
      <c r="H737" s="7">
        <v>45826</v>
      </c>
      <c r="I737" s="7">
        <v>45828</v>
      </c>
      <c r="J737" s="8">
        <v>150</v>
      </c>
      <c r="K737" s="7">
        <v>45840</v>
      </c>
      <c r="L737" s="5"/>
      <c r="P737" s="23"/>
    </row>
    <row r="738" spans="1:16" ht="14.4" customHeight="1" x14ac:dyDescent="0.3">
      <c r="A738" s="5">
        <v>745</v>
      </c>
      <c r="B738" s="5" t="s">
        <v>1584</v>
      </c>
      <c r="C738" s="5" t="s">
        <v>1585</v>
      </c>
      <c r="D738" s="5" t="s">
        <v>426</v>
      </c>
      <c r="E738" s="5" t="s">
        <v>360</v>
      </c>
      <c r="F738" s="5">
        <v>57672610</v>
      </c>
      <c r="G738" s="5" t="s">
        <v>16</v>
      </c>
      <c r="H738" s="7">
        <v>45826</v>
      </c>
      <c r="I738" s="7">
        <v>45828</v>
      </c>
      <c r="J738" s="8">
        <v>150</v>
      </c>
      <c r="K738" s="7">
        <v>45840</v>
      </c>
      <c r="L738" s="5"/>
      <c r="P738" s="23"/>
    </row>
    <row r="739" spans="1:16" ht="14.4" customHeight="1" x14ac:dyDescent="0.3">
      <c r="A739" s="5">
        <v>747</v>
      </c>
      <c r="B739" s="5" t="s">
        <v>1570</v>
      </c>
      <c r="C739" s="5" t="s">
        <v>325</v>
      </c>
      <c r="D739" s="5" t="s">
        <v>601</v>
      </c>
      <c r="E739" s="5" t="s">
        <v>211</v>
      </c>
      <c r="F739" s="5" t="s">
        <v>1571</v>
      </c>
      <c r="G739" s="5" t="s">
        <v>16</v>
      </c>
      <c r="H739" s="7">
        <v>45826</v>
      </c>
      <c r="I739" s="7">
        <v>45828</v>
      </c>
      <c r="J739" s="8">
        <v>150</v>
      </c>
      <c r="K739" s="7">
        <v>45840</v>
      </c>
      <c r="L739" s="5"/>
      <c r="P739" s="23"/>
    </row>
    <row r="740" spans="1:16" ht="14.4" customHeight="1" x14ac:dyDescent="0.3">
      <c r="A740" s="5">
        <v>748</v>
      </c>
      <c r="B740" s="5" t="s">
        <v>1598</v>
      </c>
      <c r="C740" s="5" t="s">
        <v>1599</v>
      </c>
      <c r="D740" s="5" t="s">
        <v>68</v>
      </c>
      <c r="E740" s="5" t="s">
        <v>74</v>
      </c>
      <c r="F740" s="5">
        <v>57777866</v>
      </c>
      <c r="G740" s="5" t="s">
        <v>16</v>
      </c>
      <c r="H740" s="7">
        <v>45826</v>
      </c>
      <c r="I740" s="7">
        <v>45828</v>
      </c>
      <c r="J740" s="8">
        <v>150</v>
      </c>
      <c r="K740" s="7">
        <v>45840</v>
      </c>
      <c r="L740" s="5"/>
      <c r="P740" s="23"/>
    </row>
    <row r="741" spans="1:16" ht="14.4" customHeight="1" x14ac:dyDescent="0.3">
      <c r="A741" s="5">
        <v>749</v>
      </c>
      <c r="B741" s="5" t="s">
        <v>1657</v>
      </c>
      <c r="C741" s="5" t="s">
        <v>1625</v>
      </c>
      <c r="D741" s="5" t="s">
        <v>1626</v>
      </c>
      <c r="E741" s="5" t="s">
        <v>1637</v>
      </c>
      <c r="F741" s="5">
        <v>58108447</v>
      </c>
      <c r="G741" s="5" t="s">
        <v>1016</v>
      </c>
      <c r="H741" s="7">
        <v>45828</v>
      </c>
      <c r="I741" s="7">
        <v>45828</v>
      </c>
      <c r="J741" s="8">
        <v>150</v>
      </c>
      <c r="K741" s="7">
        <v>45840</v>
      </c>
      <c r="L741" s="5" t="s">
        <v>1638</v>
      </c>
      <c r="P741" s="23"/>
    </row>
    <row r="742" spans="1:16" ht="14.4" customHeight="1" x14ac:dyDescent="0.3">
      <c r="A742" s="5">
        <v>750</v>
      </c>
      <c r="B742" s="5" t="s">
        <v>1627</v>
      </c>
      <c r="C742" s="5" t="s">
        <v>1628</v>
      </c>
      <c r="D742" s="5" t="s">
        <v>1629</v>
      </c>
      <c r="E742" s="5" t="s">
        <v>84</v>
      </c>
      <c r="F742" s="5">
        <v>57692760</v>
      </c>
      <c r="G742" s="5" t="s">
        <v>1016</v>
      </c>
      <c r="H742" s="7">
        <v>45828</v>
      </c>
      <c r="I742" s="7">
        <v>45828</v>
      </c>
      <c r="J742" s="8">
        <v>150</v>
      </c>
      <c r="K742" s="7">
        <v>45840</v>
      </c>
      <c r="L742" s="5" t="s">
        <v>1638</v>
      </c>
      <c r="P742" s="23"/>
    </row>
    <row r="743" spans="1:16" ht="14.4" customHeight="1" x14ac:dyDescent="0.3">
      <c r="A743" s="5">
        <v>751</v>
      </c>
      <c r="B743" s="5" t="s">
        <v>1630</v>
      </c>
      <c r="C743" s="5" t="s">
        <v>1631</v>
      </c>
      <c r="D743" s="5" t="s">
        <v>14</v>
      </c>
      <c r="E743" s="5" t="s">
        <v>259</v>
      </c>
      <c r="F743" s="5">
        <v>57594752</v>
      </c>
      <c r="G743" s="5" t="s">
        <v>1016</v>
      </c>
      <c r="H743" s="7">
        <v>45828</v>
      </c>
      <c r="I743" s="7">
        <v>45828</v>
      </c>
      <c r="J743" s="8">
        <v>150</v>
      </c>
      <c r="K743" s="7">
        <v>45840</v>
      </c>
      <c r="L743" s="5" t="s">
        <v>1638</v>
      </c>
      <c r="P743" s="23"/>
    </row>
    <row r="744" spans="1:16" ht="14.4" customHeight="1" x14ac:dyDescent="0.3">
      <c r="A744" s="5">
        <v>752</v>
      </c>
      <c r="B744" s="5" t="s">
        <v>1632</v>
      </c>
      <c r="C744" s="5" t="s">
        <v>69</v>
      </c>
      <c r="D744" s="5" t="s">
        <v>68</v>
      </c>
      <c r="E744" s="5" t="s">
        <v>69</v>
      </c>
      <c r="F744" s="5">
        <v>59655883</v>
      </c>
      <c r="G744" s="5" t="s">
        <v>1016</v>
      </c>
      <c r="H744" s="7">
        <v>45828</v>
      </c>
      <c r="I744" s="7">
        <v>45828</v>
      </c>
      <c r="J744" s="8">
        <v>150</v>
      </c>
      <c r="K744" s="7">
        <v>45840</v>
      </c>
      <c r="L744" s="5"/>
      <c r="P744" s="23"/>
    </row>
    <row r="745" spans="1:16" ht="14.4" customHeight="1" x14ac:dyDescent="0.3">
      <c r="A745" s="5">
        <v>753</v>
      </c>
      <c r="B745" s="5" t="s">
        <v>1633</v>
      </c>
      <c r="C745" s="5" t="s">
        <v>1634</v>
      </c>
      <c r="D745" s="5" t="s">
        <v>1020</v>
      </c>
      <c r="E745" s="5" t="s">
        <v>84</v>
      </c>
      <c r="F745" s="5">
        <v>57881220</v>
      </c>
      <c r="G745" s="5" t="s">
        <v>1016</v>
      </c>
      <c r="H745" s="7">
        <v>45828</v>
      </c>
      <c r="I745" s="7">
        <v>45828</v>
      </c>
      <c r="J745" s="8">
        <v>150</v>
      </c>
      <c r="K745" s="7">
        <v>45840</v>
      </c>
      <c r="L745" s="5"/>
      <c r="P745" s="23"/>
    </row>
    <row r="746" spans="1:16" ht="14.4" customHeight="1" x14ac:dyDescent="0.3">
      <c r="A746" s="5">
        <v>754</v>
      </c>
      <c r="B746" s="5" t="s">
        <v>1635</v>
      </c>
      <c r="C746" s="5" t="s">
        <v>1636</v>
      </c>
      <c r="D746" s="5" t="s">
        <v>276</v>
      </c>
      <c r="E746" s="5" t="s">
        <v>276</v>
      </c>
      <c r="F746" s="5">
        <v>57772982</v>
      </c>
      <c r="G746" s="5" t="s">
        <v>1016</v>
      </c>
      <c r="H746" s="7">
        <v>45828</v>
      </c>
      <c r="I746" s="7">
        <v>45828</v>
      </c>
      <c r="J746" s="8">
        <v>150</v>
      </c>
      <c r="K746" s="7">
        <v>45840</v>
      </c>
      <c r="L746" s="5"/>
      <c r="P746" s="23"/>
    </row>
    <row r="747" spans="1:16" ht="14.4" customHeight="1" x14ac:dyDescent="0.3">
      <c r="A747" s="5">
        <v>757</v>
      </c>
      <c r="B747" s="5" t="s">
        <v>1659</v>
      </c>
      <c r="C747" s="5" t="s">
        <v>1642</v>
      </c>
      <c r="D747" s="5" t="s">
        <v>1643</v>
      </c>
      <c r="E747" s="5" t="s">
        <v>1631</v>
      </c>
      <c r="F747" s="5">
        <v>57738283</v>
      </c>
      <c r="G747" s="5" t="s">
        <v>16</v>
      </c>
      <c r="H747" s="7">
        <v>45828</v>
      </c>
      <c r="I747" s="7">
        <v>45828</v>
      </c>
      <c r="J747" s="8">
        <v>150</v>
      </c>
      <c r="K747" s="7">
        <v>45840</v>
      </c>
      <c r="L747" s="5"/>
      <c r="P747" s="23"/>
    </row>
    <row r="748" spans="1:16" ht="14.4" customHeight="1" x14ac:dyDescent="0.3">
      <c r="A748" s="5">
        <v>758</v>
      </c>
      <c r="B748" s="5" t="s">
        <v>1661</v>
      </c>
      <c r="C748" s="5" t="s">
        <v>1662</v>
      </c>
      <c r="D748" s="5" t="s">
        <v>84</v>
      </c>
      <c r="E748" s="5" t="s">
        <v>84</v>
      </c>
      <c r="F748" s="5">
        <v>58358926</v>
      </c>
      <c r="G748" s="5" t="s">
        <v>1567</v>
      </c>
      <c r="H748" s="7">
        <v>45828</v>
      </c>
      <c r="I748" s="7">
        <v>45828</v>
      </c>
      <c r="J748" s="8">
        <v>150</v>
      </c>
      <c r="K748" s="7">
        <v>45840</v>
      </c>
      <c r="L748" s="5"/>
      <c r="P748" s="23"/>
    </row>
    <row r="749" spans="1:16" ht="14.4" customHeight="1" x14ac:dyDescent="0.3">
      <c r="A749" s="5">
        <v>694</v>
      </c>
      <c r="B749" s="5" t="s">
        <v>1525</v>
      </c>
      <c r="C749" s="5" t="s">
        <v>1526</v>
      </c>
      <c r="D749" s="5" t="s">
        <v>68</v>
      </c>
      <c r="E749" s="5" t="s">
        <v>101</v>
      </c>
      <c r="F749" s="5">
        <v>58112505</v>
      </c>
      <c r="G749" s="5" t="s">
        <v>16</v>
      </c>
      <c r="H749" s="7">
        <v>45823</v>
      </c>
      <c r="I749" s="7">
        <v>45831</v>
      </c>
      <c r="J749" s="8">
        <v>150</v>
      </c>
      <c r="K749" s="7">
        <v>45840</v>
      </c>
      <c r="L749" s="5"/>
      <c r="P749" s="23"/>
    </row>
    <row r="750" spans="1:16" ht="14.4" customHeight="1" x14ac:dyDescent="0.3">
      <c r="A750" s="5">
        <v>725</v>
      </c>
      <c r="B750" s="5" t="s">
        <v>1586</v>
      </c>
      <c r="C750" s="5" t="s">
        <v>1587</v>
      </c>
      <c r="D750" s="5" t="s">
        <v>426</v>
      </c>
      <c r="E750" s="5" t="s">
        <v>19</v>
      </c>
      <c r="F750" s="5">
        <v>57841073</v>
      </c>
      <c r="G750" s="5" t="s">
        <v>16</v>
      </c>
      <c r="H750" s="7">
        <v>45826</v>
      </c>
      <c r="I750" s="7">
        <v>45831</v>
      </c>
      <c r="J750" s="8">
        <v>150</v>
      </c>
      <c r="K750" s="7">
        <v>45840</v>
      </c>
      <c r="L750" s="5"/>
      <c r="P750" s="23"/>
    </row>
    <row r="751" spans="1:16" ht="14.4" customHeight="1" x14ac:dyDescent="0.3">
      <c r="A751" s="5">
        <v>733</v>
      </c>
      <c r="B751" s="5" t="s">
        <v>1608</v>
      </c>
      <c r="C751" s="5" t="s">
        <v>1609</v>
      </c>
      <c r="D751" s="5" t="s">
        <v>41</v>
      </c>
      <c r="E751" s="5" t="s">
        <v>715</v>
      </c>
      <c r="F751" s="5">
        <v>57603737</v>
      </c>
      <c r="G751" s="5" t="s">
        <v>16</v>
      </c>
      <c r="H751" s="7">
        <v>45826</v>
      </c>
      <c r="I751" s="7">
        <v>45831</v>
      </c>
      <c r="J751" s="8">
        <v>150</v>
      </c>
      <c r="K751" s="7">
        <v>45840</v>
      </c>
      <c r="L751" s="5"/>
      <c r="P751" s="23"/>
    </row>
    <row r="752" spans="1:16" ht="14.4" customHeight="1" x14ac:dyDescent="0.3">
      <c r="A752" s="5">
        <v>734</v>
      </c>
      <c r="B752" s="5" t="s">
        <v>1367</v>
      </c>
      <c r="C752" s="5" t="s">
        <v>1368</v>
      </c>
      <c r="D752" s="5" t="s">
        <v>601</v>
      </c>
      <c r="E752" s="5" t="s">
        <v>1369</v>
      </c>
      <c r="F752" s="5">
        <v>57637943</v>
      </c>
      <c r="G752" s="5" t="s">
        <v>16</v>
      </c>
      <c r="H752" s="7">
        <v>45826</v>
      </c>
      <c r="I752" s="7">
        <v>45831</v>
      </c>
      <c r="J752" s="8">
        <v>150</v>
      </c>
      <c r="K752" s="7">
        <v>45840</v>
      </c>
      <c r="L752" s="5"/>
      <c r="P752" s="23"/>
    </row>
    <row r="753" spans="1:16" ht="14.4" customHeight="1" x14ac:dyDescent="0.3">
      <c r="A753" s="5">
        <v>746</v>
      </c>
      <c r="B753" s="5" t="s">
        <v>1600</v>
      </c>
      <c r="C753" s="5" t="s">
        <v>1601</v>
      </c>
      <c r="D753" s="5" t="s">
        <v>68</v>
      </c>
      <c r="E753" s="5" t="s">
        <v>69</v>
      </c>
      <c r="F753" s="5">
        <v>57925574</v>
      </c>
      <c r="G753" s="5" t="s">
        <v>16</v>
      </c>
      <c r="H753" s="7">
        <v>45826</v>
      </c>
      <c r="I753" s="7">
        <v>45831</v>
      </c>
      <c r="J753" s="8">
        <v>150</v>
      </c>
      <c r="K753" s="7">
        <v>45840</v>
      </c>
      <c r="L753" s="5"/>
      <c r="P753" s="23"/>
    </row>
    <row r="754" spans="1:16" ht="14.4" customHeight="1" x14ac:dyDescent="0.3">
      <c r="A754" s="5">
        <v>756</v>
      </c>
      <c r="B754" s="5" t="s">
        <v>1639</v>
      </c>
      <c r="C754" s="5" t="s">
        <v>1640</v>
      </c>
      <c r="D754" s="5" t="s">
        <v>14</v>
      </c>
      <c r="E754" s="5" t="s">
        <v>673</v>
      </c>
      <c r="F754" s="5">
        <v>59229803</v>
      </c>
      <c r="G754" s="5" t="s">
        <v>1231</v>
      </c>
      <c r="H754" s="7">
        <v>45828</v>
      </c>
      <c r="I754" s="7">
        <v>45831</v>
      </c>
      <c r="J754" s="8">
        <v>150</v>
      </c>
      <c r="K754" s="7">
        <v>45840</v>
      </c>
      <c r="L754" s="5" t="s">
        <v>1641</v>
      </c>
      <c r="P754" s="23"/>
    </row>
    <row r="755" spans="1:16" ht="14.4" customHeight="1" x14ac:dyDescent="0.3">
      <c r="A755" s="5">
        <v>759</v>
      </c>
      <c r="B755" s="5" t="s">
        <v>1663</v>
      </c>
      <c r="C755" s="5" t="s">
        <v>1664</v>
      </c>
      <c r="D755" s="5" t="s">
        <v>1665</v>
      </c>
      <c r="E755" s="5" t="s">
        <v>276</v>
      </c>
      <c r="F755" s="5">
        <v>57956063</v>
      </c>
      <c r="G755" s="5" t="s">
        <v>16</v>
      </c>
      <c r="H755" s="7">
        <v>45830</v>
      </c>
      <c r="I755" s="7">
        <v>45831</v>
      </c>
      <c r="J755" s="8">
        <v>150</v>
      </c>
      <c r="K755" s="7">
        <v>45840</v>
      </c>
      <c r="L755" s="5"/>
      <c r="P755" s="23"/>
    </row>
    <row r="756" spans="1:16" ht="14.4" customHeight="1" x14ac:dyDescent="0.3">
      <c r="A756" s="5">
        <v>760</v>
      </c>
      <c r="B756" s="5" t="s">
        <v>1666</v>
      </c>
      <c r="C756" s="5" t="s">
        <v>1667</v>
      </c>
      <c r="D756" s="5" t="s">
        <v>49</v>
      </c>
      <c r="E756" s="5" t="s">
        <v>49</v>
      </c>
      <c r="F756" s="5">
        <v>57570258</v>
      </c>
      <c r="G756" s="5" t="s">
        <v>16</v>
      </c>
      <c r="H756" s="7">
        <v>45830</v>
      </c>
      <c r="I756" s="7">
        <v>45831</v>
      </c>
      <c r="J756" s="8">
        <v>150</v>
      </c>
      <c r="K756" s="7">
        <v>45840</v>
      </c>
      <c r="L756" s="5"/>
      <c r="P756" s="23"/>
    </row>
    <row r="757" spans="1:16" ht="14.4" customHeight="1" x14ac:dyDescent="0.3">
      <c r="A757" s="5">
        <v>761</v>
      </c>
      <c r="B757" s="5" t="s">
        <v>1602</v>
      </c>
      <c r="C757" s="5" t="s">
        <v>1603</v>
      </c>
      <c r="D757" s="5" t="s">
        <v>1668</v>
      </c>
      <c r="E757" s="5" t="s">
        <v>101</v>
      </c>
      <c r="F757" s="5">
        <v>57750086</v>
      </c>
      <c r="G757" s="5" t="s">
        <v>16</v>
      </c>
      <c r="H757" s="7">
        <v>45830</v>
      </c>
      <c r="I757" s="7">
        <v>45831</v>
      </c>
      <c r="J757" s="8">
        <v>150</v>
      </c>
      <c r="K757" s="7">
        <v>45840</v>
      </c>
      <c r="L757" s="5"/>
      <c r="P757" s="23"/>
    </row>
    <row r="758" spans="1:16" ht="14.4" customHeight="1" x14ac:dyDescent="0.3">
      <c r="A758" s="5">
        <v>762</v>
      </c>
      <c r="B758" s="5" t="s">
        <v>1669</v>
      </c>
      <c r="C758" s="5" t="s">
        <v>1670</v>
      </c>
      <c r="D758" s="5" t="s">
        <v>1671</v>
      </c>
      <c r="E758" s="5" t="s">
        <v>204</v>
      </c>
      <c r="F758" s="5">
        <v>58285831</v>
      </c>
      <c r="G758" s="5" t="s">
        <v>16</v>
      </c>
      <c r="H758" s="7">
        <v>45830</v>
      </c>
      <c r="I758" s="7">
        <v>45831</v>
      </c>
      <c r="J758" s="8">
        <v>150</v>
      </c>
      <c r="K758" s="7">
        <v>45840</v>
      </c>
      <c r="L758" s="5"/>
      <c r="P758" s="23"/>
    </row>
    <row r="759" spans="1:16" ht="14.4" customHeight="1" x14ac:dyDescent="0.3">
      <c r="A759" s="5">
        <v>763</v>
      </c>
      <c r="B759" s="5" t="s">
        <v>1672</v>
      </c>
      <c r="C759" s="5" t="s">
        <v>1673</v>
      </c>
      <c r="D759" s="5" t="s">
        <v>1675</v>
      </c>
      <c r="E759" s="5" t="s">
        <v>1674</v>
      </c>
      <c r="F759" s="5">
        <v>57984509</v>
      </c>
      <c r="G759" s="5" t="s">
        <v>16</v>
      </c>
      <c r="H759" s="7">
        <v>45830</v>
      </c>
      <c r="I759" s="7">
        <v>45831</v>
      </c>
      <c r="J759" s="8">
        <v>150</v>
      </c>
      <c r="K759" s="7">
        <v>45840</v>
      </c>
      <c r="L759" s="5"/>
      <c r="P759" s="23"/>
    </row>
    <row r="760" spans="1:16" ht="14.4" customHeight="1" x14ac:dyDescent="0.3">
      <c r="A760" s="5">
        <v>764</v>
      </c>
      <c r="B760" s="5" t="s">
        <v>432</v>
      </c>
      <c r="C760" s="5" t="s">
        <v>1676</v>
      </c>
      <c r="D760" s="5" t="s">
        <v>1677</v>
      </c>
      <c r="E760" s="5" t="s">
        <v>305</v>
      </c>
      <c r="F760" s="5">
        <v>54873998</v>
      </c>
      <c r="G760" s="5" t="s">
        <v>16</v>
      </c>
      <c r="H760" s="7">
        <v>45830</v>
      </c>
      <c r="I760" s="7">
        <v>45831</v>
      </c>
      <c r="J760" s="8">
        <v>150</v>
      </c>
      <c r="K760" s="7">
        <v>45840</v>
      </c>
      <c r="L760" s="5"/>
      <c r="P760" s="23"/>
    </row>
    <row r="761" spans="1:16" ht="14.4" customHeight="1" x14ac:dyDescent="0.3">
      <c r="A761" s="5">
        <v>765</v>
      </c>
      <c r="B761" s="5" t="s">
        <v>1679</v>
      </c>
      <c r="C761" s="5" t="s">
        <v>1680</v>
      </c>
      <c r="D761" s="5" t="s">
        <v>163</v>
      </c>
      <c r="E761" s="5" t="s">
        <v>74</v>
      </c>
      <c r="F761" s="5">
        <v>57976043</v>
      </c>
      <c r="G761" s="5" t="s">
        <v>16</v>
      </c>
      <c r="H761" s="7">
        <v>45830</v>
      </c>
      <c r="I761" s="7">
        <v>45831</v>
      </c>
      <c r="J761" s="8">
        <v>150</v>
      </c>
      <c r="K761" s="7">
        <v>45840</v>
      </c>
      <c r="L761" s="5"/>
      <c r="P761" s="23"/>
    </row>
    <row r="762" spans="1:16" ht="14.4" customHeight="1" x14ac:dyDescent="0.3">
      <c r="A762" s="5">
        <v>766</v>
      </c>
      <c r="B762" s="5" t="s">
        <v>1681</v>
      </c>
      <c r="C762" s="5" t="s">
        <v>1682</v>
      </c>
      <c r="D762" s="5" t="s">
        <v>1683</v>
      </c>
      <c r="E762" s="5" t="s">
        <v>1684</v>
      </c>
      <c r="F762" s="5">
        <v>59255489</v>
      </c>
      <c r="G762" s="5" t="s">
        <v>16</v>
      </c>
      <c r="H762" s="7">
        <v>45830</v>
      </c>
      <c r="I762" s="7">
        <v>45831</v>
      </c>
      <c r="J762" s="8">
        <v>150</v>
      </c>
      <c r="K762" s="7">
        <v>45840</v>
      </c>
      <c r="L762" s="5"/>
      <c r="P762" s="23"/>
    </row>
    <row r="763" spans="1:16" ht="14.4" customHeight="1" x14ac:dyDescent="0.3">
      <c r="A763" s="5">
        <v>767</v>
      </c>
      <c r="B763" s="5" t="s">
        <v>1180</v>
      </c>
      <c r="C763" s="5" t="s">
        <v>1181</v>
      </c>
      <c r="D763" s="5" t="s">
        <v>1683</v>
      </c>
      <c r="E763" s="5" t="s">
        <v>276</v>
      </c>
      <c r="F763" s="5">
        <v>57633463</v>
      </c>
      <c r="G763" s="5" t="s">
        <v>16</v>
      </c>
      <c r="H763" s="7">
        <v>45830</v>
      </c>
      <c r="I763" s="7">
        <v>45831</v>
      </c>
      <c r="J763" s="8">
        <v>150</v>
      </c>
      <c r="K763" s="7">
        <v>45840</v>
      </c>
      <c r="L763" s="5"/>
      <c r="P763" s="23"/>
    </row>
    <row r="764" spans="1:16" ht="14.4" customHeight="1" x14ac:dyDescent="0.3">
      <c r="A764" s="5">
        <v>768</v>
      </c>
      <c r="B764" s="5" t="s">
        <v>1685</v>
      </c>
      <c r="C764" s="5" t="s">
        <v>1686</v>
      </c>
      <c r="D764" s="5" t="s">
        <v>161</v>
      </c>
      <c r="E764" s="5" t="s">
        <v>696</v>
      </c>
      <c r="F764" s="5">
        <v>57960205</v>
      </c>
      <c r="G764" s="5" t="s">
        <v>16</v>
      </c>
      <c r="H764" s="7">
        <v>45830</v>
      </c>
      <c r="I764" s="7">
        <v>45831</v>
      </c>
      <c r="J764" s="8">
        <v>150</v>
      </c>
      <c r="K764" s="7">
        <v>45840</v>
      </c>
      <c r="L764" s="5"/>
      <c r="P764" s="23"/>
    </row>
    <row r="765" spans="1:16" ht="14.4" customHeight="1" x14ac:dyDescent="0.3">
      <c r="A765" s="5">
        <v>769</v>
      </c>
      <c r="B765" s="5" t="s">
        <v>1687</v>
      </c>
      <c r="C765" s="5" t="s">
        <v>1688</v>
      </c>
      <c r="D765" s="5" t="s">
        <v>1689</v>
      </c>
      <c r="E765" s="5" t="s">
        <v>546</v>
      </c>
      <c r="F765" s="5">
        <v>58594308</v>
      </c>
      <c r="G765" s="5" t="s">
        <v>16</v>
      </c>
      <c r="H765" s="7">
        <v>45830</v>
      </c>
      <c r="I765" s="7">
        <v>45831</v>
      </c>
      <c r="J765" s="8">
        <v>150</v>
      </c>
      <c r="K765" s="7">
        <v>45840</v>
      </c>
      <c r="L765" s="5"/>
      <c r="P765" s="23"/>
    </row>
    <row r="766" spans="1:16" ht="14.4" customHeight="1" x14ac:dyDescent="0.3">
      <c r="A766" s="5">
        <v>770</v>
      </c>
      <c r="B766" s="5" t="s">
        <v>1690</v>
      </c>
      <c r="C766" s="5" t="s">
        <v>1691</v>
      </c>
      <c r="D766" s="5" t="s">
        <v>1692</v>
      </c>
      <c r="E766" s="5" t="s">
        <v>163</v>
      </c>
      <c r="F766" s="5">
        <v>58820524</v>
      </c>
      <c r="G766" s="5" t="s">
        <v>16</v>
      </c>
      <c r="H766" s="7">
        <v>45830</v>
      </c>
      <c r="I766" s="7">
        <v>45831</v>
      </c>
      <c r="J766" s="8">
        <v>150</v>
      </c>
      <c r="K766" s="7">
        <v>45840</v>
      </c>
      <c r="L766" s="5"/>
      <c r="P766" s="23"/>
    </row>
    <row r="767" spans="1:16" ht="14.4" customHeight="1" x14ac:dyDescent="0.3">
      <c r="A767" s="5">
        <v>771</v>
      </c>
      <c r="B767" s="5" t="s">
        <v>1693</v>
      </c>
      <c r="C767" s="5" t="s">
        <v>589</v>
      </c>
      <c r="D767" s="5" t="s">
        <v>1694</v>
      </c>
      <c r="E767" s="5" t="s">
        <v>49</v>
      </c>
      <c r="F767" s="5">
        <v>58166108</v>
      </c>
      <c r="G767" s="5" t="s">
        <v>16</v>
      </c>
      <c r="H767" s="7">
        <v>45830</v>
      </c>
      <c r="I767" s="7">
        <v>45831</v>
      </c>
      <c r="J767" s="8">
        <v>150</v>
      </c>
      <c r="K767" s="7">
        <v>45840</v>
      </c>
      <c r="L767" s="5"/>
      <c r="P767" s="23"/>
    </row>
    <row r="768" spans="1:16" ht="14.4" customHeight="1" x14ac:dyDescent="0.3">
      <c r="A768" s="5">
        <v>772</v>
      </c>
      <c r="B768" s="5" t="s">
        <v>121</v>
      </c>
      <c r="C768" s="5" t="s">
        <v>122</v>
      </c>
      <c r="D768" s="5" t="s">
        <v>298</v>
      </c>
      <c r="E768" s="5" t="s">
        <v>1279</v>
      </c>
      <c r="F768" s="5">
        <v>57801348</v>
      </c>
      <c r="G768" s="5" t="s">
        <v>16</v>
      </c>
      <c r="H768" s="7">
        <v>45830</v>
      </c>
      <c r="I768" s="7">
        <v>45831</v>
      </c>
      <c r="J768" s="8">
        <v>150</v>
      </c>
      <c r="K768" s="7">
        <v>45840</v>
      </c>
      <c r="L768" s="5"/>
      <c r="P768" s="23"/>
    </row>
    <row r="769" spans="1:16" ht="14.4" customHeight="1" x14ac:dyDescent="0.3">
      <c r="A769" s="5">
        <v>774</v>
      </c>
      <c r="B769" s="5" t="s">
        <v>1698</v>
      </c>
      <c r="C769" s="5" t="s">
        <v>1699</v>
      </c>
      <c r="D769" s="5" t="s">
        <v>1700</v>
      </c>
      <c r="E769" s="5" t="s">
        <v>137</v>
      </c>
      <c r="F769" s="5">
        <v>58181718</v>
      </c>
      <c r="G769" s="5" t="s">
        <v>16</v>
      </c>
      <c r="H769" s="7">
        <v>45830</v>
      </c>
      <c r="I769" s="7">
        <v>45831</v>
      </c>
      <c r="J769" s="8">
        <v>150</v>
      </c>
      <c r="K769" s="7">
        <v>45840</v>
      </c>
      <c r="L769" s="5"/>
      <c r="P769" s="23"/>
    </row>
    <row r="770" spans="1:16" ht="14.4" customHeight="1" x14ac:dyDescent="0.3">
      <c r="A770" s="5">
        <v>775</v>
      </c>
      <c r="B770" s="5" t="s">
        <v>1701</v>
      </c>
      <c r="C770" s="5" t="s">
        <v>1702</v>
      </c>
      <c r="D770" s="5" t="s">
        <v>1703</v>
      </c>
      <c r="E770" s="5" t="s">
        <v>1704</v>
      </c>
      <c r="F770" s="5">
        <v>57941096</v>
      </c>
      <c r="G770" s="5" t="s">
        <v>16</v>
      </c>
      <c r="H770" s="7">
        <v>45830</v>
      </c>
      <c r="I770" s="7">
        <v>45831</v>
      </c>
      <c r="J770" s="8">
        <v>150</v>
      </c>
      <c r="K770" s="7">
        <v>45840</v>
      </c>
      <c r="L770" s="5"/>
      <c r="P770" s="23"/>
    </row>
    <row r="771" spans="1:16" ht="14.4" customHeight="1" x14ac:dyDescent="0.3">
      <c r="A771" s="5">
        <v>776</v>
      </c>
      <c r="B771" s="5" t="s">
        <v>1705</v>
      </c>
      <c r="C771" s="5" t="s">
        <v>1706</v>
      </c>
      <c r="D771" s="5" t="s">
        <v>1707</v>
      </c>
      <c r="E771" s="5" t="s">
        <v>1091</v>
      </c>
      <c r="F771" s="5">
        <v>55123123</v>
      </c>
      <c r="G771" s="5" t="s">
        <v>16</v>
      </c>
      <c r="H771" s="7">
        <v>45830</v>
      </c>
      <c r="I771" s="7">
        <v>45831</v>
      </c>
      <c r="J771" s="8">
        <v>150</v>
      </c>
      <c r="K771" s="7">
        <v>45840</v>
      </c>
      <c r="L771" s="5"/>
      <c r="P771" s="23"/>
    </row>
    <row r="772" spans="1:16" ht="14.4" customHeight="1" x14ac:dyDescent="0.3">
      <c r="A772" s="5">
        <v>777</v>
      </c>
      <c r="B772" s="5" t="s">
        <v>1708</v>
      </c>
      <c r="C772" s="5" t="s">
        <v>1709</v>
      </c>
      <c r="D772" s="5" t="s">
        <v>1710</v>
      </c>
      <c r="E772" s="5" t="s">
        <v>226</v>
      </c>
      <c r="F772" s="5">
        <v>57512717</v>
      </c>
      <c r="G772" s="5" t="s">
        <v>16</v>
      </c>
      <c r="H772" s="7">
        <v>45830</v>
      </c>
      <c r="I772" s="7">
        <v>45831</v>
      </c>
      <c r="J772" s="8">
        <v>150</v>
      </c>
      <c r="K772" s="7">
        <v>45840</v>
      </c>
      <c r="L772" s="5"/>
      <c r="P772" s="23"/>
    </row>
    <row r="773" spans="1:16" ht="14.4" customHeight="1" x14ac:dyDescent="0.3">
      <c r="A773" s="5">
        <v>778</v>
      </c>
      <c r="B773" s="5" t="s">
        <v>725</v>
      </c>
      <c r="C773" s="5" t="s">
        <v>726</v>
      </c>
      <c r="D773" s="5" t="s">
        <v>1711</v>
      </c>
      <c r="E773" s="5" t="s">
        <v>254</v>
      </c>
      <c r="F773" s="5">
        <v>57953690</v>
      </c>
      <c r="G773" s="5" t="s">
        <v>16</v>
      </c>
      <c r="H773" s="7">
        <v>45830</v>
      </c>
      <c r="I773" s="7">
        <v>45831</v>
      </c>
      <c r="J773" s="8">
        <v>150</v>
      </c>
      <c r="K773" s="7">
        <v>45840</v>
      </c>
      <c r="L773" s="5"/>
      <c r="P773" s="23"/>
    </row>
    <row r="774" spans="1:16" ht="14.4" customHeight="1" x14ac:dyDescent="0.3">
      <c r="A774" s="5">
        <v>779</v>
      </c>
      <c r="B774" s="5" t="s">
        <v>1176</v>
      </c>
      <c r="C774" s="5" t="s">
        <v>1177</v>
      </c>
      <c r="D774" s="5" t="s">
        <v>1712</v>
      </c>
      <c r="E774" s="5" t="s">
        <v>1700</v>
      </c>
      <c r="F774" s="5">
        <v>58196379</v>
      </c>
      <c r="G774" s="5" t="s">
        <v>16</v>
      </c>
      <c r="H774" s="7">
        <v>45830</v>
      </c>
      <c r="I774" s="7">
        <v>45831</v>
      </c>
      <c r="J774" s="8">
        <v>150</v>
      </c>
      <c r="K774" s="7">
        <v>45840</v>
      </c>
      <c r="L774" s="5"/>
      <c r="P774" s="23"/>
    </row>
    <row r="775" spans="1:16" ht="14.4" customHeight="1" x14ac:dyDescent="0.3">
      <c r="A775" s="5">
        <v>780</v>
      </c>
      <c r="B775" s="5" t="s">
        <v>1713</v>
      </c>
      <c r="C775" s="5" t="s">
        <v>1714</v>
      </c>
      <c r="D775" s="5" t="s">
        <v>1715</v>
      </c>
      <c r="E775" s="5" t="s">
        <v>254</v>
      </c>
      <c r="F775" s="5">
        <v>57567936</v>
      </c>
      <c r="G775" s="5" t="s">
        <v>16</v>
      </c>
      <c r="H775" s="7">
        <v>45830</v>
      </c>
      <c r="I775" s="7">
        <v>45831</v>
      </c>
      <c r="J775" s="8">
        <v>150</v>
      </c>
      <c r="K775" s="7">
        <v>45840</v>
      </c>
      <c r="L775" s="5"/>
      <c r="P775" s="23"/>
    </row>
    <row r="776" spans="1:16" ht="14.4" customHeight="1" x14ac:dyDescent="0.3">
      <c r="A776" s="5">
        <v>782</v>
      </c>
      <c r="B776" s="5" t="s">
        <v>1328</v>
      </c>
      <c r="C776" s="5" t="s">
        <v>1324</v>
      </c>
      <c r="D776" s="5" t="s">
        <v>1719</v>
      </c>
      <c r="E776" s="5" t="s">
        <v>69</v>
      </c>
      <c r="F776" s="5">
        <v>58207040</v>
      </c>
      <c r="G776" s="5" t="s">
        <v>16</v>
      </c>
      <c r="H776" s="7">
        <v>45830</v>
      </c>
      <c r="I776" s="7">
        <v>45831</v>
      </c>
      <c r="J776" s="8">
        <v>150</v>
      </c>
      <c r="K776" s="7">
        <v>45840</v>
      </c>
      <c r="L776" s="5"/>
      <c r="P776" s="23"/>
    </row>
    <row r="777" spans="1:16" ht="14.4" customHeight="1" x14ac:dyDescent="0.3">
      <c r="A777" s="5">
        <v>783</v>
      </c>
      <c r="B777" s="5" t="s">
        <v>1720</v>
      </c>
      <c r="C777" s="5" t="s">
        <v>1721</v>
      </c>
      <c r="D777" s="5" t="s">
        <v>1722</v>
      </c>
      <c r="E777" s="5" t="s">
        <v>74</v>
      </c>
      <c r="F777" s="5">
        <v>59489795</v>
      </c>
      <c r="G777" s="5" t="s">
        <v>16</v>
      </c>
      <c r="H777" s="7">
        <v>45830</v>
      </c>
      <c r="I777" s="7">
        <v>45831</v>
      </c>
      <c r="J777" s="8">
        <v>150</v>
      </c>
      <c r="K777" s="7">
        <v>45840</v>
      </c>
      <c r="L777" s="5"/>
      <c r="P777" s="23"/>
    </row>
    <row r="778" spans="1:16" ht="14.4" customHeight="1" x14ac:dyDescent="0.3">
      <c r="A778" s="5">
        <v>784</v>
      </c>
      <c r="B778" s="5" t="s">
        <v>1723</v>
      </c>
      <c r="C778" s="5" t="s">
        <v>1724</v>
      </c>
      <c r="D778" s="5" t="s">
        <v>1725</v>
      </c>
      <c r="E778" s="5" t="s">
        <v>69</v>
      </c>
      <c r="F778" s="5">
        <v>59236447</v>
      </c>
      <c r="G778" s="5" t="s">
        <v>16</v>
      </c>
      <c r="H778" s="7">
        <v>45830</v>
      </c>
      <c r="I778" s="7">
        <v>45831</v>
      </c>
      <c r="J778" s="8">
        <v>150</v>
      </c>
      <c r="K778" s="7">
        <v>45840</v>
      </c>
      <c r="L778" s="5"/>
      <c r="P778" s="23"/>
    </row>
    <row r="779" spans="1:16" ht="14.4" customHeight="1" x14ac:dyDescent="0.3">
      <c r="A779" s="5">
        <v>785</v>
      </c>
      <c r="B779" s="5" t="s">
        <v>456</v>
      </c>
      <c r="C779" s="5" t="s">
        <v>457</v>
      </c>
      <c r="D779" s="5" t="s">
        <v>1683</v>
      </c>
      <c r="E779" s="5" t="s">
        <v>458</v>
      </c>
      <c r="F779" s="5">
        <v>59188047</v>
      </c>
      <c r="G779" s="5" t="s">
        <v>16</v>
      </c>
      <c r="H779" s="7">
        <v>45830</v>
      </c>
      <c r="I779" s="7">
        <v>45831</v>
      </c>
      <c r="J779" s="8">
        <v>150</v>
      </c>
      <c r="K779" s="7">
        <v>45840</v>
      </c>
      <c r="L779" s="5"/>
      <c r="P779" s="23"/>
    </row>
    <row r="780" spans="1:16" ht="14.4" customHeight="1" x14ac:dyDescent="0.3">
      <c r="A780" s="5">
        <v>786</v>
      </c>
      <c r="B780" s="5" t="s">
        <v>1726</v>
      </c>
      <c r="C780" s="5" t="s">
        <v>1727</v>
      </c>
      <c r="D780" s="5" t="s">
        <v>1728</v>
      </c>
      <c r="E780" s="5" t="s">
        <v>1262</v>
      </c>
      <c r="F780" s="5">
        <v>57550473</v>
      </c>
      <c r="G780" s="5" t="s">
        <v>16</v>
      </c>
      <c r="H780" s="7">
        <v>45833</v>
      </c>
      <c r="I780" s="7">
        <v>45831</v>
      </c>
      <c r="J780" s="8">
        <v>150</v>
      </c>
      <c r="K780" s="7">
        <v>45840</v>
      </c>
      <c r="L780" s="5"/>
      <c r="P780" s="23"/>
    </row>
    <row r="781" spans="1:16" ht="14.4" customHeight="1" x14ac:dyDescent="0.3">
      <c r="A781" s="5">
        <v>773</v>
      </c>
      <c r="B781" s="5" t="s">
        <v>1695</v>
      </c>
      <c r="C781" s="5" t="s">
        <v>1696</v>
      </c>
      <c r="D781" s="5" t="s">
        <v>1697</v>
      </c>
      <c r="E781" s="5" t="s">
        <v>226</v>
      </c>
      <c r="F781" s="5">
        <v>57577097</v>
      </c>
      <c r="G781" s="5" t="s">
        <v>16</v>
      </c>
      <c r="H781" s="7">
        <v>45830</v>
      </c>
      <c r="I781" s="7">
        <v>45834</v>
      </c>
      <c r="J781" s="8">
        <v>150</v>
      </c>
      <c r="K781" s="7">
        <v>45840</v>
      </c>
      <c r="L781" s="5"/>
      <c r="P781" s="23"/>
    </row>
    <row r="782" spans="1:16" ht="14.4" customHeight="1" x14ac:dyDescent="0.3">
      <c r="A782" s="5">
        <v>781</v>
      </c>
      <c r="B782" s="5" t="s">
        <v>1716</v>
      </c>
      <c r="C782" s="5" t="s">
        <v>1717</v>
      </c>
      <c r="D782" s="5" t="s">
        <v>1718</v>
      </c>
      <c r="E782" s="5" t="s">
        <v>144</v>
      </c>
      <c r="F782" s="5">
        <v>57504291</v>
      </c>
      <c r="G782" s="5" t="s">
        <v>16</v>
      </c>
      <c r="H782" s="7">
        <v>45830</v>
      </c>
      <c r="I782" s="7">
        <v>45834</v>
      </c>
      <c r="J782" s="8">
        <v>150</v>
      </c>
      <c r="K782" s="7">
        <v>45840</v>
      </c>
      <c r="L782" s="5"/>
      <c r="P782" s="23"/>
    </row>
    <row r="783" spans="1:16" ht="14.4" customHeight="1" x14ac:dyDescent="0.3">
      <c r="A783" s="5">
        <v>787</v>
      </c>
      <c r="B783" s="5" t="s">
        <v>1729</v>
      </c>
      <c r="C783" s="5" t="s">
        <v>1730</v>
      </c>
      <c r="D783" s="5" t="s">
        <v>144</v>
      </c>
      <c r="E783" s="5" t="s">
        <v>144</v>
      </c>
      <c r="F783" s="5">
        <v>57669015</v>
      </c>
      <c r="G783" s="5" t="s">
        <v>16</v>
      </c>
      <c r="H783" s="7">
        <v>45833</v>
      </c>
      <c r="I783" s="7">
        <v>45834</v>
      </c>
      <c r="J783" s="8">
        <v>150</v>
      </c>
      <c r="K783" s="7">
        <v>45840</v>
      </c>
      <c r="L783" s="5"/>
      <c r="P783" s="23"/>
    </row>
    <row r="784" spans="1:16" ht="14.4" customHeight="1" x14ac:dyDescent="0.3">
      <c r="A784" s="5">
        <v>788</v>
      </c>
      <c r="B784" s="5" t="s">
        <v>1720</v>
      </c>
      <c r="C784" s="5" t="s">
        <v>1807</v>
      </c>
      <c r="D784" s="5" t="s">
        <v>226</v>
      </c>
      <c r="E784" s="5" t="s">
        <v>226</v>
      </c>
      <c r="F784" s="5">
        <v>59062663</v>
      </c>
      <c r="G784" s="5" t="s">
        <v>16</v>
      </c>
      <c r="H784" s="7">
        <v>45833</v>
      </c>
      <c r="I784" s="7">
        <v>45834</v>
      </c>
      <c r="J784" s="8">
        <v>150</v>
      </c>
      <c r="K784" s="7">
        <v>45840</v>
      </c>
      <c r="L784" s="5"/>
      <c r="P784" s="23"/>
    </row>
    <row r="785" spans="1:16" ht="14.4" customHeight="1" x14ac:dyDescent="0.3">
      <c r="A785" s="5">
        <v>789</v>
      </c>
      <c r="B785" s="5" t="s">
        <v>1731</v>
      </c>
      <c r="C785" s="5" t="s">
        <v>1732</v>
      </c>
      <c r="D785" s="5" t="s">
        <v>594</v>
      </c>
      <c r="E785" s="5" t="s">
        <v>594</v>
      </c>
      <c r="F785" s="5">
        <v>59210075</v>
      </c>
      <c r="G785" s="5" t="s">
        <v>16</v>
      </c>
      <c r="H785" s="7">
        <v>45833</v>
      </c>
      <c r="I785" s="7">
        <v>45834</v>
      </c>
      <c r="J785" s="8">
        <v>150</v>
      </c>
      <c r="K785" s="7">
        <v>45840</v>
      </c>
      <c r="L785" s="5"/>
      <c r="P785" s="23"/>
    </row>
    <row r="786" spans="1:16" ht="14.4" customHeight="1" x14ac:dyDescent="0.3">
      <c r="A786" s="5">
        <v>790</v>
      </c>
      <c r="B786" s="5" t="s">
        <v>1733</v>
      </c>
      <c r="C786" s="5" t="s">
        <v>1683</v>
      </c>
      <c r="D786" s="5" t="s">
        <v>1504</v>
      </c>
      <c r="E786" s="5" t="s">
        <v>1734</v>
      </c>
      <c r="F786" s="5">
        <v>57636235</v>
      </c>
      <c r="G786" s="5" t="s">
        <v>16</v>
      </c>
      <c r="H786" s="7">
        <v>45833</v>
      </c>
      <c r="I786" s="7">
        <v>45834</v>
      </c>
      <c r="J786" s="8">
        <v>150</v>
      </c>
      <c r="K786" s="7">
        <v>45840</v>
      </c>
      <c r="L786" s="5"/>
      <c r="P786" s="23"/>
    </row>
    <row r="787" spans="1:16" ht="14.4" customHeight="1" x14ac:dyDescent="0.3">
      <c r="A787" s="5">
        <v>791</v>
      </c>
      <c r="B787" s="5" t="s">
        <v>1735</v>
      </c>
      <c r="C787" s="5" t="s">
        <v>1683</v>
      </c>
      <c r="D787" s="5" t="s">
        <v>501</v>
      </c>
      <c r="E787" s="5" t="s">
        <v>501</v>
      </c>
      <c r="F787" s="5" t="s">
        <v>1736</v>
      </c>
      <c r="G787" s="5" t="s">
        <v>16</v>
      </c>
      <c r="H787" s="7">
        <v>45833</v>
      </c>
      <c r="I787" s="7">
        <v>45834</v>
      </c>
      <c r="J787" s="8">
        <v>150</v>
      </c>
      <c r="K787" s="7">
        <v>45840</v>
      </c>
      <c r="L787" s="5"/>
      <c r="P787" s="23"/>
    </row>
    <row r="788" spans="1:16" ht="14.4" customHeight="1" x14ac:dyDescent="0.3">
      <c r="A788" s="5">
        <v>792</v>
      </c>
      <c r="B788" s="5" t="s">
        <v>429</v>
      </c>
      <c r="C788" s="5" t="s">
        <v>1737</v>
      </c>
      <c r="D788" s="5" t="s">
        <v>431</v>
      </c>
      <c r="E788" s="5" t="s">
        <v>431</v>
      </c>
      <c r="F788" s="5">
        <v>58164806</v>
      </c>
      <c r="G788" s="5" t="s">
        <v>16</v>
      </c>
      <c r="H788" s="7">
        <v>45833</v>
      </c>
      <c r="I788" s="7">
        <v>45834</v>
      </c>
      <c r="J788" s="8">
        <v>150</v>
      </c>
      <c r="K788" s="7">
        <v>45840</v>
      </c>
      <c r="L788" s="5"/>
      <c r="P788" s="23"/>
    </row>
    <row r="789" spans="1:16" ht="14.4" customHeight="1" x14ac:dyDescent="0.3">
      <c r="A789" s="5">
        <v>793</v>
      </c>
      <c r="B789" s="5" t="s">
        <v>1738</v>
      </c>
      <c r="C789" s="5" t="s">
        <v>1683</v>
      </c>
      <c r="D789" s="5" t="s">
        <v>1739</v>
      </c>
      <c r="E789" s="5" t="s">
        <v>1739</v>
      </c>
      <c r="F789" s="5">
        <v>59093180</v>
      </c>
      <c r="G789" s="5" t="s">
        <v>16</v>
      </c>
      <c r="H789" s="7">
        <v>45833</v>
      </c>
      <c r="I789" s="7">
        <v>45834</v>
      </c>
      <c r="J789" s="8">
        <v>150</v>
      </c>
      <c r="K789" s="7">
        <v>45840</v>
      </c>
      <c r="L789" s="5"/>
      <c r="P789" s="23"/>
    </row>
    <row r="790" spans="1:16" ht="14.4" customHeight="1" x14ac:dyDescent="0.3">
      <c r="A790" s="5">
        <v>794</v>
      </c>
      <c r="B790" s="5" t="s">
        <v>1622</v>
      </c>
      <c r="C790" s="5" t="s">
        <v>1740</v>
      </c>
      <c r="D790" s="5" t="s">
        <v>1741</v>
      </c>
      <c r="E790" s="5" t="s">
        <v>74</v>
      </c>
      <c r="F790" s="5">
        <v>57510048</v>
      </c>
      <c r="G790" s="5" t="s">
        <v>16</v>
      </c>
      <c r="H790" s="7">
        <v>45833</v>
      </c>
      <c r="I790" s="7">
        <v>45834</v>
      </c>
      <c r="J790" s="8">
        <v>150</v>
      </c>
      <c r="K790" s="7">
        <v>45840</v>
      </c>
      <c r="L790" s="5"/>
      <c r="P790" s="23"/>
    </row>
    <row r="791" spans="1:16" ht="14.4" customHeight="1" x14ac:dyDescent="0.3">
      <c r="A791" s="5">
        <v>795</v>
      </c>
      <c r="B791" s="5" t="s">
        <v>1742</v>
      </c>
      <c r="C791" s="5" t="s">
        <v>1743</v>
      </c>
      <c r="D791" s="5" t="s">
        <v>101</v>
      </c>
      <c r="E791" s="5" t="s">
        <v>101</v>
      </c>
      <c r="F791" s="5">
        <v>58253335</v>
      </c>
      <c r="G791" s="5" t="s">
        <v>16</v>
      </c>
      <c r="H791" s="7">
        <v>45833</v>
      </c>
      <c r="I791" s="7">
        <v>45834</v>
      </c>
      <c r="J791" s="8">
        <v>150</v>
      </c>
      <c r="K791" s="7">
        <v>45840</v>
      </c>
      <c r="L791" s="5"/>
      <c r="P791" s="23"/>
    </row>
    <row r="792" spans="1:16" ht="14.4" customHeight="1" x14ac:dyDescent="0.3">
      <c r="A792" s="5">
        <v>796</v>
      </c>
      <c r="B792" s="5" t="s">
        <v>1748</v>
      </c>
      <c r="C792" s="5" t="s">
        <v>1749</v>
      </c>
      <c r="D792" s="5" t="s">
        <v>259</v>
      </c>
      <c r="E792" s="5" t="s">
        <v>259</v>
      </c>
      <c r="F792" s="5">
        <v>59273443</v>
      </c>
      <c r="G792" s="5" t="s">
        <v>16</v>
      </c>
      <c r="H792" s="7">
        <v>45833</v>
      </c>
      <c r="I792" s="7">
        <v>45834</v>
      </c>
      <c r="J792" s="8">
        <v>150</v>
      </c>
      <c r="K792" s="7">
        <v>45840</v>
      </c>
      <c r="L792" s="5"/>
      <c r="P792" s="23"/>
    </row>
    <row r="793" spans="1:16" ht="14.4" customHeight="1" x14ac:dyDescent="0.3">
      <c r="A793" s="5">
        <v>797</v>
      </c>
      <c r="B793" s="5" t="s">
        <v>1750</v>
      </c>
      <c r="C793" s="5" t="s">
        <v>1751</v>
      </c>
      <c r="D793" s="5" t="s">
        <v>634</v>
      </c>
      <c r="E793" s="5" t="s">
        <v>634</v>
      </c>
      <c r="F793" s="5">
        <v>58073995</v>
      </c>
      <c r="G793" s="5" t="s">
        <v>16</v>
      </c>
      <c r="H793" s="7">
        <v>45833</v>
      </c>
      <c r="I793" s="7">
        <v>45834</v>
      </c>
      <c r="J793" s="8">
        <v>150</v>
      </c>
      <c r="K793" s="7">
        <v>45840</v>
      </c>
      <c r="L793" s="5"/>
      <c r="P793" s="23"/>
    </row>
    <row r="794" spans="1:16" ht="14.4" customHeight="1" x14ac:dyDescent="0.3">
      <c r="A794" s="5">
        <v>798</v>
      </c>
      <c r="B794" s="5" t="s">
        <v>1726</v>
      </c>
      <c r="C794" s="5" t="s">
        <v>1728</v>
      </c>
      <c r="D794" s="5" t="s">
        <v>1262</v>
      </c>
      <c r="E794" s="5" t="s">
        <v>1262</v>
      </c>
      <c r="F794" s="5">
        <v>57550473</v>
      </c>
      <c r="G794" s="5" t="s">
        <v>16</v>
      </c>
      <c r="H794" s="7">
        <v>45833</v>
      </c>
      <c r="I794" s="7">
        <v>45834</v>
      </c>
      <c r="J794" s="8">
        <v>150</v>
      </c>
      <c r="K794" s="7">
        <v>45840</v>
      </c>
      <c r="L794" s="5"/>
      <c r="P794" s="23"/>
    </row>
    <row r="795" spans="1:16" ht="14.4" customHeight="1" x14ac:dyDescent="0.3">
      <c r="A795" s="5">
        <v>799</v>
      </c>
      <c r="B795" s="5" t="s">
        <v>1752</v>
      </c>
      <c r="C795" s="5" t="s">
        <v>1753</v>
      </c>
      <c r="D795" s="5" t="s">
        <v>546</v>
      </c>
      <c r="E795" s="5" t="s">
        <v>546</v>
      </c>
      <c r="F795" s="5">
        <v>58036290</v>
      </c>
      <c r="G795" s="5" t="s">
        <v>16</v>
      </c>
      <c r="H795" s="7">
        <v>45833</v>
      </c>
      <c r="I795" s="7">
        <v>45834</v>
      </c>
      <c r="J795" s="8">
        <v>150</v>
      </c>
      <c r="K795" s="7">
        <v>45840</v>
      </c>
      <c r="L795" s="5"/>
      <c r="P795" s="23"/>
    </row>
    <row r="796" spans="1:16" ht="14.4" customHeight="1" x14ac:dyDescent="0.3">
      <c r="A796" s="5">
        <v>800</v>
      </c>
      <c r="B796" s="5" t="s">
        <v>1806</v>
      </c>
      <c r="C796" s="5" t="s">
        <v>1754</v>
      </c>
      <c r="D796" s="5" t="s">
        <v>84</v>
      </c>
      <c r="E796" s="5" t="s">
        <v>84</v>
      </c>
      <c r="F796" s="5">
        <v>58126403</v>
      </c>
      <c r="G796" s="5" t="s">
        <v>16</v>
      </c>
      <c r="H796" s="7">
        <v>45833</v>
      </c>
      <c r="I796" s="7">
        <v>45834</v>
      </c>
      <c r="J796" s="8">
        <v>150</v>
      </c>
      <c r="K796" s="7">
        <v>45840</v>
      </c>
      <c r="L796" s="5"/>
      <c r="P796" s="23"/>
    </row>
    <row r="797" spans="1:16" ht="14.4" customHeight="1" x14ac:dyDescent="0.3">
      <c r="A797" s="5">
        <v>801</v>
      </c>
      <c r="B797" s="5" t="s">
        <v>1755</v>
      </c>
      <c r="C797" s="5" t="s">
        <v>1756</v>
      </c>
      <c r="D797" s="5" t="s">
        <v>1757</v>
      </c>
      <c r="E797" s="5" t="s">
        <v>1757</v>
      </c>
      <c r="F797" s="5">
        <v>57057018</v>
      </c>
      <c r="G797" s="5" t="s">
        <v>16</v>
      </c>
      <c r="H797" s="7">
        <v>45833</v>
      </c>
      <c r="I797" s="7">
        <v>45834</v>
      </c>
      <c r="J797" s="8">
        <v>150</v>
      </c>
      <c r="K797" s="7">
        <v>45840</v>
      </c>
      <c r="L797" s="5"/>
      <c r="P797" s="23"/>
    </row>
    <row r="798" spans="1:16" ht="14.4" customHeight="1" x14ac:dyDescent="0.3">
      <c r="A798" s="5">
        <v>802</v>
      </c>
      <c r="B798" s="5" t="s">
        <v>1311</v>
      </c>
      <c r="C798" s="5" t="s">
        <v>1312</v>
      </c>
      <c r="D798" s="5" t="s">
        <v>63</v>
      </c>
      <c r="E798" s="5" t="s">
        <v>63</v>
      </c>
      <c r="F798" s="5">
        <v>58292958</v>
      </c>
      <c r="G798" s="5" t="s">
        <v>16</v>
      </c>
      <c r="H798" s="7">
        <v>45833</v>
      </c>
      <c r="I798" s="7">
        <v>45834</v>
      </c>
      <c r="J798" s="8">
        <v>150</v>
      </c>
      <c r="K798" s="7">
        <v>45840</v>
      </c>
      <c r="L798" s="5"/>
      <c r="P798" s="23"/>
    </row>
    <row r="799" spans="1:16" ht="14.4" customHeight="1" x14ac:dyDescent="0.3">
      <c r="A799" s="5">
        <v>803</v>
      </c>
      <c r="B799" s="5" t="s">
        <v>1105</v>
      </c>
      <c r="C799" s="5" t="s">
        <v>1758</v>
      </c>
      <c r="D799" s="5" t="s">
        <v>1107</v>
      </c>
      <c r="E799" s="5" t="s">
        <v>101</v>
      </c>
      <c r="F799" s="5">
        <v>58002834</v>
      </c>
      <c r="G799" s="5" t="s">
        <v>16</v>
      </c>
      <c r="H799" s="7">
        <v>45833</v>
      </c>
      <c r="I799" s="7">
        <v>45834</v>
      </c>
      <c r="J799" s="8">
        <v>150</v>
      </c>
      <c r="K799" s="7">
        <v>45840</v>
      </c>
      <c r="L799" s="5"/>
      <c r="P799" s="23"/>
    </row>
    <row r="800" spans="1:16" ht="14.4" customHeight="1" x14ac:dyDescent="0.3">
      <c r="A800" s="5">
        <v>804</v>
      </c>
      <c r="B800" s="5" t="s">
        <v>1759</v>
      </c>
      <c r="C800" s="5" t="s">
        <v>1760</v>
      </c>
      <c r="D800" s="5" t="s">
        <v>1697</v>
      </c>
      <c r="E800" s="5" t="s">
        <v>226</v>
      </c>
      <c r="F800" s="5">
        <v>59160770</v>
      </c>
      <c r="G800" s="5" t="s">
        <v>16</v>
      </c>
      <c r="H800" s="7">
        <v>45833</v>
      </c>
      <c r="I800" s="7">
        <v>45834</v>
      </c>
      <c r="J800" s="8">
        <v>150</v>
      </c>
      <c r="K800" s="7">
        <v>45840</v>
      </c>
      <c r="L800" s="5"/>
      <c r="P800" s="23"/>
    </row>
    <row r="801" spans="1:16" ht="14.4" customHeight="1" x14ac:dyDescent="0.3">
      <c r="A801" s="5">
        <v>805</v>
      </c>
      <c r="B801" s="5" t="s">
        <v>1761</v>
      </c>
      <c r="C801" s="5" t="s">
        <v>1762</v>
      </c>
      <c r="D801" s="5" t="s">
        <v>226</v>
      </c>
      <c r="E801" s="5" t="s">
        <v>226</v>
      </c>
      <c r="F801" s="5" t="s">
        <v>1763</v>
      </c>
      <c r="G801" s="5" t="s">
        <v>16</v>
      </c>
      <c r="H801" s="7">
        <v>45833</v>
      </c>
      <c r="I801" s="7">
        <v>45834</v>
      </c>
      <c r="J801" s="8">
        <v>150</v>
      </c>
      <c r="K801" s="7">
        <v>45840</v>
      </c>
      <c r="L801" s="5"/>
      <c r="P801" s="23"/>
    </row>
    <row r="802" spans="1:16" ht="14.4" customHeight="1" x14ac:dyDescent="0.3">
      <c r="A802" s="5">
        <v>806</v>
      </c>
      <c r="B802" s="5" t="s">
        <v>774</v>
      </c>
      <c r="C802" s="5" t="s">
        <v>1766</v>
      </c>
      <c r="D802" s="5" t="s">
        <v>63</v>
      </c>
      <c r="E802" s="5" t="s">
        <v>63</v>
      </c>
      <c r="F802" s="5">
        <v>59064475</v>
      </c>
      <c r="G802" s="5" t="s">
        <v>16</v>
      </c>
      <c r="H802" s="7">
        <v>45833</v>
      </c>
      <c r="I802" s="7">
        <v>45834</v>
      </c>
      <c r="J802" s="8">
        <v>150</v>
      </c>
      <c r="K802" s="7">
        <v>45840</v>
      </c>
      <c r="L802" s="5"/>
      <c r="P802" s="23"/>
    </row>
    <row r="803" spans="1:16" ht="14.4" customHeight="1" x14ac:dyDescent="0.3">
      <c r="A803" s="5">
        <v>807</v>
      </c>
      <c r="B803" s="5" t="s">
        <v>1767</v>
      </c>
      <c r="C803" s="5" t="s">
        <v>153</v>
      </c>
      <c r="D803" s="5" t="s">
        <v>1678</v>
      </c>
      <c r="E803" s="5" t="s">
        <v>305</v>
      </c>
      <c r="F803" s="5">
        <v>57312963</v>
      </c>
      <c r="G803" s="5" t="s">
        <v>16</v>
      </c>
      <c r="H803" s="7">
        <v>45833</v>
      </c>
      <c r="I803" s="7">
        <v>45834</v>
      </c>
      <c r="J803" s="8">
        <v>150</v>
      </c>
      <c r="K803" s="7">
        <v>45840</v>
      </c>
      <c r="L803" s="5"/>
      <c r="P803" s="23"/>
    </row>
    <row r="804" spans="1:16" ht="14.4" customHeight="1" x14ac:dyDescent="0.3">
      <c r="A804" s="5">
        <v>808</v>
      </c>
      <c r="B804" s="5" t="s">
        <v>1768</v>
      </c>
      <c r="C804" s="5" t="s">
        <v>1769</v>
      </c>
      <c r="D804" s="5" t="s">
        <v>226</v>
      </c>
      <c r="E804" s="5" t="s">
        <v>226</v>
      </c>
      <c r="F804" s="5">
        <v>59800504</v>
      </c>
      <c r="G804" s="5" t="s">
        <v>16</v>
      </c>
      <c r="H804" s="7">
        <v>45833</v>
      </c>
      <c r="I804" s="7">
        <v>45834</v>
      </c>
      <c r="J804" s="8">
        <v>150</v>
      </c>
      <c r="K804" s="7">
        <v>45840</v>
      </c>
      <c r="L804" s="5"/>
      <c r="P804" s="23"/>
    </row>
    <row r="805" spans="1:16" ht="14.4" customHeight="1" x14ac:dyDescent="0.3">
      <c r="A805" s="5">
        <v>809</v>
      </c>
      <c r="B805" s="5" t="s">
        <v>1770</v>
      </c>
      <c r="C805" s="5" t="s">
        <v>1805</v>
      </c>
      <c r="D805" s="5" t="s">
        <v>84</v>
      </c>
      <c r="E805" s="5" t="s">
        <v>84</v>
      </c>
      <c r="F805" s="5">
        <v>59472630</v>
      </c>
      <c r="G805" s="5" t="s">
        <v>16</v>
      </c>
      <c r="H805" s="7">
        <v>45833</v>
      </c>
      <c r="I805" s="7">
        <v>45834</v>
      </c>
      <c r="J805" s="8">
        <v>150</v>
      </c>
      <c r="K805" s="7">
        <v>45840</v>
      </c>
      <c r="L805" s="5"/>
      <c r="P805" s="23"/>
    </row>
    <row r="806" spans="1:16" ht="14.4" customHeight="1" x14ac:dyDescent="0.3">
      <c r="A806" s="5">
        <v>810</v>
      </c>
      <c r="B806" s="5" t="s">
        <v>1771</v>
      </c>
      <c r="C806" s="5" t="s">
        <v>1772</v>
      </c>
      <c r="D806" s="5" t="s">
        <v>69</v>
      </c>
      <c r="E806" s="5" t="s">
        <v>69</v>
      </c>
      <c r="F806" s="5">
        <v>58195974</v>
      </c>
      <c r="G806" s="5" t="s">
        <v>16</v>
      </c>
      <c r="H806" s="7">
        <v>45833</v>
      </c>
      <c r="I806" s="7">
        <v>45834</v>
      </c>
      <c r="J806" s="8">
        <v>150</v>
      </c>
      <c r="K806" s="7">
        <v>45840</v>
      </c>
      <c r="L806" s="5"/>
      <c r="P806" s="23"/>
    </row>
    <row r="807" spans="1:16" ht="14.4" customHeight="1" x14ac:dyDescent="0.3">
      <c r="A807" s="5">
        <v>811</v>
      </c>
      <c r="B807" s="5" t="s">
        <v>508</v>
      </c>
      <c r="C807" s="5" t="s">
        <v>1773</v>
      </c>
      <c r="D807" s="5" t="s">
        <v>1774</v>
      </c>
      <c r="E807" s="5" t="s">
        <v>63</v>
      </c>
      <c r="F807" s="5">
        <v>59067797</v>
      </c>
      <c r="G807" s="5" t="s">
        <v>16</v>
      </c>
      <c r="H807" s="7">
        <v>45833</v>
      </c>
      <c r="I807" s="7">
        <v>45834</v>
      </c>
      <c r="J807" s="8">
        <v>150</v>
      </c>
      <c r="K807" s="7">
        <v>45840</v>
      </c>
      <c r="L807" s="5"/>
      <c r="P807" s="23"/>
    </row>
    <row r="808" spans="1:16" ht="14.4" customHeight="1" x14ac:dyDescent="0.3">
      <c r="A808" s="5">
        <v>812</v>
      </c>
      <c r="B808" s="5" t="s">
        <v>1777</v>
      </c>
      <c r="C808" s="5" t="s">
        <v>1778</v>
      </c>
      <c r="D808" s="5" t="s">
        <v>161</v>
      </c>
      <c r="E808" s="5" t="s">
        <v>161</v>
      </c>
      <c r="F808" s="5">
        <v>52569697</v>
      </c>
      <c r="G808" s="5" t="s">
        <v>16</v>
      </c>
      <c r="H808" s="7">
        <v>45833</v>
      </c>
      <c r="I808" s="7">
        <v>45834</v>
      </c>
      <c r="J808" s="8">
        <v>150</v>
      </c>
      <c r="K808" s="7">
        <v>45840</v>
      </c>
      <c r="L808" s="5"/>
      <c r="P808" s="23"/>
    </row>
    <row r="809" spans="1:16" ht="14.4" customHeight="1" x14ac:dyDescent="0.3">
      <c r="A809" s="5">
        <v>813</v>
      </c>
      <c r="B809" s="5" t="s">
        <v>1779</v>
      </c>
      <c r="C809" s="5" t="s">
        <v>1780</v>
      </c>
      <c r="D809" s="5" t="s">
        <v>49</v>
      </c>
      <c r="E809" s="5" t="s">
        <v>49</v>
      </c>
      <c r="F809" s="5">
        <v>59133662</v>
      </c>
      <c r="G809" s="5" t="s">
        <v>16</v>
      </c>
      <c r="H809" s="7">
        <v>45833</v>
      </c>
      <c r="I809" s="7">
        <v>45834</v>
      </c>
      <c r="J809" s="8">
        <v>150</v>
      </c>
      <c r="K809" s="7">
        <v>45840</v>
      </c>
      <c r="L809" s="5"/>
      <c r="P809" s="23"/>
    </row>
    <row r="810" spans="1:16" ht="14.4" customHeight="1" x14ac:dyDescent="0.3">
      <c r="A810" s="5">
        <v>814</v>
      </c>
      <c r="B810" s="5" t="s">
        <v>1781</v>
      </c>
      <c r="C810" s="5" t="s">
        <v>1782</v>
      </c>
      <c r="D810" s="5" t="s">
        <v>226</v>
      </c>
      <c r="E810" s="5" t="s">
        <v>226</v>
      </c>
      <c r="F810" s="5">
        <v>57033279</v>
      </c>
      <c r="G810" s="5" t="s">
        <v>16</v>
      </c>
      <c r="H810" s="7">
        <v>45833</v>
      </c>
      <c r="I810" s="7">
        <v>45834</v>
      </c>
      <c r="J810" s="8">
        <v>150</v>
      </c>
      <c r="K810" s="7">
        <v>45840</v>
      </c>
      <c r="L810" s="5"/>
      <c r="P810" s="23"/>
    </row>
    <row r="811" spans="1:16" ht="14.4" customHeight="1" x14ac:dyDescent="0.3">
      <c r="A811" s="5">
        <v>815</v>
      </c>
      <c r="B811" s="5" t="s">
        <v>358</v>
      </c>
      <c r="C811" s="5" t="s">
        <v>1783</v>
      </c>
      <c r="D811" s="5" t="s">
        <v>360</v>
      </c>
      <c r="E811" s="5" t="s">
        <v>360</v>
      </c>
      <c r="F811" s="5">
        <v>57045624</v>
      </c>
      <c r="G811" s="5" t="s">
        <v>16</v>
      </c>
      <c r="H811" s="7">
        <v>45833</v>
      </c>
      <c r="I811" s="7">
        <v>45834</v>
      </c>
      <c r="J811" s="8">
        <v>150</v>
      </c>
      <c r="K811" s="7">
        <v>45840</v>
      </c>
      <c r="L811" s="5"/>
      <c r="P811" s="23"/>
    </row>
    <row r="812" spans="1:16" ht="14.4" customHeight="1" x14ac:dyDescent="0.3">
      <c r="A812" s="5">
        <v>816</v>
      </c>
      <c r="B812" s="5" t="s">
        <v>1784</v>
      </c>
      <c r="C812" s="5" t="s">
        <v>1804</v>
      </c>
      <c r="D812" s="5" t="s">
        <v>149</v>
      </c>
      <c r="E812" s="5" t="s">
        <v>149</v>
      </c>
      <c r="F812" s="5">
        <v>57014169</v>
      </c>
      <c r="G812" s="5" t="s">
        <v>16</v>
      </c>
      <c r="H812" s="7">
        <v>45833</v>
      </c>
      <c r="I812" s="7">
        <v>45834</v>
      </c>
      <c r="J812" s="8">
        <v>150</v>
      </c>
      <c r="K812" s="7">
        <v>45840</v>
      </c>
      <c r="L812" s="5"/>
      <c r="P812" s="23"/>
    </row>
    <row r="813" spans="1:16" ht="14.4" customHeight="1" x14ac:dyDescent="0.3">
      <c r="A813" s="5">
        <v>817</v>
      </c>
      <c r="B813" s="5" t="s">
        <v>1785</v>
      </c>
      <c r="C813" s="5" t="s">
        <v>1786</v>
      </c>
      <c r="D813" s="5" t="s">
        <v>1787</v>
      </c>
      <c r="E813" s="5" t="s">
        <v>1076</v>
      </c>
      <c r="F813" s="5">
        <v>58003448</v>
      </c>
      <c r="G813" s="5" t="s">
        <v>16</v>
      </c>
      <c r="H813" s="7">
        <v>45833</v>
      </c>
      <c r="I813" s="7">
        <v>45834</v>
      </c>
      <c r="J813" s="8">
        <v>150</v>
      </c>
      <c r="K813" s="7">
        <v>45840</v>
      </c>
      <c r="L813" s="5"/>
      <c r="P813" s="23"/>
    </row>
    <row r="814" spans="1:16" ht="14.4" customHeight="1" x14ac:dyDescent="0.3">
      <c r="A814" s="5">
        <v>818</v>
      </c>
      <c r="B814" s="5" t="s">
        <v>1788</v>
      </c>
      <c r="C814" s="5" t="s">
        <v>1789</v>
      </c>
      <c r="D814" s="5" t="s">
        <v>84</v>
      </c>
      <c r="E814" s="5" t="s">
        <v>84</v>
      </c>
      <c r="F814" s="5">
        <v>59209047</v>
      </c>
      <c r="G814" s="5" t="s">
        <v>16</v>
      </c>
      <c r="H814" s="7">
        <v>45833</v>
      </c>
      <c r="I814" s="7">
        <v>45834</v>
      </c>
      <c r="J814" s="8">
        <v>150</v>
      </c>
      <c r="K814" s="7">
        <v>45840</v>
      </c>
      <c r="L814" s="5"/>
      <c r="P814" s="23"/>
    </row>
    <row r="815" spans="1:16" ht="14.4" customHeight="1" x14ac:dyDescent="0.3">
      <c r="A815" s="5">
        <v>819</v>
      </c>
      <c r="B815" s="5" t="s">
        <v>1790</v>
      </c>
      <c r="C815" s="5" t="s">
        <v>1683</v>
      </c>
      <c r="D815" s="5" t="s">
        <v>368</v>
      </c>
      <c r="E815" s="5" t="s">
        <v>368</v>
      </c>
      <c r="F815" s="5">
        <v>58399698</v>
      </c>
      <c r="G815" s="5" t="s">
        <v>1016</v>
      </c>
      <c r="H815" s="7">
        <v>45834</v>
      </c>
      <c r="I815" s="7">
        <v>45834</v>
      </c>
      <c r="J815" s="8">
        <v>150</v>
      </c>
      <c r="K815" s="7">
        <v>45840</v>
      </c>
      <c r="L815" s="5"/>
      <c r="P815" s="23"/>
    </row>
    <row r="816" spans="1:16" ht="14.4" customHeight="1" x14ac:dyDescent="0.3">
      <c r="A816" s="5">
        <v>820</v>
      </c>
      <c r="B816" s="5" t="s">
        <v>1791</v>
      </c>
      <c r="C816" s="5" t="s">
        <v>1792</v>
      </c>
      <c r="D816" s="5" t="s">
        <v>1793</v>
      </c>
      <c r="E816" s="5" t="s">
        <v>1793</v>
      </c>
      <c r="F816" s="5">
        <v>57604400</v>
      </c>
      <c r="G816" s="5" t="s">
        <v>1016</v>
      </c>
      <c r="H816" s="7">
        <v>45834</v>
      </c>
      <c r="I816" s="7">
        <v>45834</v>
      </c>
      <c r="J816" s="8">
        <v>150</v>
      </c>
      <c r="K816" s="7">
        <v>45840</v>
      </c>
      <c r="L816" s="5"/>
      <c r="P816" s="23"/>
    </row>
    <row r="817" spans="1:16" ht="14.4" customHeight="1" x14ac:dyDescent="0.3">
      <c r="A817" s="5">
        <v>821</v>
      </c>
      <c r="B817" s="5" t="s">
        <v>1499</v>
      </c>
      <c r="C817" s="5" t="s">
        <v>84</v>
      </c>
      <c r="D817" s="5" t="s">
        <v>84</v>
      </c>
      <c r="E817" s="5" t="s">
        <v>84</v>
      </c>
      <c r="F817" s="5">
        <v>59320969</v>
      </c>
      <c r="G817" s="5" t="s">
        <v>1016</v>
      </c>
      <c r="H817" s="7">
        <v>45834</v>
      </c>
      <c r="I817" s="7">
        <v>45834</v>
      </c>
      <c r="J817" s="8">
        <v>150</v>
      </c>
      <c r="K817" s="7">
        <v>45840</v>
      </c>
      <c r="L817" s="5"/>
      <c r="P817" s="23"/>
    </row>
    <row r="818" spans="1:16" ht="14.4" customHeight="1" x14ac:dyDescent="0.3">
      <c r="A818" s="5">
        <v>822</v>
      </c>
      <c r="B818" s="5" t="s">
        <v>1798</v>
      </c>
      <c r="C818" s="5" t="s">
        <v>1799</v>
      </c>
      <c r="D818" s="5" t="s">
        <v>807</v>
      </c>
      <c r="E818" s="5" t="s">
        <v>807</v>
      </c>
      <c r="F818" s="5">
        <v>57891652</v>
      </c>
      <c r="G818" s="5" t="s">
        <v>1016</v>
      </c>
      <c r="H818" s="7">
        <v>45834</v>
      </c>
      <c r="I818" s="7">
        <v>45834</v>
      </c>
      <c r="J818" s="8">
        <v>150</v>
      </c>
      <c r="K818" s="7">
        <v>45840</v>
      </c>
      <c r="L818" s="5"/>
      <c r="P818" s="23"/>
    </row>
    <row r="819" spans="1:16" ht="14.4" customHeight="1" x14ac:dyDescent="0.3">
      <c r="A819" s="5">
        <v>823</v>
      </c>
      <c r="B819" s="5" t="s">
        <v>1800</v>
      </c>
      <c r="C819" s="5" t="s">
        <v>1801</v>
      </c>
      <c r="D819" s="5" t="s">
        <v>447</v>
      </c>
      <c r="E819" s="5" t="s">
        <v>447</v>
      </c>
      <c r="F819" s="5">
        <v>52588092</v>
      </c>
      <c r="G819" s="5" t="s">
        <v>1231</v>
      </c>
      <c r="H819" s="7">
        <v>45831</v>
      </c>
      <c r="I819" s="7">
        <v>45834</v>
      </c>
      <c r="J819" s="8">
        <v>150</v>
      </c>
      <c r="K819" s="7">
        <v>45840</v>
      </c>
      <c r="L819" s="5"/>
      <c r="P819" s="23"/>
    </row>
    <row r="820" spans="1:16" ht="14.4" customHeight="1" x14ac:dyDescent="0.3">
      <c r="A820" s="5">
        <v>824</v>
      </c>
      <c r="B820" s="5" t="s">
        <v>1813</v>
      </c>
      <c r="C820" s="5" t="s">
        <v>1814</v>
      </c>
      <c r="D820" s="5" t="s">
        <v>314</v>
      </c>
      <c r="E820" s="5" t="s">
        <v>314</v>
      </c>
      <c r="F820" s="5">
        <v>59107276</v>
      </c>
      <c r="G820" s="5" t="s">
        <v>963</v>
      </c>
      <c r="H820" s="7">
        <v>45834</v>
      </c>
      <c r="I820" s="7">
        <v>45834</v>
      </c>
      <c r="J820" s="16">
        <v>150</v>
      </c>
      <c r="K820" s="7">
        <v>45840</v>
      </c>
      <c r="L820" s="7" t="s">
        <v>1815</v>
      </c>
      <c r="P820" s="23"/>
    </row>
    <row r="821" spans="1:16" ht="14.4" customHeight="1" x14ac:dyDescent="0.3">
      <c r="A821" s="5">
        <v>825</v>
      </c>
      <c r="B821" s="5" t="s">
        <v>1816</v>
      </c>
      <c r="C821" s="5" t="s">
        <v>1817</v>
      </c>
      <c r="D821" s="5" t="s">
        <v>1818</v>
      </c>
      <c r="E821" s="5" t="s">
        <v>368</v>
      </c>
      <c r="F821" s="5">
        <v>57213748</v>
      </c>
      <c r="G821" s="5" t="s">
        <v>963</v>
      </c>
      <c r="H821" s="7">
        <v>45834</v>
      </c>
      <c r="I821" s="7">
        <v>45834</v>
      </c>
      <c r="J821" s="16">
        <v>150</v>
      </c>
      <c r="K821" s="7">
        <v>45840</v>
      </c>
      <c r="L821" s="7" t="s">
        <v>1810</v>
      </c>
      <c r="P821" s="23"/>
    </row>
    <row r="822" spans="1:16" ht="14.4" customHeight="1" x14ac:dyDescent="0.3">
      <c r="A822" s="5">
        <v>826</v>
      </c>
      <c r="B822" s="5" t="s">
        <v>1820</v>
      </c>
      <c r="C822" s="5" t="s">
        <v>1821</v>
      </c>
      <c r="D822" s="5" t="s">
        <v>546</v>
      </c>
      <c r="E822" s="5" t="s">
        <v>546</v>
      </c>
      <c r="F822" s="5">
        <v>57440151</v>
      </c>
      <c r="G822" s="5" t="s">
        <v>16</v>
      </c>
      <c r="H822" s="7">
        <v>45833</v>
      </c>
      <c r="I822" s="7">
        <v>45834</v>
      </c>
      <c r="J822" s="8">
        <v>150</v>
      </c>
      <c r="K822" s="7">
        <v>45840</v>
      </c>
      <c r="L822" s="5"/>
      <c r="P822" s="23"/>
    </row>
    <row r="823" spans="1:16" ht="14.4" customHeight="1" x14ac:dyDescent="0.3">
      <c r="A823" s="5">
        <v>827</v>
      </c>
      <c r="B823" s="7" t="s">
        <v>574</v>
      </c>
      <c r="C823" s="7" t="s">
        <v>575</v>
      </c>
      <c r="D823" s="5" t="s">
        <v>68</v>
      </c>
      <c r="E823" s="5" t="s">
        <v>101</v>
      </c>
      <c r="F823" s="6">
        <v>57324285</v>
      </c>
      <c r="G823" s="5" t="s">
        <v>16</v>
      </c>
      <c r="H823" s="7">
        <v>45834</v>
      </c>
      <c r="I823" s="7">
        <v>45834</v>
      </c>
      <c r="J823" s="8">
        <v>150</v>
      </c>
      <c r="K823" s="7">
        <v>45840</v>
      </c>
      <c r="L823" s="5"/>
      <c r="P823" s="23"/>
    </row>
    <row r="824" spans="1:16" ht="14.4" customHeight="1" x14ac:dyDescent="0.3">
      <c r="A824" s="5">
        <v>830</v>
      </c>
      <c r="B824" s="5" t="s">
        <v>1746</v>
      </c>
      <c r="C824" s="5" t="s">
        <v>1747</v>
      </c>
      <c r="D824" s="5" t="s">
        <v>49</v>
      </c>
      <c r="E824" s="5" t="s">
        <v>49</v>
      </c>
      <c r="F824" s="5">
        <v>58070197</v>
      </c>
      <c r="G824" s="5" t="s">
        <v>16</v>
      </c>
      <c r="H824" s="7">
        <v>45833</v>
      </c>
      <c r="I824" s="7">
        <v>45838</v>
      </c>
      <c r="J824" s="8">
        <v>150</v>
      </c>
      <c r="K824" s="7">
        <v>45840</v>
      </c>
      <c r="L824" s="5"/>
      <c r="P824" s="23"/>
    </row>
    <row r="825" spans="1:16" ht="14.4" customHeight="1" x14ac:dyDescent="0.3">
      <c r="A825" s="5">
        <v>831</v>
      </c>
      <c r="B825" s="5" t="s">
        <v>1764</v>
      </c>
      <c r="C825" s="5" t="s">
        <v>1765</v>
      </c>
      <c r="D825" s="5" t="s">
        <v>63</v>
      </c>
      <c r="E825" s="5" t="s">
        <v>63</v>
      </c>
      <c r="F825" s="5">
        <v>57470150</v>
      </c>
      <c r="G825" s="5" t="s">
        <v>16</v>
      </c>
      <c r="H825" s="7">
        <v>45833</v>
      </c>
      <c r="I825" s="7">
        <v>45838</v>
      </c>
      <c r="J825" s="8">
        <v>150</v>
      </c>
      <c r="K825" s="7">
        <v>45840</v>
      </c>
      <c r="L825" s="5"/>
      <c r="P825" s="23"/>
    </row>
    <row r="826" spans="1:16" ht="14.4" customHeight="1" x14ac:dyDescent="0.3">
      <c r="A826" s="5">
        <v>832</v>
      </c>
      <c r="B826" s="5" t="s">
        <v>1775</v>
      </c>
      <c r="C826" s="5" t="s">
        <v>1776</v>
      </c>
      <c r="D826" s="5" t="s">
        <v>237</v>
      </c>
      <c r="E826" s="5" t="s">
        <v>137</v>
      </c>
      <c r="F826" s="5">
        <v>59352626</v>
      </c>
      <c r="G826" s="5" t="s">
        <v>16</v>
      </c>
      <c r="H826" s="7">
        <v>45833</v>
      </c>
      <c r="I826" s="7">
        <v>45838</v>
      </c>
      <c r="J826" s="8">
        <v>150</v>
      </c>
      <c r="K826" s="7">
        <v>45840</v>
      </c>
      <c r="L826" s="5"/>
      <c r="P826" s="23"/>
    </row>
    <row r="827" spans="1:16" ht="14.4" customHeight="1" x14ac:dyDescent="0.3">
      <c r="A827" s="5">
        <v>833</v>
      </c>
      <c r="B827" s="5" t="s">
        <v>1794</v>
      </c>
      <c r="C827" s="5" t="s">
        <v>1795</v>
      </c>
      <c r="D827" s="5" t="s">
        <v>291</v>
      </c>
      <c r="E827" s="5" t="s">
        <v>291</v>
      </c>
      <c r="F827" s="5">
        <v>58188895</v>
      </c>
      <c r="G827" s="5" t="s">
        <v>1016</v>
      </c>
      <c r="H827" s="7">
        <v>45834</v>
      </c>
      <c r="I827" s="7">
        <v>45838</v>
      </c>
      <c r="J827" s="8">
        <v>150</v>
      </c>
      <c r="K827" s="7">
        <v>45840</v>
      </c>
      <c r="L827" s="5" t="s">
        <v>1802</v>
      </c>
      <c r="P827" s="23"/>
    </row>
    <row r="828" spans="1:16" ht="14.4" customHeight="1" x14ac:dyDescent="0.3">
      <c r="A828" s="5">
        <v>834</v>
      </c>
      <c r="B828" s="5" t="s">
        <v>1796</v>
      </c>
      <c r="C828" s="5" t="s">
        <v>1797</v>
      </c>
      <c r="D828" s="5" t="s">
        <v>1797</v>
      </c>
      <c r="E828" s="5" t="s">
        <v>1797</v>
      </c>
      <c r="F828" s="5">
        <v>59264995</v>
      </c>
      <c r="G828" s="5" t="s">
        <v>1016</v>
      </c>
      <c r="H828" s="7">
        <v>45834</v>
      </c>
      <c r="I828" s="7">
        <v>45838</v>
      </c>
      <c r="J828" s="8">
        <v>150</v>
      </c>
      <c r="K828" s="7">
        <v>45840</v>
      </c>
      <c r="L828" s="5" t="s">
        <v>1803</v>
      </c>
      <c r="P828" s="23"/>
    </row>
    <row r="829" spans="1:16" ht="14.4" customHeight="1" x14ac:dyDescent="0.3">
      <c r="A829" s="5">
        <v>835</v>
      </c>
      <c r="B829" s="5" t="s">
        <v>1918</v>
      </c>
      <c r="C829" s="5" t="s">
        <v>149</v>
      </c>
      <c r="D829" s="5" t="s">
        <v>149</v>
      </c>
      <c r="E829" s="5" t="s">
        <v>149</v>
      </c>
      <c r="F829" s="24" t="s">
        <v>1916</v>
      </c>
      <c r="G829" s="5" t="s">
        <v>1016</v>
      </c>
      <c r="H829" s="7">
        <v>45834</v>
      </c>
      <c r="I829" s="7">
        <v>45838</v>
      </c>
      <c r="J829" s="8">
        <v>150</v>
      </c>
      <c r="K829" s="7">
        <v>45840</v>
      </c>
      <c r="L829" s="5" t="s">
        <v>1917</v>
      </c>
      <c r="P829" s="23"/>
    </row>
    <row r="830" spans="1:16" ht="14.4" customHeight="1" x14ac:dyDescent="0.3">
      <c r="A830" s="5">
        <v>836</v>
      </c>
      <c r="B830" s="5" t="s">
        <v>1811</v>
      </c>
      <c r="C830" s="5" t="s">
        <v>1812</v>
      </c>
      <c r="D830" s="5" t="s">
        <v>63</v>
      </c>
      <c r="E830" s="5" t="s">
        <v>63</v>
      </c>
      <c r="F830" s="5">
        <v>59104495</v>
      </c>
      <c r="G830" s="5" t="s">
        <v>963</v>
      </c>
      <c r="H830" s="7">
        <v>45834</v>
      </c>
      <c r="I830" s="7">
        <v>45838</v>
      </c>
      <c r="J830" s="16">
        <v>150</v>
      </c>
      <c r="K830" s="7">
        <v>45840</v>
      </c>
      <c r="L830" s="7" t="s">
        <v>1810</v>
      </c>
      <c r="P830" s="23"/>
    </row>
    <row r="831" spans="1:16" ht="14.4" customHeight="1" x14ac:dyDescent="0.3">
      <c r="A831" s="5">
        <v>837</v>
      </c>
      <c r="B831" s="5" t="s">
        <v>1319</v>
      </c>
      <c r="C831" s="5" t="s">
        <v>1321</v>
      </c>
      <c r="D831" s="5" t="s">
        <v>1322</v>
      </c>
      <c r="E831" s="5" t="s">
        <v>1322</v>
      </c>
      <c r="F831" s="5">
        <v>54955604</v>
      </c>
      <c r="G831" s="5" t="s">
        <v>1024</v>
      </c>
      <c r="H831" s="7">
        <v>45833</v>
      </c>
      <c r="I831" s="7">
        <v>45838</v>
      </c>
      <c r="J831" s="8">
        <v>150</v>
      </c>
      <c r="K831" s="7">
        <v>45840</v>
      </c>
      <c r="L831" s="7" t="s">
        <v>1819</v>
      </c>
      <c r="P831" s="23"/>
    </row>
    <row r="832" spans="1:16" ht="14.4" customHeight="1" x14ac:dyDescent="0.3">
      <c r="A832" s="5">
        <v>838</v>
      </c>
      <c r="B832" s="5" t="s">
        <v>1823</v>
      </c>
      <c r="C832" s="5" t="s">
        <v>1825</v>
      </c>
      <c r="D832" s="5" t="s">
        <v>1018</v>
      </c>
      <c r="E832" s="5" t="s">
        <v>1018</v>
      </c>
      <c r="F832" s="5">
        <v>59119682</v>
      </c>
      <c r="G832" s="5" t="s">
        <v>1024</v>
      </c>
      <c r="H832" s="7">
        <v>45837</v>
      </c>
      <c r="I832" s="7">
        <v>45838</v>
      </c>
      <c r="J832" s="8">
        <v>150</v>
      </c>
      <c r="K832" s="7">
        <v>45840</v>
      </c>
      <c r="L832" s="5" t="s">
        <v>1824</v>
      </c>
      <c r="P832" s="23"/>
    </row>
    <row r="833" spans="1:16" ht="14.4" customHeight="1" x14ac:dyDescent="0.3">
      <c r="A833" s="5">
        <v>839</v>
      </c>
      <c r="B833" s="7" t="s">
        <v>342</v>
      </c>
      <c r="C833" s="5" t="s">
        <v>343</v>
      </c>
      <c r="D833" s="5" t="s">
        <v>30</v>
      </c>
      <c r="E833" s="5" t="s">
        <v>344</v>
      </c>
      <c r="F833" s="6">
        <v>52526373</v>
      </c>
      <c r="G833" s="5" t="s">
        <v>1024</v>
      </c>
      <c r="H833" s="7">
        <v>45837</v>
      </c>
      <c r="I833" s="7">
        <v>45838</v>
      </c>
      <c r="J833" s="8">
        <v>150</v>
      </c>
      <c r="K833" s="7">
        <v>45840</v>
      </c>
      <c r="L833" s="5" t="s">
        <v>1826</v>
      </c>
      <c r="P833" s="23"/>
    </row>
    <row r="834" spans="1:16" ht="14.4" customHeight="1" x14ac:dyDescent="0.3">
      <c r="A834" s="5">
        <v>840</v>
      </c>
      <c r="B834" s="5" t="s">
        <v>1827</v>
      </c>
      <c r="C834" s="5" t="s">
        <v>1887</v>
      </c>
      <c r="D834" s="5" t="s">
        <v>68</v>
      </c>
      <c r="E834" s="5" t="s">
        <v>49</v>
      </c>
      <c r="F834" s="5">
        <v>59451648</v>
      </c>
      <c r="G834" s="5" t="s">
        <v>16</v>
      </c>
      <c r="H834" s="7">
        <v>45837</v>
      </c>
      <c r="I834" s="7">
        <v>45838</v>
      </c>
      <c r="J834" s="8">
        <v>150</v>
      </c>
      <c r="K834" s="7">
        <v>45840</v>
      </c>
      <c r="L834" s="5"/>
      <c r="P834" s="23"/>
    </row>
    <row r="835" spans="1:16" ht="14.4" customHeight="1" x14ac:dyDescent="0.3">
      <c r="A835" s="5">
        <v>841</v>
      </c>
      <c r="B835" s="5" t="s">
        <v>1828</v>
      </c>
      <c r="C835" s="5" t="s">
        <v>1858</v>
      </c>
      <c r="D835" s="5" t="s">
        <v>426</v>
      </c>
      <c r="E835" s="5" t="s">
        <v>1684</v>
      </c>
      <c r="F835" s="5">
        <v>57596490</v>
      </c>
      <c r="G835" s="5" t="s">
        <v>16</v>
      </c>
      <c r="H835" s="7">
        <v>45837</v>
      </c>
      <c r="I835" s="7">
        <v>45838</v>
      </c>
      <c r="J835" s="8">
        <v>150</v>
      </c>
      <c r="K835" s="7">
        <v>45840</v>
      </c>
      <c r="L835" s="5"/>
      <c r="P835" s="23"/>
    </row>
    <row r="836" spans="1:16" ht="14.4" customHeight="1" x14ac:dyDescent="0.3">
      <c r="A836" s="5">
        <v>842</v>
      </c>
      <c r="B836" s="5" t="s">
        <v>1829</v>
      </c>
      <c r="C836" s="5" t="s">
        <v>1859</v>
      </c>
      <c r="D836" s="5" t="s">
        <v>68</v>
      </c>
      <c r="E836" s="5" t="s">
        <v>101</v>
      </c>
      <c r="F836" s="5">
        <v>58264924</v>
      </c>
      <c r="G836" s="5" t="s">
        <v>16</v>
      </c>
      <c r="H836" s="7">
        <v>45837</v>
      </c>
      <c r="I836" s="7">
        <v>45838</v>
      </c>
      <c r="J836" s="8">
        <v>150</v>
      </c>
      <c r="K836" s="7">
        <v>45840</v>
      </c>
      <c r="L836" s="5"/>
      <c r="P836" s="23"/>
    </row>
    <row r="837" spans="1:16" ht="14.4" customHeight="1" x14ac:dyDescent="0.3">
      <c r="A837" s="5">
        <v>843</v>
      </c>
      <c r="B837" s="5" t="s">
        <v>1830</v>
      </c>
      <c r="C837" s="5" t="s">
        <v>1860</v>
      </c>
      <c r="D837" s="5" t="s">
        <v>68</v>
      </c>
      <c r="E837" s="5" t="s">
        <v>49</v>
      </c>
      <c r="F837" s="5">
        <v>59494326</v>
      </c>
      <c r="G837" s="5" t="s">
        <v>16</v>
      </c>
      <c r="H837" s="7">
        <v>45837</v>
      </c>
      <c r="I837" s="7">
        <v>45838</v>
      </c>
      <c r="J837" s="8">
        <v>150</v>
      </c>
      <c r="K837" s="7">
        <v>45840</v>
      </c>
      <c r="L837" s="5"/>
      <c r="P837" s="23"/>
    </row>
    <row r="838" spans="1:16" ht="14.4" customHeight="1" x14ac:dyDescent="0.3">
      <c r="A838" s="5">
        <v>844</v>
      </c>
      <c r="B838" s="5" t="s">
        <v>1831</v>
      </c>
      <c r="C838" s="5" t="s">
        <v>1861</v>
      </c>
      <c r="D838" s="5" t="s">
        <v>137</v>
      </c>
      <c r="E838" s="5" t="s">
        <v>1279</v>
      </c>
      <c r="F838" s="5">
        <v>57689395</v>
      </c>
      <c r="G838" s="5" t="s">
        <v>16</v>
      </c>
      <c r="H838" s="7">
        <v>45837</v>
      </c>
      <c r="I838" s="7">
        <v>45838</v>
      </c>
      <c r="J838" s="8">
        <v>150</v>
      </c>
      <c r="K838" s="7">
        <v>45840</v>
      </c>
      <c r="L838" s="5"/>
      <c r="P838" s="23"/>
    </row>
    <row r="839" spans="1:16" ht="14.4" customHeight="1" x14ac:dyDescent="0.3">
      <c r="A839" s="5">
        <v>845</v>
      </c>
      <c r="B839" s="5" t="s">
        <v>1886</v>
      </c>
      <c r="C839" s="5" t="s">
        <v>1862</v>
      </c>
      <c r="D839" s="5" t="s">
        <v>475</v>
      </c>
      <c r="E839" s="5" t="s">
        <v>1262</v>
      </c>
      <c r="F839" s="5">
        <v>57919559</v>
      </c>
      <c r="G839" s="5" t="s">
        <v>16</v>
      </c>
      <c r="H839" s="7">
        <v>45837</v>
      </c>
      <c r="I839" s="7">
        <v>45838</v>
      </c>
      <c r="J839" s="8">
        <v>150</v>
      </c>
      <c r="K839" s="7">
        <v>45840</v>
      </c>
      <c r="L839" s="5"/>
      <c r="P839" s="23"/>
    </row>
    <row r="840" spans="1:16" ht="14.4" customHeight="1" x14ac:dyDescent="0.3">
      <c r="A840" s="5">
        <v>846</v>
      </c>
      <c r="B840" s="5" t="s">
        <v>1832</v>
      </c>
      <c r="C840" s="5" t="s">
        <v>1863</v>
      </c>
      <c r="D840" s="5" t="s">
        <v>137</v>
      </c>
      <c r="E840" s="5" t="s">
        <v>223</v>
      </c>
      <c r="F840" s="5">
        <v>57513422</v>
      </c>
      <c r="G840" s="5" t="s">
        <v>16</v>
      </c>
      <c r="H840" s="7">
        <v>45837</v>
      </c>
      <c r="I840" s="7">
        <v>45838</v>
      </c>
      <c r="J840" s="8">
        <v>150</v>
      </c>
      <c r="K840" s="7">
        <v>45840</v>
      </c>
      <c r="L840" s="5"/>
      <c r="P840" s="23"/>
    </row>
    <row r="841" spans="1:16" ht="14.4" customHeight="1" x14ac:dyDescent="0.3">
      <c r="A841" s="5">
        <v>847</v>
      </c>
      <c r="B841" s="5" t="s">
        <v>1834</v>
      </c>
      <c r="C841" s="5" t="s">
        <v>1864</v>
      </c>
      <c r="D841" s="5" t="s">
        <v>68</v>
      </c>
      <c r="E841" s="5" t="s">
        <v>74</v>
      </c>
      <c r="F841" s="5">
        <v>58047892</v>
      </c>
      <c r="G841" s="5" t="s">
        <v>16</v>
      </c>
      <c r="H841" s="7">
        <v>45837</v>
      </c>
      <c r="I841" s="7">
        <v>45838</v>
      </c>
      <c r="J841" s="8">
        <v>150</v>
      </c>
      <c r="K841" s="7">
        <v>45840</v>
      </c>
      <c r="L841" s="5"/>
      <c r="P841" s="23"/>
    </row>
    <row r="842" spans="1:16" ht="14.4" customHeight="1" x14ac:dyDescent="0.3">
      <c r="A842" s="5">
        <v>848</v>
      </c>
      <c r="B842" s="5" t="s">
        <v>713</v>
      </c>
      <c r="C842" s="5" t="s">
        <v>1865</v>
      </c>
      <c r="D842" s="5" t="s">
        <v>41</v>
      </c>
      <c r="E842" s="5" t="s">
        <v>715</v>
      </c>
      <c r="F842" s="5">
        <v>59864950</v>
      </c>
      <c r="G842" s="5" t="s">
        <v>16</v>
      </c>
      <c r="H842" s="7">
        <v>45837</v>
      </c>
      <c r="I842" s="7">
        <v>45838</v>
      </c>
      <c r="J842" s="8">
        <v>150</v>
      </c>
      <c r="K842" s="7">
        <v>45840</v>
      </c>
      <c r="L842" s="5"/>
      <c r="P842" s="23"/>
    </row>
    <row r="843" spans="1:16" ht="14.4" customHeight="1" x14ac:dyDescent="0.3">
      <c r="A843" s="5">
        <v>849</v>
      </c>
      <c r="B843" s="5" t="s">
        <v>1835</v>
      </c>
      <c r="C843" s="5" t="s">
        <v>1866</v>
      </c>
      <c r="D843" s="5" t="s">
        <v>706</v>
      </c>
      <c r="E843" s="5" t="s">
        <v>276</v>
      </c>
      <c r="F843" s="5">
        <v>58274221</v>
      </c>
      <c r="G843" s="5" t="s">
        <v>16</v>
      </c>
      <c r="H843" s="7">
        <v>45837</v>
      </c>
      <c r="I843" s="7">
        <v>45838</v>
      </c>
      <c r="J843" s="8">
        <v>150</v>
      </c>
      <c r="K843" s="7">
        <v>45840</v>
      </c>
      <c r="L843" s="5"/>
      <c r="P843" s="23"/>
    </row>
    <row r="844" spans="1:16" ht="14.4" customHeight="1" x14ac:dyDescent="0.3">
      <c r="A844" s="5">
        <v>850</v>
      </c>
      <c r="B844" s="5" t="s">
        <v>1836</v>
      </c>
      <c r="C844" s="5" t="s">
        <v>1867</v>
      </c>
      <c r="D844" s="5" t="s">
        <v>706</v>
      </c>
      <c r="E844" s="5" t="s">
        <v>158</v>
      </c>
      <c r="F844" s="5">
        <v>59226507</v>
      </c>
      <c r="G844" s="5" t="s">
        <v>16</v>
      </c>
      <c r="H844" s="7">
        <v>45837</v>
      </c>
      <c r="I844" s="7">
        <v>45838</v>
      </c>
      <c r="J844" s="8">
        <v>150</v>
      </c>
      <c r="K844" s="7">
        <v>45840</v>
      </c>
      <c r="L844" s="5"/>
      <c r="P844" s="23"/>
    </row>
    <row r="845" spans="1:16" ht="14.4" customHeight="1" x14ac:dyDescent="0.3">
      <c r="A845" s="5">
        <v>852</v>
      </c>
      <c r="B845" s="5" t="s">
        <v>1838</v>
      </c>
      <c r="C845" s="5" t="s">
        <v>1869</v>
      </c>
      <c r="D845" s="5" t="s">
        <v>84</v>
      </c>
      <c r="E845" s="5" t="s">
        <v>84</v>
      </c>
      <c r="F845" s="5">
        <v>52500306</v>
      </c>
      <c r="G845" s="5" t="s">
        <v>16</v>
      </c>
      <c r="H845" s="7">
        <v>45837</v>
      </c>
      <c r="I845" s="7">
        <v>45838</v>
      </c>
      <c r="J845" s="8">
        <v>150</v>
      </c>
      <c r="K845" s="7">
        <v>45840</v>
      </c>
      <c r="L845" s="5"/>
      <c r="P845" s="23"/>
    </row>
    <row r="846" spans="1:16" ht="14.4" customHeight="1" x14ac:dyDescent="0.3">
      <c r="A846" s="5">
        <v>853</v>
      </c>
      <c r="B846" s="5" t="s">
        <v>1839</v>
      </c>
      <c r="C846" s="5" t="s">
        <v>1870</v>
      </c>
      <c r="D846" s="5" t="s">
        <v>601</v>
      </c>
      <c r="E846" s="5" t="s">
        <v>262</v>
      </c>
      <c r="F846" s="5">
        <v>57684786</v>
      </c>
      <c r="G846" s="5" t="s">
        <v>16</v>
      </c>
      <c r="H846" s="7">
        <v>45837</v>
      </c>
      <c r="I846" s="7">
        <v>45838</v>
      </c>
      <c r="J846" s="8">
        <v>150</v>
      </c>
      <c r="K846" s="7">
        <v>45840</v>
      </c>
      <c r="L846" s="5"/>
      <c r="P846" s="23"/>
    </row>
    <row r="847" spans="1:16" ht="14.4" customHeight="1" x14ac:dyDescent="0.3">
      <c r="A847" s="5">
        <v>854</v>
      </c>
      <c r="B847" s="5" t="s">
        <v>1840</v>
      </c>
      <c r="C847" s="5" t="s">
        <v>1871</v>
      </c>
      <c r="D847" s="5" t="s">
        <v>601</v>
      </c>
      <c r="E847" s="5" t="s">
        <v>259</v>
      </c>
      <c r="F847" s="5">
        <v>58129432</v>
      </c>
      <c r="G847" s="5" t="s">
        <v>16</v>
      </c>
      <c r="H847" s="7">
        <v>45837</v>
      </c>
      <c r="I847" s="7">
        <v>45838</v>
      </c>
      <c r="J847" s="8">
        <v>150</v>
      </c>
      <c r="K847" s="7">
        <v>45840</v>
      </c>
      <c r="L847" s="5"/>
      <c r="P847" s="23"/>
    </row>
    <row r="848" spans="1:16" ht="14.4" customHeight="1" x14ac:dyDescent="0.3">
      <c r="A848" s="5">
        <v>855</v>
      </c>
      <c r="B848" s="5" t="s">
        <v>1841</v>
      </c>
      <c r="C848" s="5" t="s">
        <v>1872</v>
      </c>
      <c r="D848" s="5" t="s">
        <v>68</v>
      </c>
      <c r="E848" s="5" t="s">
        <v>74</v>
      </c>
      <c r="F848" s="5">
        <v>57750960</v>
      </c>
      <c r="G848" s="5" t="s">
        <v>16</v>
      </c>
      <c r="H848" s="7">
        <v>45837</v>
      </c>
      <c r="I848" s="7">
        <v>45838</v>
      </c>
      <c r="J848" s="8">
        <v>150</v>
      </c>
      <c r="K848" s="7">
        <v>45840</v>
      </c>
      <c r="L848" s="5"/>
      <c r="P848" s="23"/>
    </row>
    <row r="849" spans="1:16" ht="14.4" customHeight="1" x14ac:dyDescent="0.3">
      <c r="A849" s="5">
        <v>856</v>
      </c>
      <c r="B849" s="5" t="s">
        <v>1842</v>
      </c>
      <c r="C849" s="5" t="s">
        <v>1873</v>
      </c>
      <c r="D849" s="5" t="s">
        <v>137</v>
      </c>
      <c r="E849" s="5" t="s">
        <v>204</v>
      </c>
      <c r="F849" s="5">
        <v>55098828</v>
      </c>
      <c r="G849" s="5" t="s">
        <v>16</v>
      </c>
      <c r="H849" s="7">
        <v>45837</v>
      </c>
      <c r="I849" s="7">
        <v>45838</v>
      </c>
      <c r="J849" s="8">
        <v>150</v>
      </c>
      <c r="K849" s="7">
        <v>45840</v>
      </c>
      <c r="L849" s="5"/>
      <c r="P849" s="23"/>
    </row>
    <row r="850" spans="1:16" ht="14.4" customHeight="1" x14ac:dyDescent="0.3">
      <c r="A850" s="5">
        <v>857</v>
      </c>
      <c r="B850" s="5" t="s">
        <v>1843</v>
      </c>
      <c r="C850" s="5" t="s">
        <v>1874</v>
      </c>
      <c r="D850" s="5" t="s">
        <v>137</v>
      </c>
      <c r="E850" s="5" t="s">
        <v>1700</v>
      </c>
      <c r="F850" s="5">
        <v>58338087</v>
      </c>
      <c r="G850" s="5" t="s">
        <v>16</v>
      </c>
      <c r="H850" s="7">
        <v>45837</v>
      </c>
      <c r="I850" s="7">
        <v>45838</v>
      </c>
      <c r="J850" s="8">
        <v>150</v>
      </c>
      <c r="K850" s="7">
        <v>45840</v>
      </c>
      <c r="L850" s="5"/>
      <c r="P850" s="23"/>
    </row>
    <row r="851" spans="1:16" ht="14.4" customHeight="1" x14ac:dyDescent="0.3">
      <c r="A851" s="5">
        <v>858</v>
      </c>
      <c r="B851" s="5" t="s">
        <v>1844</v>
      </c>
      <c r="C851" s="5" t="s">
        <v>1875</v>
      </c>
      <c r="D851" s="5" t="s">
        <v>1845</v>
      </c>
      <c r="E851" s="5" t="s">
        <v>137</v>
      </c>
      <c r="F851" s="5">
        <v>57651413</v>
      </c>
      <c r="G851" s="5" t="s">
        <v>16</v>
      </c>
      <c r="H851" s="7">
        <v>45837</v>
      </c>
      <c r="I851" s="7">
        <v>45838</v>
      </c>
      <c r="J851" s="8">
        <v>150</v>
      </c>
      <c r="K851" s="7">
        <v>45840</v>
      </c>
      <c r="L851" s="5"/>
      <c r="P851" s="23"/>
    </row>
    <row r="852" spans="1:16" ht="14.4" customHeight="1" x14ac:dyDescent="0.3">
      <c r="A852" s="5">
        <v>859</v>
      </c>
      <c r="B852" s="5" t="s">
        <v>1846</v>
      </c>
      <c r="C852" s="5" t="s">
        <v>1889</v>
      </c>
      <c r="D852" s="5" t="s">
        <v>706</v>
      </c>
      <c r="E852" s="5" t="s">
        <v>1170</v>
      </c>
      <c r="F852" s="5">
        <v>58854006</v>
      </c>
      <c r="G852" s="5" t="s">
        <v>16</v>
      </c>
      <c r="H852" s="7">
        <v>45837</v>
      </c>
      <c r="I852" s="7">
        <v>45838</v>
      </c>
      <c r="J852" s="8">
        <v>150</v>
      </c>
      <c r="K852" s="7">
        <v>45840</v>
      </c>
      <c r="L852" s="5"/>
      <c r="P852" s="23"/>
    </row>
    <row r="853" spans="1:16" ht="14.4" customHeight="1" x14ac:dyDescent="0.3">
      <c r="A853" s="5">
        <v>860</v>
      </c>
      <c r="B853" s="5" t="s">
        <v>1847</v>
      </c>
      <c r="C853" s="5" t="s">
        <v>1876</v>
      </c>
      <c r="D853" s="5" t="s">
        <v>41</v>
      </c>
      <c r="E853" s="5" t="s">
        <v>144</v>
      </c>
      <c r="F853" s="5">
        <v>57919326</v>
      </c>
      <c r="G853" s="5" t="s">
        <v>16</v>
      </c>
      <c r="H853" s="7">
        <v>45837</v>
      </c>
      <c r="I853" s="7">
        <v>45838</v>
      </c>
      <c r="J853" s="8">
        <v>150</v>
      </c>
      <c r="K853" s="7">
        <v>45840</v>
      </c>
      <c r="L853" s="5"/>
      <c r="P853" s="23"/>
    </row>
    <row r="854" spans="1:16" ht="14.4" customHeight="1" x14ac:dyDescent="0.3">
      <c r="A854" s="5">
        <v>861</v>
      </c>
      <c r="B854" s="5" t="s">
        <v>694</v>
      </c>
      <c r="C854" s="5" t="s">
        <v>695</v>
      </c>
      <c r="D854" s="5" t="s">
        <v>68</v>
      </c>
      <c r="E854" s="5" t="s">
        <v>696</v>
      </c>
      <c r="F854" s="5">
        <v>57025491</v>
      </c>
      <c r="G854" s="5" t="s">
        <v>16</v>
      </c>
      <c r="H854" s="7">
        <v>45837</v>
      </c>
      <c r="I854" s="7">
        <v>45838</v>
      </c>
      <c r="J854" s="8">
        <v>150</v>
      </c>
      <c r="K854" s="7">
        <v>45840</v>
      </c>
      <c r="L854" s="5"/>
      <c r="P854" s="23"/>
    </row>
    <row r="855" spans="1:16" ht="14.4" customHeight="1" x14ac:dyDescent="0.3">
      <c r="A855" s="5">
        <v>862</v>
      </c>
      <c r="B855" s="5" t="s">
        <v>1768</v>
      </c>
      <c r="C855" s="5" t="s">
        <v>1877</v>
      </c>
      <c r="D855" s="5" t="s">
        <v>68</v>
      </c>
      <c r="E855" s="5" t="s">
        <v>74</v>
      </c>
      <c r="F855" s="5">
        <v>59800504</v>
      </c>
      <c r="G855" s="5" t="s">
        <v>16</v>
      </c>
      <c r="H855" s="7">
        <v>45837</v>
      </c>
      <c r="I855" s="7">
        <v>45838</v>
      </c>
      <c r="J855" s="8">
        <v>150</v>
      </c>
      <c r="K855" s="7">
        <v>45840</v>
      </c>
      <c r="L855" s="5"/>
      <c r="P855" s="23"/>
    </row>
    <row r="856" spans="1:16" ht="14.4" customHeight="1" x14ac:dyDescent="0.3">
      <c r="A856" s="5">
        <v>864</v>
      </c>
      <c r="B856" s="5" t="s">
        <v>1849</v>
      </c>
      <c r="C856" s="5" t="s">
        <v>1879</v>
      </c>
      <c r="D856" s="5" t="s">
        <v>475</v>
      </c>
      <c r="E856" s="5" t="s">
        <v>475</v>
      </c>
      <c r="F856" s="5">
        <v>57035986</v>
      </c>
      <c r="G856" s="5" t="s">
        <v>16</v>
      </c>
      <c r="H856" s="7">
        <v>45837</v>
      </c>
      <c r="I856" s="7">
        <v>45838</v>
      </c>
      <c r="J856" s="8">
        <v>150</v>
      </c>
      <c r="K856" s="7">
        <v>45840</v>
      </c>
      <c r="L856" s="5"/>
      <c r="P856" s="23"/>
    </row>
    <row r="857" spans="1:16" ht="14.4" customHeight="1" x14ac:dyDescent="0.3">
      <c r="A857" s="5">
        <v>865</v>
      </c>
      <c r="B857" s="5" t="s">
        <v>1850</v>
      </c>
      <c r="C857" s="5" t="s">
        <v>1880</v>
      </c>
      <c r="D857" s="5" t="s">
        <v>706</v>
      </c>
      <c r="E857" s="5" t="s">
        <v>276</v>
      </c>
      <c r="F857" s="5">
        <v>57084233</v>
      </c>
      <c r="G857" s="5" t="s">
        <v>16</v>
      </c>
      <c r="H857" s="7">
        <v>45837</v>
      </c>
      <c r="I857" s="7">
        <v>45838</v>
      </c>
      <c r="J857" s="8">
        <v>150</v>
      </c>
      <c r="K857" s="7">
        <v>45840</v>
      </c>
      <c r="L857" s="5"/>
      <c r="P857" s="23"/>
    </row>
    <row r="858" spans="1:16" ht="14.4" customHeight="1" x14ac:dyDescent="0.3">
      <c r="A858" s="5">
        <v>866</v>
      </c>
      <c r="B858" s="5" t="s">
        <v>519</v>
      </c>
      <c r="C858" s="5" t="s">
        <v>1881</v>
      </c>
      <c r="D858" s="5" t="s">
        <v>41</v>
      </c>
      <c r="E858" s="5" t="s">
        <v>144</v>
      </c>
      <c r="F858" s="5">
        <v>59063468</v>
      </c>
      <c r="G858" s="5" t="s">
        <v>16</v>
      </c>
      <c r="H858" s="7">
        <v>45837</v>
      </c>
      <c r="I858" s="7">
        <v>45838</v>
      </c>
      <c r="J858" s="8">
        <v>150</v>
      </c>
      <c r="K858" s="7">
        <v>45840</v>
      </c>
      <c r="L858" s="5"/>
      <c r="P858" s="23"/>
    </row>
    <row r="859" spans="1:16" ht="14.4" customHeight="1" x14ac:dyDescent="0.3">
      <c r="A859" s="5">
        <v>867</v>
      </c>
      <c r="B859" s="5" t="s">
        <v>1851</v>
      </c>
      <c r="C859" s="5" t="s">
        <v>1882</v>
      </c>
      <c r="D859" s="5" t="s">
        <v>601</v>
      </c>
      <c r="E859" s="5" t="s">
        <v>384</v>
      </c>
      <c r="F859" s="5">
        <v>57538713</v>
      </c>
      <c r="G859" s="5" t="s">
        <v>16</v>
      </c>
      <c r="H859" s="7">
        <v>45837</v>
      </c>
      <c r="I859" s="7">
        <v>45838</v>
      </c>
      <c r="J859" s="8">
        <v>150</v>
      </c>
      <c r="K859" s="7">
        <v>45840</v>
      </c>
      <c r="L859" s="5"/>
      <c r="P859" s="23"/>
    </row>
    <row r="860" spans="1:16" ht="14.4" customHeight="1" x14ac:dyDescent="0.3">
      <c r="A860" s="5">
        <v>868</v>
      </c>
      <c r="B860" s="5" t="s">
        <v>1852</v>
      </c>
      <c r="C860" s="5" t="s">
        <v>1883</v>
      </c>
      <c r="D860" s="5" t="s">
        <v>41</v>
      </c>
      <c r="E860" s="5" t="s">
        <v>623</v>
      </c>
      <c r="F860" s="5">
        <v>57979301</v>
      </c>
      <c r="G860" s="5" t="s">
        <v>16</v>
      </c>
      <c r="H860" s="7">
        <v>45837</v>
      </c>
      <c r="I860" s="7">
        <v>45838</v>
      </c>
      <c r="J860" s="8">
        <v>150</v>
      </c>
      <c r="K860" s="7">
        <v>45840</v>
      </c>
      <c r="L860" s="5"/>
      <c r="P860" s="23"/>
    </row>
    <row r="861" spans="1:16" ht="14.4" customHeight="1" x14ac:dyDescent="0.3">
      <c r="A861" s="5">
        <v>869</v>
      </c>
      <c r="B861" s="5" t="s">
        <v>1853</v>
      </c>
      <c r="C861" s="5" t="s">
        <v>1884</v>
      </c>
      <c r="D861" s="5" t="s">
        <v>41</v>
      </c>
      <c r="E861" s="5" t="s">
        <v>23</v>
      </c>
      <c r="F861" s="5">
        <v>55064569</v>
      </c>
      <c r="G861" s="5" t="s">
        <v>16</v>
      </c>
      <c r="H861" s="7">
        <v>45837</v>
      </c>
      <c r="I861" s="7">
        <v>45838</v>
      </c>
      <c r="J861" s="8">
        <v>150</v>
      </c>
      <c r="K861" s="7">
        <v>45840</v>
      </c>
      <c r="L861" s="5"/>
      <c r="P861" s="23"/>
    </row>
    <row r="862" spans="1:16" ht="14.4" customHeight="1" x14ac:dyDescent="0.3">
      <c r="A862" s="5">
        <v>870</v>
      </c>
      <c r="B862" s="5" t="s">
        <v>1854</v>
      </c>
      <c r="C862" s="5" t="s">
        <v>1885</v>
      </c>
      <c r="D862" s="5" t="s">
        <v>68</v>
      </c>
      <c r="E862" s="5" t="s">
        <v>63</v>
      </c>
      <c r="F862" s="5">
        <v>59015720</v>
      </c>
      <c r="G862" s="5" t="s">
        <v>16</v>
      </c>
      <c r="H862" s="7">
        <v>45837</v>
      </c>
      <c r="I862" s="7">
        <v>45838</v>
      </c>
      <c r="J862" s="8">
        <v>150</v>
      </c>
      <c r="K862" s="7">
        <v>45840</v>
      </c>
      <c r="L862" s="5"/>
      <c r="P862" s="23"/>
    </row>
    <row r="863" spans="1:16" ht="14.4" customHeight="1" x14ac:dyDescent="0.3">
      <c r="A863" s="5">
        <v>871</v>
      </c>
      <c r="B863" s="5" t="s">
        <v>257</v>
      </c>
      <c r="C863" s="5" t="s">
        <v>258</v>
      </c>
      <c r="D863" s="5" t="s">
        <v>601</v>
      </c>
      <c r="E863" s="5" t="s">
        <v>259</v>
      </c>
      <c r="F863" s="5">
        <v>59082537</v>
      </c>
      <c r="G863" s="5" t="s">
        <v>16</v>
      </c>
      <c r="H863" s="7">
        <v>45837</v>
      </c>
      <c r="I863" s="7">
        <v>45838</v>
      </c>
      <c r="J863" s="8">
        <v>150</v>
      </c>
      <c r="K863" s="7">
        <v>45840</v>
      </c>
      <c r="L863" s="5"/>
      <c r="P863" s="23"/>
    </row>
    <row r="864" spans="1:16" ht="14.4" customHeight="1" x14ac:dyDescent="0.3">
      <c r="A864" s="5">
        <v>872</v>
      </c>
      <c r="B864" s="5" t="s">
        <v>424</v>
      </c>
      <c r="C864" s="5" t="s">
        <v>1892</v>
      </c>
      <c r="D864" s="5" t="s">
        <v>426</v>
      </c>
      <c r="E864" s="5" t="s">
        <v>19</v>
      </c>
      <c r="F864" s="5">
        <v>58290737</v>
      </c>
      <c r="G864" s="5" t="s">
        <v>16</v>
      </c>
      <c r="H864" s="7">
        <v>45837</v>
      </c>
      <c r="I864" s="7">
        <v>45838</v>
      </c>
      <c r="J864" s="8">
        <v>150</v>
      </c>
      <c r="K864" s="7">
        <v>45840</v>
      </c>
      <c r="L864" s="5"/>
      <c r="P864" s="23"/>
    </row>
    <row r="865" spans="1:16" ht="14.4" customHeight="1" x14ac:dyDescent="0.3">
      <c r="A865" s="5">
        <v>873</v>
      </c>
      <c r="B865" s="5" t="s">
        <v>1187</v>
      </c>
      <c r="C865" s="5" t="s">
        <v>1888</v>
      </c>
      <c r="D865" s="5" t="s">
        <v>137</v>
      </c>
      <c r="E865" s="5" t="s">
        <v>1855</v>
      </c>
      <c r="F865" s="5">
        <v>57726954</v>
      </c>
      <c r="G865" s="5" t="s">
        <v>16</v>
      </c>
      <c r="H865" s="7">
        <v>45837</v>
      </c>
      <c r="I865" s="7">
        <v>45838</v>
      </c>
      <c r="J865" s="8">
        <v>150</v>
      </c>
      <c r="K865" s="7">
        <v>45840</v>
      </c>
      <c r="L865" s="5"/>
      <c r="P865" s="23"/>
    </row>
    <row r="866" spans="1:16" ht="14.4" customHeight="1" x14ac:dyDescent="0.3">
      <c r="A866" s="5">
        <v>874</v>
      </c>
      <c r="B866" s="5" t="s">
        <v>1856</v>
      </c>
      <c r="C866" s="5" t="s">
        <v>457</v>
      </c>
      <c r="D866" s="5" t="s">
        <v>706</v>
      </c>
      <c r="E866" s="5" t="s">
        <v>458</v>
      </c>
      <c r="F866" s="5">
        <v>57999753</v>
      </c>
      <c r="G866" s="5" t="s">
        <v>16</v>
      </c>
      <c r="H866" s="7">
        <v>45837</v>
      </c>
      <c r="I866" s="7">
        <v>45838</v>
      </c>
      <c r="J866" s="8">
        <v>150</v>
      </c>
      <c r="K866" s="7">
        <v>45840</v>
      </c>
      <c r="L866" s="5"/>
      <c r="P866" s="23"/>
    </row>
    <row r="867" spans="1:16" ht="14.4" customHeight="1" x14ac:dyDescent="0.3">
      <c r="A867" s="5">
        <v>875</v>
      </c>
      <c r="B867" s="5" t="s">
        <v>1857</v>
      </c>
      <c r="C867" s="5" t="s">
        <v>1890</v>
      </c>
      <c r="D867" s="5" t="s">
        <v>1891</v>
      </c>
      <c r="E867" s="5" t="s">
        <v>226</v>
      </c>
      <c r="F867" s="5">
        <v>57699904</v>
      </c>
      <c r="G867" s="5" t="s">
        <v>16</v>
      </c>
      <c r="H867" s="7">
        <v>45837</v>
      </c>
      <c r="I867" s="7">
        <v>45838</v>
      </c>
      <c r="J867" s="8">
        <v>150</v>
      </c>
      <c r="K867" s="7">
        <v>45840</v>
      </c>
      <c r="L867" s="5"/>
      <c r="P867" s="23"/>
    </row>
    <row r="868" spans="1:16" ht="14.4" customHeight="1" x14ac:dyDescent="0.3">
      <c r="A868" s="5">
        <v>876</v>
      </c>
      <c r="B868" s="5" t="s">
        <v>1893</v>
      </c>
      <c r="C868" s="5" t="s">
        <v>1894</v>
      </c>
      <c r="D868" s="5" t="s">
        <v>1895</v>
      </c>
      <c r="E868" s="5" t="s">
        <v>77</v>
      </c>
      <c r="F868" s="5">
        <v>58273290</v>
      </c>
      <c r="G868" s="5" t="s">
        <v>963</v>
      </c>
      <c r="H868" s="7">
        <v>45838</v>
      </c>
      <c r="I868" s="7">
        <v>45838</v>
      </c>
      <c r="J868" s="16">
        <v>150</v>
      </c>
      <c r="K868" s="7">
        <v>45840</v>
      </c>
      <c r="L868" s="5"/>
      <c r="P868" s="23"/>
    </row>
    <row r="869" spans="1:16" ht="14.4" customHeight="1" x14ac:dyDescent="0.3">
      <c r="A869" s="5">
        <v>877</v>
      </c>
      <c r="B869" s="5" t="s">
        <v>1900</v>
      </c>
      <c r="C869" s="5" t="s">
        <v>1901</v>
      </c>
      <c r="D869" s="5" t="s">
        <v>41</v>
      </c>
      <c r="E869" s="5" t="s">
        <v>23</v>
      </c>
      <c r="F869" s="5">
        <v>57988906</v>
      </c>
      <c r="G869" s="5" t="s">
        <v>16</v>
      </c>
      <c r="H869" s="7">
        <v>45837</v>
      </c>
      <c r="I869" s="7">
        <v>45838</v>
      </c>
      <c r="J869" s="8">
        <v>150</v>
      </c>
      <c r="K869" s="7">
        <v>45840</v>
      </c>
      <c r="L869" s="5"/>
      <c r="P869" s="23"/>
    </row>
    <row r="870" spans="1:16" ht="14.4" customHeight="1" x14ac:dyDescent="0.3">
      <c r="A870" s="5">
        <v>878</v>
      </c>
      <c r="B870" s="5" t="s">
        <v>96</v>
      </c>
      <c r="C870" s="5" t="s">
        <v>1915</v>
      </c>
      <c r="D870" s="5" t="s">
        <v>137</v>
      </c>
      <c r="E870" s="5" t="s">
        <v>98</v>
      </c>
      <c r="F870" s="5">
        <v>58398955</v>
      </c>
      <c r="G870" s="5" t="s">
        <v>16</v>
      </c>
      <c r="H870" s="7">
        <v>45837</v>
      </c>
      <c r="I870" s="7">
        <v>45838</v>
      </c>
      <c r="J870" s="8">
        <v>150</v>
      </c>
      <c r="K870" s="7">
        <v>45840</v>
      </c>
      <c r="L870" s="5"/>
      <c r="P870" s="23"/>
    </row>
    <row r="871" spans="1:16" ht="14.4" customHeight="1" x14ac:dyDescent="0.3">
      <c r="A871" s="5">
        <v>879</v>
      </c>
      <c r="B871" s="5" t="s">
        <v>1902</v>
      </c>
      <c r="C871" s="5" t="s">
        <v>1896</v>
      </c>
      <c r="D871" s="5" t="s">
        <v>475</v>
      </c>
      <c r="E871" s="5" t="s">
        <v>187</v>
      </c>
      <c r="F871" s="5">
        <v>52572338</v>
      </c>
      <c r="G871" s="5" t="s">
        <v>16</v>
      </c>
      <c r="H871" s="7">
        <v>45837</v>
      </c>
      <c r="I871" s="7">
        <v>45838</v>
      </c>
      <c r="J871" s="8">
        <v>150</v>
      </c>
      <c r="K871" s="7">
        <v>45840</v>
      </c>
      <c r="L871" s="5"/>
      <c r="P871" s="23"/>
    </row>
    <row r="872" spans="1:16" ht="14.4" customHeight="1" x14ac:dyDescent="0.3">
      <c r="A872" s="5">
        <v>880</v>
      </c>
      <c r="B872" s="5" t="s">
        <v>1903</v>
      </c>
      <c r="C872" s="5" t="s">
        <v>1897</v>
      </c>
      <c r="D872" s="5" t="s">
        <v>137</v>
      </c>
      <c r="E872" s="5" t="s">
        <v>923</v>
      </c>
      <c r="F872" s="5" t="s">
        <v>1904</v>
      </c>
      <c r="G872" s="5" t="s">
        <v>16</v>
      </c>
      <c r="H872" s="7">
        <v>45837</v>
      </c>
      <c r="I872" s="7">
        <v>45838</v>
      </c>
      <c r="J872" s="8">
        <v>150</v>
      </c>
      <c r="K872" s="7">
        <v>45840</v>
      </c>
      <c r="L872" s="5"/>
      <c r="P872" s="23"/>
    </row>
    <row r="873" spans="1:16" ht="14.4" customHeight="1" x14ac:dyDescent="0.3">
      <c r="A873" s="5">
        <v>881</v>
      </c>
      <c r="B873" s="5" t="s">
        <v>1905</v>
      </c>
      <c r="C873" s="5" t="s">
        <v>1898</v>
      </c>
      <c r="D873" s="5" t="s">
        <v>137</v>
      </c>
      <c r="E873" s="5" t="s">
        <v>1279</v>
      </c>
      <c r="F873" s="5">
        <v>57776671</v>
      </c>
      <c r="G873" s="5" t="s">
        <v>16</v>
      </c>
      <c r="H873" s="7">
        <v>45837</v>
      </c>
      <c r="I873" s="7">
        <v>45838</v>
      </c>
      <c r="J873" s="8">
        <v>150</v>
      </c>
      <c r="K873" s="7">
        <v>45840</v>
      </c>
      <c r="L873" s="5"/>
      <c r="P873" s="23"/>
    </row>
    <row r="874" spans="1:16" ht="14.4" customHeight="1" x14ac:dyDescent="0.3">
      <c r="A874" s="5">
        <v>882</v>
      </c>
      <c r="B874" s="5" t="s">
        <v>1906</v>
      </c>
      <c r="C874" s="5" t="s">
        <v>1907</v>
      </c>
      <c r="D874" s="5" t="s">
        <v>84</v>
      </c>
      <c r="E874" s="5" t="s">
        <v>117</v>
      </c>
      <c r="F874" s="5">
        <v>59384619</v>
      </c>
      <c r="G874" s="5" t="s">
        <v>16</v>
      </c>
      <c r="H874" s="7">
        <v>45837</v>
      </c>
      <c r="I874" s="7">
        <v>45838</v>
      </c>
      <c r="J874" s="8">
        <v>150</v>
      </c>
      <c r="K874" s="7">
        <v>45840</v>
      </c>
      <c r="L874" s="5"/>
      <c r="P874" s="23"/>
    </row>
    <row r="875" spans="1:16" ht="14.4" customHeight="1" x14ac:dyDescent="0.3">
      <c r="A875" s="5">
        <v>883</v>
      </c>
      <c r="B875" s="5" t="s">
        <v>1908</v>
      </c>
      <c r="C875" s="5" t="s">
        <v>1899</v>
      </c>
      <c r="D875" s="5" t="s">
        <v>68</v>
      </c>
      <c r="E875" s="5" t="s">
        <v>101</v>
      </c>
      <c r="F875" s="5">
        <v>57610640</v>
      </c>
      <c r="G875" s="5" t="s">
        <v>16</v>
      </c>
      <c r="H875" s="7">
        <v>45837</v>
      </c>
      <c r="I875" s="7">
        <v>45838</v>
      </c>
      <c r="J875" s="8">
        <v>150</v>
      </c>
      <c r="K875" s="7">
        <v>45840</v>
      </c>
      <c r="L875" s="5"/>
      <c r="P875" s="23"/>
    </row>
    <row r="876" spans="1:16" ht="14.4" customHeight="1" x14ac:dyDescent="0.3">
      <c r="A876" s="5">
        <v>884</v>
      </c>
      <c r="B876" s="5" t="s">
        <v>1909</v>
      </c>
      <c r="C876" s="5" t="s">
        <v>1910</v>
      </c>
      <c r="D876" s="5" t="s">
        <v>84</v>
      </c>
      <c r="E876" s="5" t="s">
        <v>84</v>
      </c>
      <c r="F876" s="5">
        <v>54729559</v>
      </c>
      <c r="G876" s="5" t="s">
        <v>16</v>
      </c>
      <c r="H876" s="7">
        <v>45837</v>
      </c>
      <c r="I876" s="7">
        <v>45838</v>
      </c>
      <c r="J876" s="8">
        <v>150</v>
      </c>
      <c r="K876" s="7">
        <v>45840</v>
      </c>
      <c r="L876" s="5"/>
      <c r="P876" s="23"/>
    </row>
    <row r="877" spans="1:16" ht="14.4" customHeight="1" x14ac:dyDescent="0.3">
      <c r="A877" s="5">
        <v>885</v>
      </c>
      <c r="B877" s="5" t="s">
        <v>1452</v>
      </c>
      <c r="C877" s="5" t="s">
        <v>1911</v>
      </c>
      <c r="D877" s="5" t="s">
        <v>137</v>
      </c>
      <c r="E877" s="5" t="s">
        <v>223</v>
      </c>
      <c r="F877" s="5">
        <v>57659764</v>
      </c>
      <c r="G877" s="5" t="s">
        <v>16</v>
      </c>
      <c r="H877" s="7">
        <v>45837</v>
      </c>
      <c r="I877" s="7">
        <v>45838</v>
      </c>
      <c r="J877" s="8">
        <v>150</v>
      </c>
      <c r="K877" s="7">
        <v>45840</v>
      </c>
      <c r="L877" s="5"/>
      <c r="P877" s="23"/>
    </row>
    <row r="878" spans="1:16" ht="14.4" customHeight="1" x14ac:dyDescent="0.3">
      <c r="A878" s="5">
        <v>886</v>
      </c>
      <c r="B878" s="5" t="s">
        <v>1201</v>
      </c>
      <c r="C878" s="5" t="s">
        <v>1912</v>
      </c>
      <c r="D878" s="5" t="s">
        <v>41</v>
      </c>
      <c r="E878" s="5" t="s">
        <v>743</v>
      </c>
      <c r="F878" s="5">
        <v>58101472</v>
      </c>
      <c r="G878" s="5" t="s">
        <v>16</v>
      </c>
      <c r="H878" s="7">
        <v>45837</v>
      </c>
      <c r="I878" s="7">
        <v>45838</v>
      </c>
      <c r="J878" s="8">
        <v>150</v>
      </c>
      <c r="K878" s="7">
        <v>45840</v>
      </c>
      <c r="L878" s="5"/>
      <c r="P878" s="23"/>
    </row>
    <row r="879" spans="1:16" ht="14.4" customHeight="1" x14ac:dyDescent="0.3">
      <c r="A879" s="5">
        <v>887</v>
      </c>
      <c r="B879" s="5" t="s">
        <v>294</v>
      </c>
      <c r="C879" s="5" t="s">
        <v>1913</v>
      </c>
      <c r="D879" s="5" t="s">
        <v>68</v>
      </c>
      <c r="E879" s="5" t="s">
        <v>69</v>
      </c>
      <c r="F879" s="5">
        <v>57986302</v>
      </c>
      <c r="G879" s="5" t="s">
        <v>16</v>
      </c>
      <c r="H879" s="7">
        <v>45837</v>
      </c>
      <c r="I879" s="7">
        <v>45838</v>
      </c>
      <c r="J879" s="8">
        <v>150</v>
      </c>
      <c r="K879" s="7">
        <v>45840</v>
      </c>
      <c r="L879" s="5"/>
      <c r="P879" s="23"/>
    </row>
    <row r="880" spans="1:16" ht="14.4" customHeight="1" x14ac:dyDescent="0.3">
      <c r="A880" s="5">
        <v>888</v>
      </c>
      <c r="B880" s="5" t="s">
        <v>1748</v>
      </c>
      <c r="C880" s="5" t="s">
        <v>1914</v>
      </c>
      <c r="D880" s="5" t="s">
        <v>601</v>
      </c>
      <c r="E880" s="5" t="s">
        <v>259</v>
      </c>
      <c r="F880" s="5">
        <v>59273443</v>
      </c>
      <c r="G880" s="5" t="s">
        <v>16</v>
      </c>
      <c r="H880" s="7">
        <v>45837</v>
      </c>
      <c r="I880" s="7">
        <v>45838</v>
      </c>
      <c r="J880" s="8">
        <v>150</v>
      </c>
      <c r="K880" s="7">
        <v>45840</v>
      </c>
      <c r="L880" s="5"/>
      <c r="P880" s="23"/>
    </row>
    <row r="881" spans="1:17" ht="14.4" customHeight="1" x14ac:dyDescent="0.3">
      <c r="A881" s="5">
        <v>889</v>
      </c>
      <c r="B881" s="5" t="s">
        <v>1919</v>
      </c>
      <c r="C881" s="5" t="s">
        <v>1920</v>
      </c>
      <c r="D881" s="5" t="s">
        <v>706</v>
      </c>
      <c r="E881" s="5" t="s">
        <v>1170</v>
      </c>
      <c r="F881" s="5">
        <v>57363679</v>
      </c>
      <c r="G881" s="5" t="s">
        <v>1024</v>
      </c>
      <c r="H881" s="7">
        <v>45838</v>
      </c>
      <c r="I881" s="7">
        <v>45838</v>
      </c>
      <c r="J881" s="8">
        <v>150</v>
      </c>
      <c r="K881" s="7">
        <v>45840</v>
      </c>
      <c r="L881" s="5" t="s">
        <v>1921</v>
      </c>
      <c r="P881" s="23"/>
    </row>
    <row r="882" spans="1:17" ht="14.4" customHeight="1" x14ac:dyDescent="0.3">
      <c r="A882" s="5">
        <v>851</v>
      </c>
      <c r="B882" s="5" t="s">
        <v>1837</v>
      </c>
      <c r="C882" s="5" t="s">
        <v>1868</v>
      </c>
      <c r="D882" s="5" t="s">
        <v>426</v>
      </c>
      <c r="E882" s="5" t="s">
        <v>1091</v>
      </c>
      <c r="F882" s="5">
        <v>59307910</v>
      </c>
      <c r="G882" s="5" t="s">
        <v>16</v>
      </c>
      <c r="H882" s="7">
        <v>45837</v>
      </c>
      <c r="I882" s="7">
        <v>45840</v>
      </c>
      <c r="J882" s="8">
        <v>150</v>
      </c>
      <c r="K882" s="7">
        <v>45840</v>
      </c>
      <c r="L882" s="5"/>
      <c r="P882" s="23"/>
    </row>
    <row r="883" spans="1:17" ht="14.4" customHeight="1" x14ac:dyDescent="0.3">
      <c r="A883" s="5">
        <v>863</v>
      </c>
      <c r="B883" s="5" t="s">
        <v>1848</v>
      </c>
      <c r="C883" s="5" t="s">
        <v>1878</v>
      </c>
      <c r="D883" s="5" t="s">
        <v>137</v>
      </c>
      <c r="E883" s="5" t="s">
        <v>874</v>
      </c>
      <c r="F883" s="5">
        <v>57733258</v>
      </c>
      <c r="G883" s="5" t="s">
        <v>16</v>
      </c>
      <c r="H883" s="7">
        <v>45837</v>
      </c>
      <c r="I883" s="7">
        <v>45841</v>
      </c>
      <c r="J883" s="8">
        <v>150</v>
      </c>
      <c r="K883" s="7">
        <v>45870</v>
      </c>
      <c r="L883" s="5"/>
      <c r="P883" s="23"/>
    </row>
    <row r="884" spans="1:17" ht="14.4" customHeight="1" x14ac:dyDescent="0.3">
      <c r="A884" s="5">
        <v>890</v>
      </c>
      <c r="B884" s="5" t="s">
        <v>1923</v>
      </c>
      <c r="C884" s="5" t="s">
        <v>1924</v>
      </c>
      <c r="D884" s="5" t="s">
        <v>84</v>
      </c>
      <c r="E884" s="5" t="s">
        <v>84</v>
      </c>
      <c r="F884" s="5">
        <v>58057829</v>
      </c>
      <c r="G884" s="5" t="s">
        <v>1016</v>
      </c>
      <c r="H884" s="7">
        <v>45841</v>
      </c>
      <c r="I884" s="7">
        <v>45841</v>
      </c>
      <c r="J884" s="8">
        <v>150</v>
      </c>
      <c r="K884" s="7">
        <v>45870</v>
      </c>
      <c r="L884" s="5" t="s">
        <v>1933</v>
      </c>
      <c r="P884" s="23"/>
    </row>
    <row r="885" spans="1:17" ht="14.4" customHeight="1" x14ac:dyDescent="0.3">
      <c r="A885" s="5">
        <v>891</v>
      </c>
      <c r="B885" s="5" t="s">
        <v>1925</v>
      </c>
      <c r="C885" s="5" t="s">
        <v>1926</v>
      </c>
      <c r="D885" s="5" t="s">
        <v>84</v>
      </c>
      <c r="E885" s="5" t="s">
        <v>84</v>
      </c>
      <c r="F885" s="5">
        <v>54948815</v>
      </c>
      <c r="G885" s="5" t="s">
        <v>1016</v>
      </c>
      <c r="H885" s="7">
        <v>45841</v>
      </c>
      <c r="I885" s="7">
        <v>45841</v>
      </c>
      <c r="J885" s="8">
        <v>150</v>
      </c>
      <c r="K885" s="7">
        <v>45870</v>
      </c>
      <c r="L885" s="5" t="s">
        <v>1934</v>
      </c>
      <c r="P885" s="23"/>
    </row>
    <row r="886" spans="1:17" ht="14.4" customHeight="1" x14ac:dyDescent="0.3">
      <c r="A886" s="5">
        <v>892</v>
      </c>
      <c r="B886" s="5" t="s">
        <v>1927</v>
      </c>
      <c r="C886" s="5" t="s">
        <v>1928</v>
      </c>
      <c r="D886" s="5" t="s">
        <v>23</v>
      </c>
      <c r="E886" s="5" t="s">
        <v>23</v>
      </c>
      <c r="F886" s="5">
        <v>57634389</v>
      </c>
      <c r="G886" s="5" t="s">
        <v>1016</v>
      </c>
      <c r="H886" s="7">
        <v>45841</v>
      </c>
      <c r="I886" s="7">
        <v>45841</v>
      </c>
      <c r="J886" s="8">
        <v>150</v>
      </c>
      <c r="K886" s="7">
        <v>45870</v>
      </c>
      <c r="L886" s="5" t="s">
        <v>1935</v>
      </c>
      <c r="P886" s="23"/>
    </row>
    <row r="887" spans="1:17" ht="14.4" customHeight="1" x14ac:dyDescent="0.3">
      <c r="A887" s="5">
        <v>893</v>
      </c>
      <c r="B887" s="5" t="s">
        <v>1929</v>
      </c>
      <c r="C887" s="5" t="s">
        <v>1684</v>
      </c>
      <c r="D887" s="5" t="s">
        <v>1684</v>
      </c>
      <c r="E887" s="5" t="s">
        <v>1684</v>
      </c>
      <c r="F887" s="5">
        <v>58021345</v>
      </c>
      <c r="G887" s="5" t="s">
        <v>1016</v>
      </c>
      <c r="H887" s="7">
        <v>45841</v>
      </c>
      <c r="I887" s="7">
        <v>45841</v>
      </c>
      <c r="J887" s="8">
        <v>150</v>
      </c>
      <c r="K887" s="7">
        <v>45870</v>
      </c>
      <c r="L887" s="5" t="s">
        <v>1936</v>
      </c>
      <c r="P887" s="23"/>
    </row>
    <row r="888" spans="1:17" ht="14.4" customHeight="1" x14ac:dyDescent="0.3">
      <c r="A888" s="5">
        <v>894</v>
      </c>
      <c r="B888" s="5" t="s">
        <v>1931</v>
      </c>
      <c r="C888" s="5" t="s">
        <v>2065</v>
      </c>
      <c r="D888" s="5" t="s">
        <v>144</v>
      </c>
      <c r="E888" s="5" t="s">
        <v>144</v>
      </c>
      <c r="F888" s="5">
        <v>59026291</v>
      </c>
      <c r="G888" s="5" t="s">
        <v>1146</v>
      </c>
      <c r="H888" s="7">
        <v>45841</v>
      </c>
      <c r="I888" s="7">
        <v>45841</v>
      </c>
      <c r="J888" s="8">
        <v>150</v>
      </c>
      <c r="K888" s="7">
        <v>45870</v>
      </c>
      <c r="L888" s="5"/>
      <c r="P888" s="23"/>
    </row>
    <row r="889" spans="1:17" ht="14.4" customHeight="1" x14ac:dyDescent="0.3">
      <c r="A889" s="5">
        <v>895</v>
      </c>
      <c r="B889" s="5" t="s">
        <v>1961</v>
      </c>
      <c r="C889" s="5" t="s">
        <v>2031</v>
      </c>
      <c r="D889" s="5" t="s">
        <v>31</v>
      </c>
      <c r="E889" s="5" t="s">
        <v>31</v>
      </c>
      <c r="F889" s="5">
        <v>59029211</v>
      </c>
      <c r="G889" s="5" t="s">
        <v>1024</v>
      </c>
      <c r="H889" s="7">
        <v>45840</v>
      </c>
      <c r="I889" s="7">
        <v>45841</v>
      </c>
      <c r="J889" s="8">
        <v>150</v>
      </c>
      <c r="K889" s="7">
        <v>45870</v>
      </c>
      <c r="L889" s="5"/>
      <c r="P889" s="23"/>
    </row>
    <row r="890" spans="1:17" ht="14.4" customHeight="1" x14ac:dyDescent="0.3">
      <c r="A890" s="5">
        <v>896</v>
      </c>
      <c r="B890" s="5" t="s">
        <v>1962</v>
      </c>
      <c r="C890" s="5" t="s">
        <v>2063</v>
      </c>
      <c r="D890" s="5" t="s">
        <v>2064</v>
      </c>
      <c r="E890" s="5" t="s">
        <v>226</v>
      </c>
      <c r="F890" s="5">
        <v>59461712</v>
      </c>
      <c r="G890" s="5" t="s">
        <v>1024</v>
      </c>
      <c r="H890" s="7">
        <v>45840</v>
      </c>
      <c r="I890" s="7">
        <v>45841</v>
      </c>
      <c r="J890" s="8">
        <v>150</v>
      </c>
      <c r="K890" s="7">
        <v>45870</v>
      </c>
      <c r="L890" s="5"/>
      <c r="P890" s="23"/>
    </row>
    <row r="891" spans="1:17" ht="14.4" customHeight="1" x14ac:dyDescent="0.3">
      <c r="A891" s="5">
        <v>897</v>
      </c>
      <c r="B891" s="5" t="s">
        <v>1963</v>
      </c>
      <c r="C891" s="5" t="s">
        <v>1964</v>
      </c>
      <c r="D891" s="5" t="s">
        <v>63</v>
      </c>
      <c r="E891" s="5" t="s">
        <v>447</v>
      </c>
      <c r="F891" s="5">
        <v>57339628</v>
      </c>
      <c r="G891" s="5" t="s">
        <v>1024</v>
      </c>
      <c r="H891" s="7">
        <v>45840</v>
      </c>
      <c r="I891" s="7">
        <v>45841</v>
      </c>
      <c r="J891" s="8">
        <v>150</v>
      </c>
      <c r="K891" s="7">
        <v>45870</v>
      </c>
      <c r="L891" s="5"/>
      <c r="P891" s="23"/>
      <c r="Q891" s="23"/>
    </row>
    <row r="892" spans="1:17" ht="14.4" customHeight="1" x14ac:dyDescent="0.3">
      <c r="A892" s="5">
        <v>898</v>
      </c>
      <c r="B892" s="5" t="s">
        <v>1030</v>
      </c>
      <c r="C892" s="5" t="s">
        <v>1031</v>
      </c>
      <c r="D892" s="5" t="s">
        <v>69</v>
      </c>
      <c r="E892" s="5" t="s">
        <v>69</v>
      </c>
      <c r="F892" s="5">
        <v>57852775</v>
      </c>
      <c r="G892" s="5" t="s">
        <v>1024</v>
      </c>
      <c r="H892" s="7">
        <v>45840</v>
      </c>
      <c r="I892" s="7">
        <v>45841</v>
      </c>
      <c r="J892" s="8">
        <v>150</v>
      </c>
      <c r="K892" s="7">
        <v>45870</v>
      </c>
      <c r="L892" s="5"/>
      <c r="P892" s="23"/>
      <c r="Q892" s="23"/>
    </row>
    <row r="893" spans="1:17" ht="14.4" customHeight="1" x14ac:dyDescent="0.3">
      <c r="A893" s="5">
        <v>899</v>
      </c>
      <c r="B893" s="5" t="s">
        <v>1965</v>
      </c>
      <c r="C893" s="5" t="s">
        <v>1966</v>
      </c>
      <c r="D893" s="5" t="s">
        <v>1993</v>
      </c>
      <c r="E893" s="5" t="s">
        <v>1993</v>
      </c>
      <c r="F893" s="5">
        <v>57803800</v>
      </c>
      <c r="G893" s="5" t="s">
        <v>16</v>
      </c>
      <c r="H893" s="7">
        <v>45840</v>
      </c>
      <c r="I893" s="7">
        <v>45841</v>
      </c>
      <c r="J893" s="8">
        <v>150</v>
      </c>
      <c r="K893" s="7">
        <v>45870</v>
      </c>
      <c r="L893" s="5"/>
      <c r="P893" s="23"/>
      <c r="Q893" s="23"/>
    </row>
    <row r="894" spans="1:17" ht="14.4" customHeight="1" x14ac:dyDescent="0.3">
      <c r="A894" s="5">
        <v>900</v>
      </c>
      <c r="B894" s="5" t="s">
        <v>1994</v>
      </c>
      <c r="C894" s="5" t="s">
        <v>1967</v>
      </c>
      <c r="D894" s="5" t="s">
        <v>137</v>
      </c>
      <c r="E894" s="5" t="s">
        <v>137</v>
      </c>
      <c r="F894" s="5">
        <v>59123524</v>
      </c>
      <c r="G894" s="5" t="s">
        <v>16</v>
      </c>
      <c r="H894" s="7">
        <v>45840</v>
      </c>
      <c r="I894" s="7">
        <v>45841</v>
      </c>
      <c r="J894" s="8">
        <v>150</v>
      </c>
      <c r="K894" s="7">
        <v>45870</v>
      </c>
      <c r="L894" s="5"/>
      <c r="P894" s="23"/>
      <c r="Q894" s="23"/>
    </row>
    <row r="895" spans="1:17" ht="14.4" customHeight="1" x14ac:dyDescent="0.3">
      <c r="A895" s="5">
        <v>901</v>
      </c>
      <c r="B895" s="5" t="s">
        <v>1755</v>
      </c>
      <c r="C895" s="5" t="s">
        <v>1968</v>
      </c>
      <c r="D895" s="5" t="s">
        <v>1757</v>
      </c>
      <c r="E895" s="5" t="s">
        <v>1757</v>
      </c>
      <c r="F895" s="5">
        <v>57057018</v>
      </c>
      <c r="G895" s="5" t="s">
        <v>16</v>
      </c>
      <c r="H895" s="7">
        <v>45840</v>
      </c>
      <c r="I895" s="7">
        <v>45841</v>
      </c>
      <c r="J895" s="8">
        <v>150</v>
      </c>
      <c r="K895" s="7">
        <v>45870</v>
      </c>
      <c r="L895" s="5"/>
      <c r="P895" s="23"/>
      <c r="Q895" s="23"/>
    </row>
    <row r="896" spans="1:17" ht="14.4" customHeight="1" x14ac:dyDescent="0.3">
      <c r="A896" s="5">
        <v>902</v>
      </c>
      <c r="B896" s="5" t="s">
        <v>1969</v>
      </c>
      <c r="C896" s="5" t="s">
        <v>1970</v>
      </c>
      <c r="D896" s="5" t="s">
        <v>155</v>
      </c>
      <c r="E896" s="5" t="s">
        <v>155</v>
      </c>
      <c r="F896" s="5">
        <v>58396220</v>
      </c>
      <c r="G896" s="5" t="s">
        <v>16</v>
      </c>
      <c r="H896" s="7">
        <v>45840</v>
      </c>
      <c r="I896" s="7">
        <v>45841</v>
      </c>
      <c r="J896" s="8">
        <v>150</v>
      </c>
      <c r="K896" s="7">
        <v>45870</v>
      </c>
      <c r="L896" s="5"/>
      <c r="P896" s="23"/>
      <c r="Q896" s="23"/>
    </row>
    <row r="897" spans="1:17" ht="14.4" customHeight="1" x14ac:dyDescent="0.3">
      <c r="A897" s="5">
        <v>903</v>
      </c>
      <c r="B897" s="5" t="s">
        <v>1971</v>
      </c>
      <c r="C897" s="5" t="s">
        <v>1972</v>
      </c>
      <c r="D897" s="5" t="s">
        <v>1995</v>
      </c>
      <c r="E897" s="5" t="s">
        <v>223</v>
      </c>
      <c r="F897" s="5">
        <v>57403689</v>
      </c>
      <c r="G897" s="5" t="s">
        <v>16</v>
      </c>
      <c r="H897" s="7">
        <v>45840</v>
      </c>
      <c r="I897" s="7">
        <v>45841</v>
      </c>
      <c r="J897" s="8">
        <v>150</v>
      </c>
      <c r="K897" s="7">
        <v>45870</v>
      </c>
      <c r="L897" s="5"/>
      <c r="P897" s="23"/>
      <c r="Q897" s="23"/>
    </row>
    <row r="898" spans="1:17" ht="14.4" customHeight="1" x14ac:dyDescent="0.3">
      <c r="A898" s="5">
        <v>904</v>
      </c>
      <c r="B898" s="5" t="s">
        <v>1975</v>
      </c>
      <c r="C898" s="5" t="s">
        <v>1976</v>
      </c>
      <c r="D898" s="5" t="s">
        <v>1996</v>
      </c>
      <c r="E898" s="5" t="s">
        <v>1996</v>
      </c>
      <c r="F898" s="5">
        <v>57678095</v>
      </c>
      <c r="G898" s="5" t="s">
        <v>16</v>
      </c>
      <c r="H898" s="7">
        <v>45840</v>
      </c>
      <c r="I898" s="7">
        <v>45841</v>
      </c>
      <c r="J898" s="8">
        <v>150</v>
      </c>
      <c r="K898" s="7">
        <v>45870</v>
      </c>
      <c r="L898" s="5"/>
      <c r="P898" s="23"/>
      <c r="Q898" s="23"/>
    </row>
    <row r="899" spans="1:17" ht="14.4" customHeight="1" x14ac:dyDescent="0.3">
      <c r="A899" s="5">
        <v>905</v>
      </c>
      <c r="B899" s="5" t="s">
        <v>1977</v>
      </c>
      <c r="C899" s="5" t="s">
        <v>598</v>
      </c>
      <c r="D899" s="5" t="s">
        <v>1997</v>
      </c>
      <c r="E899" s="5" t="s">
        <v>49</v>
      </c>
      <c r="F899" s="5">
        <v>59335265</v>
      </c>
      <c r="G899" s="5" t="s">
        <v>16</v>
      </c>
      <c r="H899" s="7">
        <v>45840</v>
      </c>
      <c r="I899" s="7">
        <v>45841</v>
      </c>
      <c r="J899" s="8">
        <v>150</v>
      </c>
      <c r="K899" s="7">
        <v>45870</v>
      </c>
      <c r="L899" s="5"/>
      <c r="P899" s="23"/>
      <c r="Q899" s="23"/>
    </row>
    <row r="900" spans="1:17" ht="14.4" customHeight="1" x14ac:dyDescent="0.3">
      <c r="A900" s="5">
        <v>906</v>
      </c>
      <c r="B900" s="5" t="s">
        <v>1979</v>
      </c>
      <c r="C900" s="5" t="s">
        <v>1980</v>
      </c>
      <c r="D900" s="5" t="s">
        <v>314</v>
      </c>
      <c r="E900" s="5" t="s">
        <v>314</v>
      </c>
      <c r="F900" s="5">
        <v>58315151</v>
      </c>
      <c r="G900" s="5" t="s">
        <v>16</v>
      </c>
      <c r="H900" s="7">
        <v>45840</v>
      </c>
      <c r="I900" s="7">
        <v>45841</v>
      </c>
      <c r="J900" s="8">
        <v>150</v>
      </c>
      <c r="K900" s="7">
        <v>45870</v>
      </c>
      <c r="L900" s="5"/>
      <c r="P900" s="23"/>
      <c r="Q900" s="23"/>
    </row>
    <row r="901" spans="1:17" ht="14.4" customHeight="1" x14ac:dyDescent="0.3">
      <c r="A901" s="5">
        <v>907</v>
      </c>
      <c r="B901" s="5" t="s">
        <v>1982</v>
      </c>
      <c r="C901" s="5" t="s">
        <v>1983</v>
      </c>
      <c r="D901" s="5" t="s">
        <v>475</v>
      </c>
      <c r="E901" s="5" t="s">
        <v>204</v>
      </c>
      <c r="F901" s="5">
        <v>57976562</v>
      </c>
      <c r="G901" s="5" t="s">
        <v>16</v>
      </c>
      <c r="H901" s="7">
        <v>45840</v>
      </c>
      <c r="I901" s="7">
        <v>45841</v>
      </c>
      <c r="J901" s="8">
        <v>150</v>
      </c>
      <c r="K901" s="7">
        <v>45870</v>
      </c>
      <c r="L901" s="5"/>
      <c r="P901" s="23"/>
      <c r="Q901" s="23"/>
    </row>
    <row r="902" spans="1:17" ht="14.4" customHeight="1" x14ac:dyDescent="0.3">
      <c r="A902" s="5">
        <v>908</v>
      </c>
      <c r="B902" s="5" t="s">
        <v>1984</v>
      </c>
      <c r="C902" s="5" t="s">
        <v>2033</v>
      </c>
      <c r="D902" s="5" t="s">
        <v>1999</v>
      </c>
      <c r="E902" s="5" t="s">
        <v>1999</v>
      </c>
      <c r="F902" s="5">
        <v>57993517</v>
      </c>
      <c r="G902" s="5" t="s">
        <v>16</v>
      </c>
      <c r="H902" s="7">
        <v>45840</v>
      </c>
      <c r="I902" s="7">
        <v>45841</v>
      </c>
      <c r="J902" s="8">
        <v>150</v>
      </c>
      <c r="K902" s="7">
        <v>45870</v>
      </c>
      <c r="L902" s="5"/>
      <c r="P902" s="23"/>
      <c r="Q902" s="23"/>
    </row>
    <row r="903" spans="1:17" ht="14.4" customHeight="1" x14ac:dyDescent="0.3">
      <c r="A903" s="5">
        <v>909</v>
      </c>
      <c r="B903" s="5" t="s">
        <v>1987</v>
      </c>
      <c r="C903" s="5" t="s">
        <v>1988</v>
      </c>
      <c r="D903" s="5" t="s">
        <v>2000</v>
      </c>
      <c r="E903" s="5" t="s">
        <v>49</v>
      </c>
      <c r="F903" s="5">
        <v>57159052</v>
      </c>
      <c r="G903" s="5" t="s">
        <v>16</v>
      </c>
      <c r="H903" s="7">
        <v>45840</v>
      </c>
      <c r="I903" s="7">
        <v>45841</v>
      </c>
      <c r="J903" s="8">
        <v>150</v>
      </c>
      <c r="K903" s="7">
        <v>45870</v>
      </c>
      <c r="L903" s="5"/>
      <c r="P903" s="23"/>
      <c r="Q903" s="23"/>
    </row>
    <row r="904" spans="1:17" ht="14.4" customHeight="1" x14ac:dyDescent="0.3">
      <c r="A904" s="5">
        <v>910</v>
      </c>
      <c r="B904" s="5" t="s">
        <v>1989</v>
      </c>
      <c r="C904" s="5" t="s">
        <v>1990</v>
      </c>
      <c r="D904" s="5" t="s">
        <v>69</v>
      </c>
      <c r="E904" s="5" t="s">
        <v>1719</v>
      </c>
      <c r="F904" s="5">
        <v>57958088</v>
      </c>
      <c r="G904" s="5" t="s">
        <v>16</v>
      </c>
      <c r="H904" s="7">
        <v>45840</v>
      </c>
      <c r="I904" s="7">
        <v>45841</v>
      </c>
      <c r="J904" s="8">
        <v>150</v>
      </c>
      <c r="K904" s="7">
        <v>45870</v>
      </c>
      <c r="L904" s="5"/>
      <c r="P904" s="23"/>
      <c r="Q904" s="23"/>
    </row>
    <row r="905" spans="1:17" ht="14.4" customHeight="1" x14ac:dyDescent="0.3">
      <c r="A905" s="5">
        <v>911</v>
      </c>
      <c r="B905" s="5" t="s">
        <v>1991</v>
      </c>
      <c r="C905" s="5" t="s">
        <v>2034</v>
      </c>
      <c r="D905" s="5" t="s">
        <v>41</v>
      </c>
      <c r="E905" s="5" t="s">
        <v>41</v>
      </c>
      <c r="F905" s="5">
        <v>58434397</v>
      </c>
      <c r="G905" s="5" t="s">
        <v>16</v>
      </c>
      <c r="H905" s="7">
        <v>45840</v>
      </c>
      <c r="I905" s="7">
        <v>45841</v>
      </c>
      <c r="J905" s="8">
        <v>150</v>
      </c>
      <c r="K905" s="7">
        <v>45870</v>
      </c>
      <c r="L905" s="5"/>
      <c r="P905" s="23"/>
      <c r="Q905" s="23"/>
    </row>
    <row r="906" spans="1:17" ht="14.4" customHeight="1" x14ac:dyDescent="0.3">
      <c r="A906" s="5">
        <v>912</v>
      </c>
      <c r="B906" s="5" t="s">
        <v>448</v>
      </c>
      <c r="C906" s="5" t="s">
        <v>2036</v>
      </c>
      <c r="D906" s="5" t="s">
        <v>69</v>
      </c>
      <c r="E906" s="5" t="s">
        <v>69</v>
      </c>
      <c r="F906" s="5">
        <v>57850366</v>
      </c>
      <c r="G906" s="5" t="s">
        <v>16</v>
      </c>
      <c r="H906" s="7">
        <v>45840</v>
      </c>
      <c r="I906" s="7">
        <v>45841</v>
      </c>
      <c r="J906" s="8">
        <v>150</v>
      </c>
      <c r="K906" s="7">
        <v>45870</v>
      </c>
      <c r="L906" s="5"/>
      <c r="P906" s="23"/>
      <c r="Q906" s="23"/>
    </row>
    <row r="907" spans="1:17" ht="14.4" customHeight="1" x14ac:dyDescent="0.3">
      <c r="A907" s="5">
        <v>913</v>
      </c>
      <c r="B907" s="5" t="s">
        <v>2001</v>
      </c>
      <c r="C907" s="5" t="s">
        <v>2037</v>
      </c>
      <c r="D907" s="5" t="s">
        <v>305</v>
      </c>
      <c r="E907" s="5" t="s">
        <v>305</v>
      </c>
      <c r="F907" s="5">
        <v>57968649</v>
      </c>
      <c r="G907" s="5" t="s">
        <v>16</v>
      </c>
      <c r="H907" s="7">
        <v>45840</v>
      </c>
      <c r="I907" s="7">
        <v>45841</v>
      </c>
      <c r="J907" s="8">
        <v>150</v>
      </c>
      <c r="K907" s="7">
        <v>45870</v>
      </c>
      <c r="L907" s="5"/>
      <c r="P907" s="23"/>
      <c r="Q907" s="23"/>
    </row>
    <row r="908" spans="1:17" ht="14.4" customHeight="1" x14ac:dyDescent="0.3">
      <c r="A908" s="5">
        <v>914</v>
      </c>
      <c r="B908" s="5" t="s">
        <v>2002</v>
      </c>
      <c r="C908" s="5" t="s">
        <v>2038</v>
      </c>
      <c r="D908" s="5" t="s">
        <v>2003</v>
      </c>
      <c r="E908" s="5" t="s">
        <v>696</v>
      </c>
      <c r="F908" s="5">
        <v>59842345</v>
      </c>
      <c r="G908" s="5" t="s">
        <v>16</v>
      </c>
      <c r="H908" s="7">
        <v>45840</v>
      </c>
      <c r="I908" s="7">
        <v>45841</v>
      </c>
      <c r="J908" s="8">
        <v>150</v>
      </c>
      <c r="K908" s="7">
        <v>45870</v>
      </c>
      <c r="L908" s="5"/>
      <c r="P908" s="23"/>
      <c r="Q908" s="23"/>
    </row>
    <row r="909" spans="1:17" ht="14.4" customHeight="1" x14ac:dyDescent="0.3">
      <c r="A909" s="5">
        <v>915</v>
      </c>
      <c r="B909" s="5" t="s">
        <v>2004</v>
      </c>
      <c r="C909" s="5" t="s">
        <v>2039</v>
      </c>
      <c r="D909" s="5" t="s">
        <v>1997</v>
      </c>
      <c r="E909" s="5" t="s">
        <v>49</v>
      </c>
      <c r="F909" s="5">
        <v>58281372</v>
      </c>
      <c r="G909" s="5" t="s">
        <v>16</v>
      </c>
      <c r="H909" s="7">
        <v>45840</v>
      </c>
      <c r="I909" s="7">
        <v>45841</v>
      </c>
      <c r="J909" s="8">
        <v>150</v>
      </c>
      <c r="K909" s="7">
        <v>45870</v>
      </c>
      <c r="L909" s="5"/>
      <c r="P909" s="23"/>
      <c r="Q909" s="23"/>
    </row>
    <row r="910" spans="1:17" ht="14.4" customHeight="1" x14ac:dyDescent="0.3">
      <c r="A910" s="5">
        <v>916</v>
      </c>
      <c r="B910" s="5" t="s">
        <v>2005</v>
      </c>
      <c r="C910" s="5" t="s">
        <v>2040</v>
      </c>
      <c r="D910" s="5" t="s">
        <v>1993</v>
      </c>
      <c r="E910" s="5" t="s">
        <v>1993</v>
      </c>
      <c r="F910" s="5">
        <v>58619536</v>
      </c>
      <c r="G910" s="5" t="s">
        <v>16</v>
      </c>
      <c r="H910" s="7">
        <v>45840</v>
      </c>
      <c r="I910" s="7">
        <v>45841</v>
      </c>
      <c r="J910" s="8">
        <v>150</v>
      </c>
      <c r="K910" s="7">
        <v>45870</v>
      </c>
      <c r="L910" s="5"/>
      <c r="P910" s="23"/>
      <c r="Q910" s="23"/>
    </row>
    <row r="911" spans="1:17" ht="14.4" customHeight="1" x14ac:dyDescent="0.3">
      <c r="A911" s="5">
        <v>917</v>
      </c>
      <c r="B911" s="5" t="s">
        <v>829</v>
      </c>
      <c r="C911" s="5" t="s">
        <v>830</v>
      </c>
      <c r="D911" s="5" t="s">
        <v>74</v>
      </c>
      <c r="E911" s="5" t="s">
        <v>74</v>
      </c>
      <c r="F911" s="5">
        <v>57663201</v>
      </c>
      <c r="G911" s="5" t="s">
        <v>16</v>
      </c>
      <c r="H911" s="7">
        <v>45840</v>
      </c>
      <c r="I911" s="7">
        <v>45841</v>
      </c>
      <c r="J911" s="8">
        <v>150</v>
      </c>
      <c r="K911" s="7">
        <v>45870</v>
      </c>
      <c r="L911" s="5"/>
      <c r="P911" s="23"/>
      <c r="Q911" s="23"/>
    </row>
    <row r="912" spans="1:17" ht="14.4" customHeight="1" x14ac:dyDescent="0.3">
      <c r="A912" s="5">
        <v>918</v>
      </c>
      <c r="B912" s="5" t="s">
        <v>2006</v>
      </c>
      <c r="C912" s="5" t="s">
        <v>2041</v>
      </c>
      <c r="D912" s="5" t="s">
        <v>2007</v>
      </c>
      <c r="E912" s="5" t="s">
        <v>60</v>
      </c>
      <c r="F912" s="5">
        <v>57022959</v>
      </c>
      <c r="G912" s="5" t="s">
        <v>16</v>
      </c>
      <c r="H912" s="7">
        <v>45840</v>
      </c>
      <c r="I912" s="7">
        <v>45841</v>
      </c>
      <c r="J912" s="8">
        <v>150</v>
      </c>
      <c r="K912" s="7">
        <v>45870</v>
      </c>
      <c r="L912" s="5"/>
      <c r="P912" s="23"/>
      <c r="Q912" s="23"/>
    </row>
    <row r="913" spans="1:17" ht="14.4" customHeight="1" x14ac:dyDescent="0.3">
      <c r="A913" s="5">
        <v>919</v>
      </c>
      <c r="B913" s="5" t="s">
        <v>2008</v>
      </c>
      <c r="C913" s="5" t="s">
        <v>2042</v>
      </c>
      <c r="D913" s="5" t="s">
        <v>2009</v>
      </c>
      <c r="E913" s="5" t="s">
        <v>1189</v>
      </c>
      <c r="F913" s="5">
        <v>57728772</v>
      </c>
      <c r="G913" s="5" t="s">
        <v>16</v>
      </c>
      <c r="H913" s="7">
        <v>45840</v>
      </c>
      <c r="I913" s="7">
        <v>45841</v>
      </c>
      <c r="J913" s="8">
        <v>150</v>
      </c>
      <c r="K913" s="7">
        <v>45870</v>
      </c>
      <c r="L913" s="5"/>
      <c r="P913" s="23"/>
      <c r="Q913" s="23"/>
    </row>
    <row r="914" spans="1:17" ht="14.4" customHeight="1" x14ac:dyDescent="0.3">
      <c r="A914" s="5">
        <v>920</v>
      </c>
      <c r="B914" s="5" t="s">
        <v>987</v>
      </c>
      <c r="C914" s="5" t="s">
        <v>2043</v>
      </c>
      <c r="D914" s="5" t="s">
        <v>634</v>
      </c>
      <c r="E914" s="5" t="s">
        <v>634</v>
      </c>
      <c r="F914" s="5">
        <v>59283079</v>
      </c>
      <c r="G914" s="5" t="s">
        <v>16</v>
      </c>
      <c r="H914" s="7">
        <v>45840</v>
      </c>
      <c r="I914" s="7">
        <v>45841</v>
      </c>
      <c r="J914" s="8">
        <v>150</v>
      </c>
      <c r="K914" s="7">
        <v>45870</v>
      </c>
      <c r="L914" s="5"/>
      <c r="P914" s="23"/>
      <c r="Q914" s="23"/>
    </row>
    <row r="915" spans="1:17" ht="14.4" customHeight="1" x14ac:dyDescent="0.3">
      <c r="A915" s="5">
        <v>921</v>
      </c>
      <c r="B915" s="5" t="s">
        <v>1748</v>
      </c>
      <c r="C915" s="5" t="s">
        <v>2044</v>
      </c>
      <c r="D915" s="5" t="s">
        <v>684</v>
      </c>
      <c r="E915" s="5" t="s">
        <v>2010</v>
      </c>
      <c r="F915" s="5">
        <v>59273443</v>
      </c>
      <c r="G915" s="5" t="s">
        <v>16</v>
      </c>
      <c r="H915" s="7">
        <v>45840</v>
      </c>
      <c r="I915" s="7">
        <v>45841</v>
      </c>
      <c r="J915" s="8">
        <v>150</v>
      </c>
      <c r="K915" s="7">
        <v>45870</v>
      </c>
      <c r="L915" s="5"/>
      <c r="P915" s="23"/>
      <c r="Q915" s="23"/>
    </row>
    <row r="916" spans="1:17" ht="14.4" customHeight="1" x14ac:dyDescent="0.3">
      <c r="A916" s="5">
        <v>922</v>
      </c>
      <c r="B916" s="5" t="s">
        <v>2011</v>
      </c>
      <c r="C916" s="5" t="s">
        <v>2045</v>
      </c>
      <c r="D916" s="5" t="s">
        <v>137</v>
      </c>
      <c r="E916" s="5" t="s">
        <v>923</v>
      </c>
      <c r="F916" s="5">
        <v>58580571</v>
      </c>
      <c r="G916" s="5" t="s">
        <v>16</v>
      </c>
      <c r="H916" s="7">
        <v>45840</v>
      </c>
      <c r="I916" s="7">
        <v>45841</v>
      </c>
      <c r="J916" s="8">
        <v>150</v>
      </c>
      <c r="K916" s="7">
        <v>45870</v>
      </c>
      <c r="L916" s="5"/>
      <c r="P916" s="23"/>
      <c r="Q916" s="23"/>
    </row>
    <row r="917" spans="1:17" ht="14.4" customHeight="1" x14ac:dyDescent="0.3">
      <c r="A917" s="5">
        <v>923</v>
      </c>
      <c r="B917" s="5" t="s">
        <v>1095</v>
      </c>
      <c r="C917" s="5" t="s">
        <v>2046</v>
      </c>
      <c r="D917" s="5" t="s">
        <v>1040</v>
      </c>
      <c r="E917" s="5" t="s">
        <v>1040</v>
      </c>
      <c r="F917" s="5">
        <v>55029138</v>
      </c>
      <c r="G917" s="5" t="s">
        <v>16</v>
      </c>
      <c r="H917" s="7">
        <v>45840</v>
      </c>
      <c r="I917" s="7">
        <v>45841</v>
      </c>
      <c r="J917" s="8">
        <v>150</v>
      </c>
      <c r="K917" s="7">
        <v>45870</v>
      </c>
      <c r="L917" s="5"/>
      <c r="P917" s="23"/>
      <c r="Q917" s="23"/>
    </row>
    <row r="918" spans="1:17" ht="14.4" customHeight="1" x14ac:dyDescent="0.3">
      <c r="A918" s="5">
        <v>924</v>
      </c>
      <c r="B918" s="5" t="s">
        <v>1447</v>
      </c>
      <c r="C918" s="5" t="s">
        <v>1448</v>
      </c>
      <c r="D918" s="5" t="s">
        <v>2012</v>
      </c>
      <c r="E918" s="5" t="s">
        <v>2012</v>
      </c>
      <c r="F918" s="5">
        <v>58141471</v>
      </c>
      <c r="G918" s="5" t="s">
        <v>16</v>
      </c>
      <c r="H918" s="7">
        <v>45840</v>
      </c>
      <c r="I918" s="7">
        <v>45841</v>
      </c>
      <c r="J918" s="8">
        <v>150</v>
      </c>
      <c r="K918" s="7">
        <v>45870</v>
      </c>
      <c r="L918" s="5"/>
      <c r="P918" s="23"/>
      <c r="Q918" s="23"/>
    </row>
    <row r="919" spans="1:17" ht="14.4" customHeight="1" x14ac:dyDescent="0.3">
      <c r="A919" s="5">
        <v>925</v>
      </c>
      <c r="B919" s="5" t="s">
        <v>701</v>
      </c>
      <c r="C919" s="5" t="s">
        <v>2047</v>
      </c>
      <c r="D919" s="5" t="s">
        <v>49</v>
      </c>
      <c r="E919" s="5" t="s">
        <v>49</v>
      </c>
      <c r="F919" s="5">
        <v>58097960</v>
      </c>
      <c r="G919" s="5" t="s">
        <v>16</v>
      </c>
      <c r="H919" s="7">
        <v>45840</v>
      </c>
      <c r="I919" s="7">
        <v>45841</v>
      </c>
      <c r="J919" s="8">
        <v>150</v>
      </c>
      <c r="K919" s="7">
        <v>45870</v>
      </c>
      <c r="L919" s="5"/>
      <c r="P919" s="23"/>
      <c r="Q919" s="23"/>
    </row>
    <row r="920" spans="1:17" ht="14.4" customHeight="1" x14ac:dyDescent="0.3">
      <c r="A920" s="5">
        <v>926</v>
      </c>
      <c r="B920" s="5" t="s">
        <v>2013</v>
      </c>
      <c r="C920" s="5" t="s">
        <v>2048</v>
      </c>
      <c r="D920" s="5" t="s">
        <v>305</v>
      </c>
      <c r="E920" s="5" t="s">
        <v>305</v>
      </c>
      <c r="F920" s="5">
        <v>59765444</v>
      </c>
      <c r="G920" s="5" t="s">
        <v>16</v>
      </c>
      <c r="H920" s="7">
        <v>45840</v>
      </c>
      <c r="I920" s="7">
        <v>45841</v>
      </c>
      <c r="J920" s="8">
        <v>150</v>
      </c>
      <c r="K920" s="7">
        <v>45870</v>
      </c>
      <c r="L920" s="5"/>
      <c r="P920" s="23"/>
      <c r="Q920" s="23"/>
    </row>
    <row r="921" spans="1:17" ht="14.4" customHeight="1" x14ac:dyDescent="0.3">
      <c r="A921" s="5">
        <v>927</v>
      </c>
      <c r="B921" s="5" t="s">
        <v>2014</v>
      </c>
      <c r="C921" s="5" t="s">
        <v>2049</v>
      </c>
      <c r="D921" s="5" t="s">
        <v>2007</v>
      </c>
      <c r="E921" s="5" t="s">
        <v>60</v>
      </c>
      <c r="F921" s="5">
        <v>58121192</v>
      </c>
      <c r="G921" s="5" t="s">
        <v>16</v>
      </c>
      <c r="H921" s="7">
        <v>45840</v>
      </c>
      <c r="I921" s="7">
        <v>45841</v>
      </c>
      <c r="J921" s="8">
        <v>150</v>
      </c>
      <c r="K921" s="7">
        <v>45870</v>
      </c>
      <c r="L921" s="5"/>
      <c r="P921" s="23"/>
      <c r="Q921" s="23"/>
    </row>
    <row r="922" spans="1:17" ht="14.4" customHeight="1" x14ac:dyDescent="0.3">
      <c r="A922" s="5">
        <v>928</v>
      </c>
      <c r="B922" s="5" t="s">
        <v>2015</v>
      </c>
      <c r="C922" s="5" t="s">
        <v>2050</v>
      </c>
      <c r="D922" s="5" t="s">
        <v>2016</v>
      </c>
      <c r="E922" s="5" t="s">
        <v>15</v>
      </c>
      <c r="F922" s="5">
        <v>57919293</v>
      </c>
      <c r="G922" s="5" t="s">
        <v>16</v>
      </c>
      <c r="H922" s="7">
        <v>45840</v>
      </c>
      <c r="I922" s="7">
        <v>45841</v>
      </c>
      <c r="J922" s="8">
        <v>150</v>
      </c>
      <c r="K922" s="7">
        <v>45870</v>
      </c>
      <c r="L922" s="5"/>
      <c r="P922" s="23"/>
      <c r="Q922" s="23"/>
    </row>
    <row r="923" spans="1:17" ht="14.4" customHeight="1" x14ac:dyDescent="0.3">
      <c r="A923" s="5">
        <v>929</v>
      </c>
      <c r="B923" s="5" t="s">
        <v>556</v>
      </c>
      <c r="C923" s="5" t="s">
        <v>557</v>
      </c>
      <c r="D923" s="5" t="s">
        <v>558</v>
      </c>
      <c r="E923" s="5" t="s">
        <v>558</v>
      </c>
      <c r="F923" s="5">
        <v>58150895</v>
      </c>
      <c r="G923" s="5" t="s">
        <v>16</v>
      </c>
      <c r="H923" s="7">
        <v>45840</v>
      </c>
      <c r="I923" s="7">
        <v>45841</v>
      </c>
      <c r="J923" s="8">
        <v>150</v>
      </c>
      <c r="K923" s="7">
        <v>45870</v>
      </c>
      <c r="L923" s="5"/>
      <c r="P923" s="23"/>
      <c r="Q923" s="23"/>
    </row>
    <row r="924" spans="1:17" ht="14.4" customHeight="1" x14ac:dyDescent="0.3">
      <c r="A924" s="5">
        <v>930</v>
      </c>
      <c r="B924" s="5" t="s">
        <v>2017</v>
      </c>
      <c r="C924" s="5" t="s">
        <v>2051</v>
      </c>
      <c r="D924" s="5" t="s">
        <v>2003</v>
      </c>
      <c r="E924" s="5" t="s">
        <v>696</v>
      </c>
      <c r="F924" s="5">
        <v>58204080</v>
      </c>
      <c r="G924" s="5" t="s">
        <v>16</v>
      </c>
      <c r="H924" s="7">
        <v>45840</v>
      </c>
      <c r="I924" s="7">
        <v>45841</v>
      </c>
      <c r="J924" s="8">
        <v>150</v>
      </c>
      <c r="K924" s="7">
        <v>45870</v>
      </c>
      <c r="L924" s="5"/>
      <c r="P924" s="23"/>
      <c r="Q924" s="23"/>
    </row>
    <row r="925" spans="1:17" ht="14.4" customHeight="1" x14ac:dyDescent="0.3">
      <c r="A925" s="5">
        <v>931</v>
      </c>
      <c r="B925" s="5" t="s">
        <v>2018</v>
      </c>
      <c r="C925" s="5" t="s">
        <v>2052</v>
      </c>
      <c r="D925" s="5" t="s">
        <v>1398</v>
      </c>
      <c r="E925" s="5" t="s">
        <v>2392</v>
      </c>
      <c r="F925" s="5">
        <v>58034098</v>
      </c>
      <c r="G925" s="5" t="s">
        <v>16</v>
      </c>
      <c r="H925" s="7">
        <v>45840</v>
      </c>
      <c r="I925" s="7">
        <v>45841</v>
      </c>
      <c r="J925" s="8">
        <v>150</v>
      </c>
      <c r="K925" s="7">
        <v>45870</v>
      </c>
      <c r="L925" s="5"/>
      <c r="P925" s="23"/>
      <c r="Q925" s="23"/>
    </row>
    <row r="926" spans="1:17" ht="14.4" customHeight="1" x14ac:dyDescent="0.3">
      <c r="A926" s="5">
        <v>932</v>
      </c>
      <c r="B926" s="5" t="s">
        <v>2019</v>
      </c>
      <c r="C926" s="5" t="s">
        <v>2020</v>
      </c>
      <c r="D926" s="5" t="s">
        <v>1683</v>
      </c>
      <c r="E926" s="5" t="s">
        <v>2946</v>
      </c>
      <c r="F926" s="5" t="s">
        <v>2021</v>
      </c>
      <c r="G926" s="5" t="s">
        <v>16</v>
      </c>
      <c r="H926" s="7">
        <v>45840</v>
      </c>
      <c r="I926" s="7">
        <v>45841</v>
      </c>
      <c r="J926" s="8">
        <v>150</v>
      </c>
      <c r="K926" s="7">
        <v>45870</v>
      </c>
      <c r="L926" s="5"/>
      <c r="P926" s="23"/>
      <c r="Q926" s="23"/>
    </row>
    <row r="927" spans="1:17" ht="14.4" customHeight="1" x14ac:dyDescent="0.3">
      <c r="A927" s="5">
        <v>933</v>
      </c>
      <c r="B927" s="5" t="s">
        <v>2022</v>
      </c>
      <c r="C927" s="5" t="s">
        <v>2053</v>
      </c>
      <c r="D927" s="5" t="s">
        <v>1993</v>
      </c>
      <c r="E927" s="5" t="s">
        <v>1993</v>
      </c>
      <c r="F927" s="5">
        <v>57986280</v>
      </c>
      <c r="G927" s="5" t="s">
        <v>16</v>
      </c>
      <c r="H927" s="7">
        <v>45840</v>
      </c>
      <c r="I927" s="7">
        <v>45841</v>
      </c>
      <c r="J927" s="8">
        <v>150</v>
      </c>
      <c r="K927" s="7">
        <v>45870</v>
      </c>
      <c r="L927" s="5"/>
      <c r="P927" s="23"/>
      <c r="Q927" s="23"/>
    </row>
    <row r="928" spans="1:17" ht="14.4" customHeight="1" x14ac:dyDescent="0.3">
      <c r="A928" s="5">
        <v>934</v>
      </c>
      <c r="B928" s="5" t="s">
        <v>2023</v>
      </c>
      <c r="C928" s="5" t="s">
        <v>2054</v>
      </c>
      <c r="D928" s="5" t="s">
        <v>84</v>
      </c>
      <c r="E928" s="5" t="s">
        <v>84</v>
      </c>
      <c r="F928" s="5">
        <v>57349330</v>
      </c>
      <c r="G928" s="5" t="s">
        <v>16</v>
      </c>
      <c r="H928" s="7">
        <v>45840</v>
      </c>
      <c r="I928" s="7">
        <v>45841</v>
      </c>
      <c r="J928" s="8">
        <v>150</v>
      </c>
      <c r="K928" s="7">
        <v>45870</v>
      </c>
      <c r="L928" s="5"/>
      <c r="P928" s="23"/>
      <c r="Q928" s="23"/>
    </row>
    <row r="929" spans="1:17" ht="14.4" customHeight="1" x14ac:dyDescent="0.3">
      <c r="A929" s="5">
        <v>935</v>
      </c>
      <c r="B929" s="5" t="s">
        <v>1105</v>
      </c>
      <c r="C929" s="5" t="s">
        <v>1106</v>
      </c>
      <c r="D929" s="5" t="s">
        <v>1107</v>
      </c>
      <c r="E929" s="5" t="s">
        <v>1107</v>
      </c>
      <c r="F929" s="5">
        <v>58002834</v>
      </c>
      <c r="G929" s="5" t="s">
        <v>16</v>
      </c>
      <c r="H929" s="7">
        <v>45840</v>
      </c>
      <c r="I929" s="7">
        <v>45841</v>
      </c>
      <c r="J929" s="8">
        <v>150</v>
      </c>
      <c r="K929" s="7">
        <v>45870</v>
      </c>
      <c r="L929" s="5"/>
      <c r="P929" s="23"/>
      <c r="Q929" s="23"/>
    </row>
    <row r="930" spans="1:17" ht="14.4" customHeight="1" x14ac:dyDescent="0.3">
      <c r="A930" s="5">
        <v>936</v>
      </c>
      <c r="B930" s="5" t="s">
        <v>2024</v>
      </c>
      <c r="C930" s="5" t="s">
        <v>2055</v>
      </c>
      <c r="D930" s="5" t="s">
        <v>1999</v>
      </c>
      <c r="E930" s="5" t="s">
        <v>1999</v>
      </c>
      <c r="F930" s="5">
        <v>58152146</v>
      </c>
      <c r="G930" s="5" t="s">
        <v>16</v>
      </c>
      <c r="H930" s="7">
        <v>45840</v>
      </c>
      <c r="I930" s="7">
        <v>45841</v>
      </c>
      <c r="J930" s="8">
        <v>150</v>
      </c>
      <c r="K930" s="7">
        <v>45870</v>
      </c>
      <c r="L930" s="5"/>
      <c r="P930" s="23"/>
      <c r="Q930" s="23"/>
    </row>
    <row r="931" spans="1:17" ht="14.4" customHeight="1" x14ac:dyDescent="0.3">
      <c r="A931" s="5">
        <v>937</v>
      </c>
      <c r="B931" s="5" t="s">
        <v>2025</v>
      </c>
      <c r="C931" s="5" t="s">
        <v>2056</v>
      </c>
      <c r="D931" s="5" t="s">
        <v>69</v>
      </c>
      <c r="E931" s="5" t="s">
        <v>402</v>
      </c>
      <c r="F931" s="5">
        <v>54949025</v>
      </c>
      <c r="G931" s="5" t="s">
        <v>16</v>
      </c>
      <c r="H931" s="7">
        <v>45840</v>
      </c>
      <c r="I931" s="7">
        <v>45841</v>
      </c>
      <c r="J931" s="8">
        <v>150</v>
      </c>
      <c r="K931" s="7">
        <v>45870</v>
      </c>
      <c r="L931" s="5"/>
      <c r="P931" s="23"/>
      <c r="Q931" s="23"/>
    </row>
    <row r="932" spans="1:17" ht="14.4" customHeight="1" x14ac:dyDescent="0.3">
      <c r="A932" s="5">
        <v>938</v>
      </c>
      <c r="B932" s="5" t="s">
        <v>2026</v>
      </c>
      <c r="C932" s="5" t="s">
        <v>2057</v>
      </c>
      <c r="D932" s="5" t="s">
        <v>49</v>
      </c>
      <c r="E932" s="5" t="s">
        <v>49</v>
      </c>
      <c r="F932" s="5">
        <v>59378240</v>
      </c>
      <c r="G932" s="5" t="s">
        <v>16</v>
      </c>
      <c r="H932" s="7">
        <v>45840</v>
      </c>
      <c r="I932" s="7">
        <v>45841</v>
      </c>
      <c r="J932" s="8">
        <v>150</v>
      </c>
      <c r="K932" s="7">
        <v>45870</v>
      </c>
      <c r="L932" s="5"/>
      <c r="P932" s="23"/>
      <c r="Q932" s="23"/>
    </row>
    <row r="933" spans="1:17" ht="14.4" customHeight="1" x14ac:dyDescent="0.3">
      <c r="A933" s="5">
        <v>939</v>
      </c>
      <c r="B933" s="5" t="s">
        <v>2027</v>
      </c>
      <c r="C933" s="5" t="s">
        <v>2058</v>
      </c>
      <c r="D933" s="5" t="s">
        <v>659</v>
      </c>
      <c r="E933" s="5" t="s">
        <v>659</v>
      </c>
      <c r="F933" s="5">
        <v>59018427</v>
      </c>
      <c r="G933" s="5" t="s">
        <v>16</v>
      </c>
      <c r="H933" s="7">
        <v>45840</v>
      </c>
      <c r="I933" s="7">
        <v>45841</v>
      </c>
      <c r="J933" s="8">
        <v>150</v>
      </c>
      <c r="K933" s="7">
        <v>45870</v>
      </c>
      <c r="L933" s="5"/>
      <c r="P933" s="23"/>
      <c r="Q933" s="23"/>
    </row>
    <row r="934" spans="1:17" ht="14.4" customHeight="1" x14ac:dyDescent="0.3">
      <c r="A934" s="5">
        <v>940</v>
      </c>
      <c r="B934" s="5" t="s">
        <v>1284</v>
      </c>
      <c r="C934" s="5" t="s">
        <v>2059</v>
      </c>
      <c r="D934" s="5" t="s">
        <v>69</v>
      </c>
      <c r="E934" s="5" t="s">
        <v>69</v>
      </c>
      <c r="F934" s="5">
        <v>58326513</v>
      </c>
      <c r="G934" s="5" t="s">
        <v>16</v>
      </c>
      <c r="H934" s="7">
        <v>45840</v>
      </c>
      <c r="I934" s="7">
        <v>45841</v>
      </c>
      <c r="J934" s="8">
        <v>150</v>
      </c>
      <c r="K934" s="7">
        <v>45870</v>
      </c>
      <c r="L934" s="5"/>
      <c r="P934" s="23"/>
      <c r="Q934" s="23"/>
    </row>
    <row r="935" spans="1:17" ht="14.4" customHeight="1" x14ac:dyDescent="0.3">
      <c r="A935" s="5">
        <v>941</v>
      </c>
      <c r="B935" s="5" t="s">
        <v>2028</v>
      </c>
      <c r="C935" s="5" t="s">
        <v>2060</v>
      </c>
      <c r="D935" s="5" t="s">
        <v>101</v>
      </c>
      <c r="E935" s="5" t="s">
        <v>1057</v>
      </c>
      <c r="F935" s="5">
        <v>59891073</v>
      </c>
      <c r="G935" s="5" t="s">
        <v>16</v>
      </c>
      <c r="H935" s="7">
        <v>45840</v>
      </c>
      <c r="I935" s="7">
        <v>45841</v>
      </c>
      <c r="J935" s="8">
        <v>150</v>
      </c>
      <c r="K935" s="7">
        <v>45870</v>
      </c>
      <c r="L935" s="5"/>
      <c r="P935" s="23"/>
      <c r="Q935" s="23"/>
    </row>
    <row r="936" spans="1:17" ht="14.4" customHeight="1" x14ac:dyDescent="0.3">
      <c r="A936" s="5">
        <v>942</v>
      </c>
      <c r="B936" s="5" t="s">
        <v>2029</v>
      </c>
      <c r="C936" s="5" t="s">
        <v>2061</v>
      </c>
      <c r="D936" s="5" t="s">
        <v>101</v>
      </c>
      <c r="E936" s="5" t="s">
        <v>101</v>
      </c>
      <c r="F936" s="5">
        <v>52505541</v>
      </c>
      <c r="G936" s="5" t="s">
        <v>16</v>
      </c>
      <c r="H936" s="7">
        <v>45840</v>
      </c>
      <c r="I936" s="7">
        <v>45841</v>
      </c>
      <c r="J936" s="8">
        <v>150</v>
      </c>
      <c r="K936" s="7">
        <v>45870</v>
      </c>
      <c r="L936" s="5"/>
      <c r="P936" s="23"/>
      <c r="Q936" s="23"/>
    </row>
    <row r="937" spans="1:17" ht="14.4" customHeight="1" x14ac:dyDescent="0.3">
      <c r="A937" s="5">
        <v>943</v>
      </c>
      <c r="B937" s="5" t="s">
        <v>2030</v>
      </c>
      <c r="C937" s="5" t="s">
        <v>2062</v>
      </c>
      <c r="D937" s="5" t="s">
        <v>69</v>
      </c>
      <c r="E937" s="5" t="s">
        <v>69</v>
      </c>
      <c r="F937" s="5">
        <v>58218714</v>
      </c>
      <c r="G937" s="5" t="s">
        <v>16</v>
      </c>
      <c r="H937" s="7">
        <v>45840</v>
      </c>
      <c r="I937" s="7">
        <v>45841</v>
      </c>
      <c r="J937" s="8">
        <v>150</v>
      </c>
      <c r="K937" s="7">
        <v>45870</v>
      </c>
      <c r="L937" s="5"/>
      <c r="P937" s="23"/>
      <c r="Q937" s="23"/>
    </row>
    <row r="938" spans="1:17" ht="14.4" customHeight="1" x14ac:dyDescent="0.3">
      <c r="A938" s="5">
        <v>944</v>
      </c>
      <c r="B938" s="5" t="s">
        <v>1893</v>
      </c>
      <c r="C938" s="5" t="s">
        <v>1894</v>
      </c>
      <c r="D938" s="5" t="s">
        <v>2066</v>
      </c>
      <c r="E938" s="5" t="s">
        <v>77</v>
      </c>
      <c r="F938" s="5">
        <v>58273290</v>
      </c>
      <c r="G938" s="5" t="s">
        <v>963</v>
      </c>
      <c r="H938" s="7">
        <v>45841</v>
      </c>
      <c r="I938" s="7">
        <v>45841</v>
      </c>
      <c r="J938" s="8">
        <v>150</v>
      </c>
      <c r="K938" s="7">
        <v>45870</v>
      </c>
      <c r="L938" s="5"/>
      <c r="P938" s="23"/>
      <c r="Q938" s="23"/>
    </row>
    <row r="939" spans="1:17" ht="14.4" customHeight="1" x14ac:dyDescent="0.3">
      <c r="A939" s="5">
        <v>945</v>
      </c>
      <c r="B939" s="5" t="s">
        <v>1930</v>
      </c>
      <c r="C939" s="5" t="s">
        <v>226</v>
      </c>
      <c r="D939" s="5" t="s">
        <v>226</v>
      </c>
      <c r="E939" s="5" t="s">
        <v>226</v>
      </c>
      <c r="F939" s="5">
        <v>57730577</v>
      </c>
      <c r="G939" s="5" t="s">
        <v>1146</v>
      </c>
      <c r="H939" s="7">
        <v>45841</v>
      </c>
      <c r="I939" s="7">
        <v>45845</v>
      </c>
      <c r="J939" s="8">
        <v>150</v>
      </c>
      <c r="K939" s="7">
        <v>45870</v>
      </c>
      <c r="L939" s="5" t="s">
        <v>1937</v>
      </c>
      <c r="P939" s="23"/>
      <c r="Q939" s="23"/>
    </row>
    <row r="940" spans="1:17" ht="14.4" customHeight="1" x14ac:dyDescent="0.3">
      <c r="A940" s="5">
        <v>946</v>
      </c>
      <c r="B940" s="5" t="s">
        <v>1973</v>
      </c>
      <c r="C940" s="5" t="s">
        <v>1974</v>
      </c>
      <c r="D940" s="5" t="s">
        <v>117</v>
      </c>
      <c r="E940" s="5" t="s">
        <v>117</v>
      </c>
      <c r="F940" s="5">
        <v>59420122</v>
      </c>
      <c r="G940" s="5" t="s">
        <v>16</v>
      </c>
      <c r="H940" s="7">
        <v>45840</v>
      </c>
      <c r="I940" s="7">
        <v>45845</v>
      </c>
      <c r="J940" s="8">
        <v>150</v>
      </c>
      <c r="K940" s="7">
        <v>45870</v>
      </c>
      <c r="L940" s="5"/>
      <c r="P940" s="23"/>
      <c r="Q940" s="23"/>
    </row>
    <row r="941" spans="1:17" ht="14.4" customHeight="1" x14ac:dyDescent="0.3">
      <c r="A941" s="5">
        <v>947</v>
      </c>
      <c r="B941" s="5" t="s">
        <v>1981</v>
      </c>
      <c r="C941" s="5" t="s">
        <v>2032</v>
      </c>
      <c r="D941" s="5" t="s">
        <v>1440</v>
      </c>
      <c r="E941" s="5" t="s">
        <v>1440</v>
      </c>
      <c r="F941" s="5">
        <v>57177737</v>
      </c>
      <c r="G941" s="5" t="s">
        <v>16</v>
      </c>
      <c r="H941" s="7">
        <v>45840</v>
      </c>
      <c r="I941" s="7">
        <v>45845</v>
      </c>
      <c r="J941" s="8">
        <v>150</v>
      </c>
      <c r="K941" s="7">
        <v>45870</v>
      </c>
      <c r="L941" s="5"/>
      <c r="P941" s="23"/>
      <c r="Q941" s="23"/>
    </row>
    <row r="942" spans="1:17" ht="14.4" customHeight="1" x14ac:dyDescent="0.3">
      <c r="A942" s="5">
        <v>948</v>
      </c>
      <c r="B942" s="5" t="s">
        <v>1985</v>
      </c>
      <c r="C942" s="5" t="s">
        <v>1986</v>
      </c>
      <c r="D942" s="5" t="s">
        <v>2070</v>
      </c>
      <c r="E942" s="5" t="s">
        <v>49</v>
      </c>
      <c r="F942" s="5">
        <v>59130842</v>
      </c>
      <c r="G942" s="5" t="s">
        <v>16</v>
      </c>
      <c r="H942" s="7">
        <v>45840</v>
      </c>
      <c r="I942" s="7">
        <v>45845</v>
      </c>
      <c r="J942" s="8">
        <v>150</v>
      </c>
      <c r="K942" s="7">
        <v>45870</v>
      </c>
      <c r="L942" s="5" t="s">
        <v>2067</v>
      </c>
      <c r="P942" s="23"/>
      <c r="Q942" s="23"/>
    </row>
    <row r="943" spans="1:17" ht="14.4" customHeight="1" x14ac:dyDescent="0.3">
      <c r="A943" s="5">
        <v>949</v>
      </c>
      <c r="B943" s="5" t="s">
        <v>1992</v>
      </c>
      <c r="C943" s="5" t="s">
        <v>2035</v>
      </c>
      <c r="D943" s="5" t="s">
        <v>2071</v>
      </c>
      <c r="E943" s="5" t="s">
        <v>226</v>
      </c>
      <c r="F943" s="5">
        <v>59078613</v>
      </c>
      <c r="G943" s="5" t="s">
        <v>16</v>
      </c>
      <c r="H943" s="7">
        <v>45840</v>
      </c>
      <c r="I943" s="7">
        <v>45845</v>
      </c>
      <c r="J943" s="8">
        <v>150</v>
      </c>
      <c r="K943" s="7">
        <v>45870</v>
      </c>
      <c r="L943" s="5" t="s">
        <v>2068</v>
      </c>
      <c r="P943" s="23"/>
      <c r="Q943" s="23"/>
    </row>
    <row r="944" spans="1:17" ht="14.4" customHeight="1" x14ac:dyDescent="0.3">
      <c r="A944" s="5">
        <v>950</v>
      </c>
      <c r="B944" s="5" t="s">
        <v>2072</v>
      </c>
      <c r="C944" s="5" t="s">
        <v>2073</v>
      </c>
      <c r="D944" s="5" t="s">
        <v>1160</v>
      </c>
      <c r="E944" s="5" t="s">
        <v>84</v>
      </c>
      <c r="F944" s="5">
        <v>58384830</v>
      </c>
      <c r="G944" s="5" t="s">
        <v>1024</v>
      </c>
      <c r="H944" s="7">
        <v>45844</v>
      </c>
      <c r="I944" s="7">
        <v>45845</v>
      </c>
      <c r="J944" s="8">
        <v>150</v>
      </c>
      <c r="K944" s="7">
        <v>45870</v>
      </c>
      <c r="L944" s="5" t="s">
        <v>2074</v>
      </c>
      <c r="P944" s="23"/>
      <c r="Q944" s="23"/>
    </row>
    <row r="945" spans="1:17" ht="14.4" customHeight="1" x14ac:dyDescent="0.3">
      <c r="A945" s="5">
        <v>951</v>
      </c>
      <c r="B945" s="5" t="s">
        <v>2075</v>
      </c>
      <c r="C945" s="5" t="s">
        <v>2076</v>
      </c>
      <c r="D945" s="5" t="s">
        <v>74</v>
      </c>
      <c r="E945" s="5" t="s">
        <v>74</v>
      </c>
      <c r="F945" s="5">
        <v>57537084</v>
      </c>
      <c r="G945" s="5" t="s">
        <v>1024</v>
      </c>
      <c r="H945" s="7">
        <v>45844</v>
      </c>
      <c r="I945" s="7">
        <v>45845</v>
      </c>
      <c r="J945" s="8">
        <v>150</v>
      </c>
      <c r="K945" s="7">
        <v>45870</v>
      </c>
      <c r="L945" s="5" t="s">
        <v>2077</v>
      </c>
      <c r="P945" s="23"/>
      <c r="Q945" s="23"/>
    </row>
    <row r="946" spans="1:17" ht="14.4" customHeight="1" x14ac:dyDescent="0.3">
      <c r="A946" s="5">
        <v>952</v>
      </c>
      <c r="B946" s="5" t="s">
        <v>2078</v>
      </c>
      <c r="C946" s="5" t="s">
        <v>2079</v>
      </c>
      <c r="D946" s="5" t="s">
        <v>49</v>
      </c>
      <c r="E946" s="5" t="s">
        <v>49</v>
      </c>
      <c r="F946" s="5">
        <v>52538349</v>
      </c>
      <c r="G946" s="5" t="s">
        <v>1024</v>
      </c>
      <c r="H946" s="7">
        <v>45844</v>
      </c>
      <c r="I946" s="7">
        <v>45845</v>
      </c>
      <c r="J946" s="8">
        <v>150</v>
      </c>
      <c r="K946" s="7">
        <v>45870</v>
      </c>
      <c r="L946" s="5" t="s">
        <v>1085</v>
      </c>
      <c r="P946" s="23"/>
      <c r="Q946" s="23"/>
    </row>
    <row r="947" spans="1:17" ht="14.4" customHeight="1" x14ac:dyDescent="0.3">
      <c r="A947" s="5">
        <v>953</v>
      </c>
      <c r="B947" s="7" t="s">
        <v>342</v>
      </c>
      <c r="C947" s="5" t="s">
        <v>343</v>
      </c>
      <c r="D947" s="5" t="s">
        <v>30</v>
      </c>
      <c r="E947" s="5" t="s">
        <v>344</v>
      </c>
      <c r="F947" s="6">
        <v>52526373</v>
      </c>
      <c r="G947" s="5" t="s">
        <v>1024</v>
      </c>
      <c r="H947" s="7">
        <v>45844</v>
      </c>
      <c r="I947" s="7">
        <v>45845</v>
      </c>
      <c r="J947" s="8">
        <v>150</v>
      </c>
      <c r="K947" s="7">
        <v>45870</v>
      </c>
      <c r="L947" s="5" t="s">
        <v>2080</v>
      </c>
      <c r="P947" s="23"/>
      <c r="Q947" s="23"/>
    </row>
    <row r="948" spans="1:17" ht="14.4" customHeight="1" x14ac:dyDescent="0.3">
      <c r="A948" s="5">
        <v>954</v>
      </c>
      <c r="B948" s="5" t="s">
        <v>2081</v>
      </c>
      <c r="C948" s="5" t="s">
        <v>2082</v>
      </c>
      <c r="D948" s="5" t="s">
        <v>923</v>
      </c>
      <c r="E948" s="5" t="s">
        <v>923</v>
      </c>
      <c r="F948" s="5">
        <v>58021671</v>
      </c>
      <c r="G948" s="5" t="s">
        <v>16</v>
      </c>
      <c r="H948" s="7">
        <v>45844</v>
      </c>
      <c r="I948" s="7">
        <v>45845</v>
      </c>
      <c r="J948" s="8">
        <v>150</v>
      </c>
      <c r="K948" s="7">
        <v>45870</v>
      </c>
      <c r="L948" s="5"/>
      <c r="P948" s="23"/>
      <c r="Q948" s="23"/>
    </row>
    <row r="949" spans="1:17" ht="14.4" customHeight="1" x14ac:dyDescent="0.3">
      <c r="A949" s="5">
        <v>955</v>
      </c>
      <c r="B949" s="5" t="s">
        <v>2083</v>
      </c>
      <c r="C949" s="5" t="s">
        <v>2084</v>
      </c>
      <c r="D949" s="5" t="s">
        <v>144</v>
      </c>
      <c r="E949" s="5" t="s">
        <v>144</v>
      </c>
      <c r="F949" s="5">
        <v>58468896</v>
      </c>
      <c r="G949" s="5" t="s">
        <v>16</v>
      </c>
      <c r="H949" s="7">
        <v>45844</v>
      </c>
      <c r="I949" s="7">
        <v>45845</v>
      </c>
      <c r="J949" s="8">
        <v>150</v>
      </c>
      <c r="K949" s="7">
        <v>45870</v>
      </c>
      <c r="L949" s="5"/>
      <c r="P949" s="23"/>
      <c r="Q949" s="23"/>
    </row>
    <row r="950" spans="1:17" ht="14.4" customHeight="1" x14ac:dyDescent="0.3">
      <c r="A950" s="5">
        <v>956</v>
      </c>
      <c r="B950" s="5" t="s">
        <v>2085</v>
      </c>
      <c r="C950" s="5" t="s">
        <v>2086</v>
      </c>
      <c r="D950" s="5" t="s">
        <v>251</v>
      </c>
      <c r="E950" s="5" t="s">
        <v>251</v>
      </c>
      <c r="F950" s="5">
        <v>59273324</v>
      </c>
      <c r="G950" s="5" t="s">
        <v>16</v>
      </c>
      <c r="H950" s="7">
        <v>45844</v>
      </c>
      <c r="I950" s="7">
        <v>45845</v>
      </c>
      <c r="J950" s="8">
        <v>150</v>
      </c>
      <c r="K950" s="7">
        <v>45870</v>
      </c>
      <c r="L950" s="5"/>
      <c r="P950" s="23"/>
      <c r="Q950" s="23"/>
    </row>
    <row r="951" spans="1:17" ht="14.4" customHeight="1" x14ac:dyDescent="0.3">
      <c r="A951" s="5">
        <v>957</v>
      </c>
      <c r="B951" s="5" t="s">
        <v>1207</v>
      </c>
      <c r="C951" s="5" t="s">
        <v>2162</v>
      </c>
      <c r="D951" s="5" t="s">
        <v>223</v>
      </c>
      <c r="E951" s="5" t="s">
        <v>223</v>
      </c>
      <c r="F951" s="5">
        <v>57867050</v>
      </c>
      <c r="G951" s="5" t="s">
        <v>16</v>
      </c>
      <c r="H951" s="7">
        <v>45844</v>
      </c>
      <c r="I951" s="7">
        <v>45845</v>
      </c>
      <c r="J951" s="8">
        <v>150</v>
      </c>
      <c r="K951" s="7">
        <v>45870</v>
      </c>
      <c r="L951" s="5"/>
      <c r="P951" s="23"/>
      <c r="Q951" s="23"/>
    </row>
    <row r="952" spans="1:17" ht="14.4" customHeight="1" x14ac:dyDescent="0.3">
      <c r="A952" s="5">
        <v>958</v>
      </c>
      <c r="B952" s="5" t="s">
        <v>2087</v>
      </c>
      <c r="C952" s="5" t="s">
        <v>2088</v>
      </c>
      <c r="D952" s="5" t="s">
        <v>874</v>
      </c>
      <c r="E952" s="5" t="s">
        <v>874</v>
      </c>
      <c r="F952" s="5">
        <v>58239481</v>
      </c>
      <c r="G952" s="5" t="s">
        <v>16</v>
      </c>
      <c r="H952" s="7">
        <v>45844</v>
      </c>
      <c r="I952" s="7">
        <v>45845</v>
      </c>
      <c r="J952" s="8">
        <v>150</v>
      </c>
      <c r="K952" s="7">
        <v>45870</v>
      </c>
      <c r="L952" s="5"/>
      <c r="P952" s="23"/>
      <c r="Q952" s="23"/>
    </row>
    <row r="953" spans="1:17" ht="14.4" customHeight="1" x14ac:dyDescent="0.3">
      <c r="A953" s="5">
        <v>959</v>
      </c>
      <c r="B953" s="5" t="s">
        <v>349</v>
      </c>
      <c r="C953" s="5" t="s">
        <v>2089</v>
      </c>
      <c r="D953" s="5" t="s">
        <v>1997</v>
      </c>
      <c r="E953" s="5" t="s">
        <v>49</v>
      </c>
      <c r="F953" s="5">
        <v>54899559</v>
      </c>
      <c r="G953" s="5" t="s">
        <v>16</v>
      </c>
      <c r="H953" s="7">
        <v>45844</v>
      </c>
      <c r="I953" s="7">
        <v>45845</v>
      </c>
      <c r="J953" s="8">
        <v>150</v>
      </c>
      <c r="K953" s="7">
        <v>45870</v>
      </c>
      <c r="L953" s="5"/>
      <c r="P953" s="23"/>
      <c r="Q953" s="23"/>
    </row>
    <row r="954" spans="1:17" ht="14.4" customHeight="1" x14ac:dyDescent="0.3">
      <c r="A954" s="5">
        <v>960</v>
      </c>
      <c r="B954" s="5" t="s">
        <v>2090</v>
      </c>
      <c r="C954" s="5" t="s">
        <v>2091</v>
      </c>
      <c r="D954" s="5" t="s">
        <v>204</v>
      </c>
      <c r="E954" s="5" t="s">
        <v>204</v>
      </c>
      <c r="F954" s="5">
        <v>58105290</v>
      </c>
      <c r="G954" s="5" t="s">
        <v>16</v>
      </c>
      <c r="H954" s="7">
        <v>45844</v>
      </c>
      <c r="I954" s="7">
        <v>45845</v>
      </c>
      <c r="J954" s="8">
        <v>150</v>
      </c>
      <c r="K954" s="7">
        <v>45870</v>
      </c>
      <c r="L954" s="5"/>
      <c r="P954" s="23"/>
    </row>
    <row r="955" spans="1:17" ht="14.4" customHeight="1" x14ac:dyDescent="0.3">
      <c r="A955" s="5">
        <v>961</v>
      </c>
      <c r="B955" s="5" t="s">
        <v>2092</v>
      </c>
      <c r="C955" s="5" t="s">
        <v>2093</v>
      </c>
      <c r="D955" s="5" t="s">
        <v>84</v>
      </c>
      <c r="E955" s="5" t="s">
        <v>84</v>
      </c>
      <c r="F955" s="5" t="s">
        <v>2094</v>
      </c>
      <c r="G955" s="5" t="s">
        <v>16</v>
      </c>
      <c r="H955" s="7">
        <v>45844</v>
      </c>
      <c r="I955" s="7">
        <v>45845</v>
      </c>
      <c r="J955" s="8">
        <v>150</v>
      </c>
      <c r="K955" s="7">
        <v>45870</v>
      </c>
      <c r="L955" s="5"/>
      <c r="P955" s="23"/>
    </row>
    <row r="956" spans="1:17" ht="14.4" customHeight="1" x14ac:dyDescent="0.3">
      <c r="A956" s="5">
        <v>962</v>
      </c>
      <c r="B956" s="5" t="s">
        <v>2095</v>
      </c>
      <c r="C956" s="5" t="s">
        <v>2096</v>
      </c>
      <c r="D956" s="5" t="s">
        <v>2097</v>
      </c>
      <c r="E956" s="5" t="s">
        <v>494</v>
      </c>
      <c r="F956" s="5">
        <v>59246179</v>
      </c>
      <c r="G956" s="5" t="s">
        <v>16</v>
      </c>
      <c r="H956" s="7">
        <v>45844</v>
      </c>
      <c r="I956" s="7">
        <v>45845</v>
      </c>
      <c r="J956" s="8">
        <v>150</v>
      </c>
      <c r="K956" s="7">
        <v>45870</v>
      </c>
      <c r="L956" s="5"/>
      <c r="P956" s="23"/>
    </row>
    <row r="957" spans="1:17" ht="14.4" customHeight="1" x14ac:dyDescent="0.3">
      <c r="A957" s="5">
        <v>963</v>
      </c>
      <c r="B957" s="5" t="s">
        <v>2098</v>
      </c>
      <c r="C957" s="5" t="s">
        <v>2163</v>
      </c>
      <c r="D957" s="5" t="s">
        <v>2170</v>
      </c>
      <c r="E957" s="5" t="s">
        <v>2170</v>
      </c>
      <c r="F957" s="5" t="s">
        <v>2099</v>
      </c>
      <c r="G957" s="5" t="s">
        <v>16</v>
      </c>
      <c r="H957" s="7">
        <v>45844</v>
      </c>
      <c r="I957" s="7">
        <v>45845</v>
      </c>
      <c r="J957" s="8">
        <v>150</v>
      </c>
      <c r="K957" s="7">
        <v>45870</v>
      </c>
      <c r="L957" s="5"/>
      <c r="P957" s="23"/>
    </row>
    <row r="958" spans="1:17" ht="14.4" customHeight="1" x14ac:dyDescent="0.3">
      <c r="A958" s="5">
        <v>964</v>
      </c>
      <c r="B958" s="5" t="s">
        <v>2100</v>
      </c>
      <c r="C958" s="5" t="s">
        <v>2101</v>
      </c>
      <c r="D958" s="5" t="s">
        <v>2102</v>
      </c>
      <c r="E958" s="5" t="s">
        <v>41</v>
      </c>
      <c r="F958" s="5">
        <v>59220654</v>
      </c>
      <c r="G958" s="5" t="s">
        <v>16</v>
      </c>
      <c r="H958" s="7">
        <v>45844</v>
      </c>
      <c r="I958" s="7">
        <v>45845</v>
      </c>
      <c r="J958" s="8">
        <v>150</v>
      </c>
      <c r="K958" s="7">
        <v>45870</v>
      </c>
      <c r="L958" s="5"/>
      <c r="P958" s="23"/>
    </row>
    <row r="959" spans="1:17" ht="14.4" customHeight="1" x14ac:dyDescent="0.3">
      <c r="A959" s="5">
        <v>965</v>
      </c>
      <c r="B959" s="5" t="s">
        <v>2103</v>
      </c>
      <c r="C959" s="5" t="s">
        <v>2104</v>
      </c>
      <c r="D959" s="5" t="s">
        <v>84</v>
      </c>
      <c r="E959" s="5" t="s">
        <v>84</v>
      </c>
      <c r="F959" s="5">
        <v>59292398</v>
      </c>
      <c r="G959" s="5" t="s">
        <v>16</v>
      </c>
      <c r="H959" s="7">
        <v>45844</v>
      </c>
      <c r="I959" s="7">
        <v>45845</v>
      </c>
      <c r="J959" s="8">
        <v>150</v>
      </c>
      <c r="K959" s="7">
        <v>45870</v>
      </c>
      <c r="L959" s="5"/>
      <c r="P959" s="23"/>
    </row>
    <row r="960" spans="1:17" ht="14.4" customHeight="1" x14ac:dyDescent="0.3">
      <c r="A960" s="5">
        <v>966</v>
      </c>
      <c r="B960" s="5" t="s">
        <v>2105</v>
      </c>
      <c r="C960" s="5" t="s">
        <v>2106</v>
      </c>
      <c r="D960" s="5" t="s">
        <v>226</v>
      </c>
      <c r="E960" s="5" t="s">
        <v>226</v>
      </c>
      <c r="F960" s="5">
        <v>58016109</v>
      </c>
      <c r="G960" s="5" t="s">
        <v>16</v>
      </c>
      <c r="H960" s="7">
        <v>45844</v>
      </c>
      <c r="I960" s="7">
        <v>45845</v>
      </c>
      <c r="J960" s="8">
        <v>150</v>
      </c>
      <c r="K960" s="7">
        <v>45870</v>
      </c>
      <c r="L960" s="5"/>
      <c r="P960" s="23"/>
    </row>
    <row r="961" spans="1:16" ht="14.4" customHeight="1" x14ac:dyDescent="0.3">
      <c r="A961" s="5">
        <v>967</v>
      </c>
      <c r="B961" s="5" t="s">
        <v>556</v>
      </c>
      <c r="C961" s="5" t="s">
        <v>557</v>
      </c>
      <c r="D961" s="5" t="s">
        <v>2169</v>
      </c>
      <c r="E961" s="5" t="s">
        <v>558</v>
      </c>
      <c r="F961" s="5">
        <v>58150895</v>
      </c>
      <c r="G961" s="5" t="s">
        <v>16</v>
      </c>
      <c r="H961" s="7">
        <v>45844</v>
      </c>
      <c r="I961" s="7">
        <v>45845</v>
      </c>
      <c r="J961" s="8">
        <v>150</v>
      </c>
      <c r="K961" s="7">
        <v>45870</v>
      </c>
      <c r="L961" s="5"/>
      <c r="P961" s="23"/>
    </row>
    <row r="962" spans="1:16" ht="14.4" customHeight="1" x14ac:dyDescent="0.3">
      <c r="A962" s="5">
        <v>968</v>
      </c>
      <c r="B962" s="5" t="s">
        <v>2107</v>
      </c>
      <c r="C962" s="5" t="s">
        <v>2108</v>
      </c>
      <c r="D962" s="5" t="s">
        <v>49</v>
      </c>
      <c r="E962" s="5" t="s">
        <v>49</v>
      </c>
      <c r="F962" s="5">
        <v>58007505</v>
      </c>
      <c r="G962" s="5" t="s">
        <v>16</v>
      </c>
      <c r="H962" s="7">
        <v>45844</v>
      </c>
      <c r="I962" s="7">
        <v>45845</v>
      </c>
      <c r="J962" s="8">
        <v>150</v>
      </c>
      <c r="K962" s="7">
        <v>45870</v>
      </c>
      <c r="L962" s="5"/>
      <c r="P962" s="23"/>
    </row>
    <row r="963" spans="1:16" ht="14.4" customHeight="1" x14ac:dyDescent="0.3">
      <c r="A963" s="5">
        <v>969</v>
      </c>
      <c r="B963" s="5" t="s">
        <v>2109</v>
      </c>
      <c r="C963" s="5" t="s">
        <v>2110</v>
      </c>
      <c r="D963" s="5" t="s">
        <v>321</v>
      </c>
      <c r="E963" s="5" t="s">
        <v>321</v>
      </c>
      <c r="F963" s="5">
        <v>59827121</v>
      </c>
      <c r="G963" s="5" t="s">
        <v>16</v>
      </c>
      <c r="H963" s="7">
        <v>45844</v>
      </c>
      <c r="I963" s="7">
        <v>45845</v>
      </c>
      <c r="J963" s="8">
        <v>150</v>
      </c>
      <c r="K963" s="7">
        <v>45870</v>
      </c>
      <c r="L963" s="5"/>
      <c r="P963" s="23"/>
    </row>
    <row r="964" spans="1:16" ht="14.4" customHeight="1" x14ac:dyDescent="0.3">
      <c r="A964" s="5">
        <v>970</v>
      </c>
      <c r="B964" s="5" t="s">
        <v>2111</v>
      </c>
      <c r="C964" s="5" t="s">
        <v>2112</v>
      </c>
      <c r="D964" s="5" t="s">
        <v>49</v>
      </c>
      <c r="E964" s="5" t="s">
        <v>49</v>
      </c>
      <c r="F964" s="5">
        <v>59117300</v>
      </c>
      <c r="G964" s="5" t="s">
        <v>16</v>
      </c>
      <c r="H964" s="7">
        <v>45844</v>
      </c>
      <c r="I964" s="7">
        <v>45845</v>
      </c>
      <c r="J964" s="8">
        <v>150</v>
      </c>
      <c r="K964" s="7">
        <v>45870</v>
      </c>
      <c r="L964" s="5"/>
      <c r="P964" s="23"/>
    </row>
    <row r="965" spans="1:16" ht="14.4" customHeight="1" x14ac:dyDescent="0.3">
      <c r="A965" s="5">
        <v>971</v>
      </c>
      <c r="B965" s="5" t="s">
        <v>2113</v>
      </c>
      <c r="C965" s="5" t="s">
        <v>2114</v>
      </c>
      <c r="D965" s="5" t="s">
        <v>31</v>
      </c>
      <c r="E965" s="5" t="s">
        <v>31</v>
      </c>
      <c r="F965" s="5">
        <v>52562551</v>
      </c>
      <c r="G965" s="5" t="s">
        <v>16</v>
      </c>
      <c r="H965" s="7">
        <v>45844</v>
      </c>
      <c r="I965" s="7">
        <v>45845</v>
      </c>
      <c r="J965" s="8">
        <v>150</v>
      </c>
      <c r="K965" s="7">
        <v>45870</v>
      </c>
      <c r="L965" s="5"/>
      <c r="P965" s="23"/>
    </row>
    <row r="966" spans="1:16" ht="14.4" customHeight="1" x14ac:dyDescent="0.3">
      <c r="A966" s="5">
        <v>972</v>
      </c>
      <c r="B966" s="5" t="s">
        <v>2115</v>
      </c>
      <c r="C966" s="5" t="s">
        <v>2116</v>
      </c>
      <c r="D966" s="5" t="s">
        <v>1378</v>
      </c>
      <c r="E966" s="5" t="s">
        <v>1378</v>
      </c>
      <c r="F966" s="5">
        <v>57246901</v>
      </c>
      <c r="G966" s="5" t="s">
        <v>16</v>
      </c>
      <c r="H966" s="7">
        <v>45844</v>
      </c>
      <c r="I966" s="7">
        <v>45845</v>
      </c>
      <c r="J966" s="8">
        <v>150</v>
      </c>
      <c r="K966" s="7">
        <v>45870</v>
      </c>
      <c r="L966" s="5"/>
      <c r="P966" s="23"/>
    </row>
    <row r="967" spans="1:16" ht="14.4" customHeight="1" x14ac:dyDescent="0.3">
      <c r="A967" s="5">
        <v>973</v>
      </c>
      <c r="B967" s="5" t="s">
        <v>2117</v>
      </c>
      <c r="C967" s="5" t="s">
        <v>2118</v>
      </c>
      <c r="D967" s="5" t="s">
        <v>84</v>
      </c>
      <c r="E967" s="5" t="s">
        <v>84</v>
      </c>
      <c r="F967" s="5">
        <v>58116574</v>
      </c>
      <c r="G967" s="5" t="s">
        <v>16</v>
      </c>
      <c r="H967" s="7">
        <v>45844</v>
      </c>
      <c r="I967" s="7">
        <v>45845</v>
      </c>
      <c r="J967" s="8">
        <v>150</v>
      </c>
      <c r="K967" s="7">
        <v>45870</v>
      </c>
      <c r="L967" s="5"/>
      <c r="P967" s="23"/>
    </row>
    <row r="968" spans="1:16" ht="14.4" customHeight="1" x14ac:dyDescent="0.3">
      <c r="A968" s="5">
        <v>974</v>
      </c>
      <c r="B968" s="5" t="s">
        <v>2119</v>
      </c>
      <c r="C968" s="5" t="s">
        <v>2120</v>
      </c>
      <c r="D968" s="5" t="s">
        <v>223</v>
      </c>
      <c r="E968" s="5" t="s">
        <v>223</v>
      </c>
      <c r="F968" s="5">
        <v>59812961</v>
      </c>
      <c r="G968" s="5" t="s">
        <v>16</v>
      </c>
      <c r="H968" s="7">
        <v>45844</v>
      </c>
      <c r="I968" s="7">
        <v>45845</v>
      </c>
      <c r="J968" s="8">
        <v>150</v>
      </c>
      <c r="K968" s="7">
        <v>45870</v>
      </c>
      <c r="L968" s="5"/>
      <c r="P968" s="23"/>
    </row>
    <row r="969" spans="1:16" ht="14.4" customHeight="1" x14ac:dyDescent="0.3">
      <c r="A969" s="5">
        <v>976</v>
      </c>
      <c r="B969" s="5" t="s">
        <v>2122</v>
      </c>
      <c r="C969" s="5" t="s">
        <v>2123</v>
      </c>
      <c r="D969" s="5" t="s">
        <v>700</v>
      </c>
      <c r="E969" s="5" t="s">
        <v>77</v>
      </c>
      <c r="F969" s="5">
        <v>57769647</v>
      </c>
      <c r="G969" s="5" t="s">
        <v>16</v>
      </c>
      <c r="H969" s="7">
        <v>45844</v>
      </c>
      <c r="I969" s="7">
        <v>45845</v>
      </c>
      <c r="J969" s="8">
        <v>150</v>
      </c>
      <c r="K969" s="7">
        <v>45870</v>
      </c>
      <c r="L969" s="5"/>
      <c r="P969" s="23"/>
    </row>
    <row r="970" spans="1:16" ht="14.4" customHeight="1" x14ac:dyDescent="0.3">
      <c r="A970" s="5">
        <v>977</v>
      </c>
      <c r="B970" s="5" t="s">
        <v>2124</v>
      </c>
      <c r="C970" s="5" t="s">
        <v>2125</v>
      </c>
      <c r="D970" s="5" t="s">
        <v>49</v>
      </c>
      <c r="E970" s="5" t="s">
        <v>49</v>
      </c>
      <c r="F970" s="5">
        <v>57014972</v>
      </c>
      <c r="G970" s="5" t="s">
        <v>16</v>
      </c>
      <c r="H970" s="7">
        <v>45844</v>
      </c>
      <c r="I970" s="7">
        <v>45845</v>
      </c>
      <c r="J970" s="8">
        <v>150</v>
      </c>
      <c r="K970" s="7">
        <v>45870</v>
      </c>
      <c r="L970" s="5"/>
      <c r="P970" s="23"/>
    </row>
    <row r="971" spans="1:16" ht="14.4" customHeight="1" x14ac:dyDescent="0.3">
      <c r="A971" s="5">
        <v>978</v>
      </c>
      <c r="B971" s="5" t="s">
        <v>282</v>
      </c>
      <c r="C971" s="5" t="s">
        <v>2126</v>
      </c>
      <c r="D971" s="5" t="s">
        <v>149</v>
      </c>
      <c r="E971" s="5" t="s">
        <v>149</v>
      </c>
      <c r="F971" s="5" t="s">
        <v>2127</v>
      </c>
      <c r="G971" s="5" t="s">
        <v>16</v>
      </c>
      <c r="H971" s="7">
        <v>45844</v>
      </c>
      <c r="I971" s="7">
        <v>45845</v>
      </c>
      <c r="J971" s="8">
        <v>150</v>
      </c>
      <c r="K971" s="7">
        <v>45870</v>
      </c>
      <c r="L971" s="5"/>
      <c r="P971" s="23"/>
    </row>
    <row r="972" spans="1:16" ht="14.4" customHeight="1" x14ac:dyDescent="0.3">
      <c r="A972" s="5">
        <v>979</v>
      </c>
      <c r="B972" s="5" t="s">
        <v>1187</v>
      </c>
      <c r="C972" s="5" t="s">
        <v>2128</v>
      </c>
      <c r="D972" s="5" t="s">
        <v>1855</v>
      </c>
      <c r="E972" s="5" t="s">
        <v>1855</v>
      </c>
      <c r="F972" s="5">
        <v>57726954</v>
      </c>
      <c r="G972" s="5" t="s">
        <v>16</v>
      </c>
      <c r="H972" s="7">
        <v>45844</v>
      </c>
      <c r="I972" s="7">
        <v>45845</v>
      </c>
      <c r="J972" s="8">
        <v>150</v>
      </c>
      <c r="K972" s="7">
        <v>45870</v>
      </c>
      <c r="L972" s="5"/>
      <c r="P972" s="23"/>
    </row>
    <row r="973" spans="1:16" ht="14.4" customHeight="1" x14ac:dyDescent="0.3">
      <c r="A973" s="5">
        <v>980</v>
      </c>
      <c r="B973" s="5" t="s">
        <v>1399</v>
      </c>
      <c r="C973" s="5" t="s">
        <v>1400</v>
      </c>
      <c r="D973" s="5" t="s">
        <v>74</v>
      </c>
      <c r="E973" s="5" t="s">
        <v>74</v>
      </c>
      <c r="F973" s="5">
        <v>58046068</v>
      </c>
      <c r="G973" s="5" t="s">
        <v>16</v>
      </c>
      <c r="H973" s="7">
        <v>45844</v>
      </c>
      <c r="I973" s="7">
        <v>45845</v>
      </c>
      <c r="J973" s="8">
        <v>150</v>
      </c>
      <c r="K973" s="7">
        <v>45870</v>
      </c>
      <c r="L973" s="5"/>
      <c r="P973" s="23"/>
    </row>
    <row r="974" spans="1:16" ht="14.4" customHeight="1" x14ac:dyDescent="0.3">
      <c r="A974" s="5">
        <v>981</v>
      </c>
      <c r="B974" s="5" t="s">
        <v>2129</v>
      </c>
      <c r="C974" s="5" t="s">
        <v>2130</v>
      </c>
      <c r="D974" s="5" t="s">
        <v>63</v>
      </c>
      <c r="E974" s="5" t="s">
        <v>63</v>
      </c>
      <c r="F974" s="5" t="s">
        <v>2131</v>
      </c>
      <c r="G974" s="5" t="s">
        <v>16</v>
      </c>
      <c r="H974" s="7">
        <v>45844</v>
      </c>
      <c r="I974" s="7">
        <v>45845</v>
      </c>
      <c r="J974" s="8">
        <v>150</v>
      </c>
      <c r="K974" s="7">
        <v>45870</v>
      </c>
      <c r="L974" s="5"/>
      <c r="P974" s="23"/>
    </row>
    <row r="975" spans="1:16" ht="14.4" customHeight="1" x14ac:dyDescent="0.3">
      <c r="A975" s="5">
        <v>982</v>
      </c>
      <c r="B975" s="5" t="s">
        <v>2132</v>
      </c>
      <c r="C975" s="5" t="s">
        <v>2164</v>
      </c>
      <c r="D975" s="5" t="s">
        <v>69</v>
      </c>
      <c r="E975" s="5" t="s">
        <v>69</v>
      </c>
      <c r="F975" s="5">
        <v>57457509</v>
      </c>
      <c r="G975" s="5" t="s">
        <v>16</v>
      </c>
      <c r="H975" s="7">
        <v>45844</v>
      </c>
      <c r="I975" s="7">
        <v>45845</v>
      </c>
      <c r="J975" s="8">
        <v>150</v>
      </c>
      <c r="K975" s="7">
        <v>45870</v>
      </c>
      <c r="L975" s="5"/>
      <c r="P975" s="23"/>
    </row>
    <row r="976" spans="1:16" ht="14.4" customHeight="1" x14ac:dyDescent="0.3">
      <c r="A976" s="5">
        <v>984</v>
      </c>
      <c r="B976" s="5" t="s">
        <v>2135</v>
      </c>
      <c r="C976" s="5" t="s">
        <v>2165</v>
      </c>
      <c r="D976" s="5" t="s">
        <v>262</v>
      </c>
      <c r="E976" s="5" t="s">
        <v>262</v>
      </c>
      <c r="F976" s="5">
        <v>57567429</v>
      </c>
      <c r="G976" s="5" t="s">
        <v>16</v>
      </c>
      <c r="H976" s="7">
        <v>45844</v>
      </c>
      <c r="I976" s="7">
        <v>45845</v>
      </c>
      <c r="J976" s="8">
        <v>150</v>
      </c>
      <c r="K976" s="7">
        <v>45870</v>
      </c>
      <c r="L976" s="5"/>
      <c r="P976" s="23"/>
    </row>
    <row r="977" spans="1:16" ht="14.4" customHeight="1" x14ac:dyDescent="0.3">
      <c r="A977" s="5">
        <v>985</v>
      </c>
      <c r="B977" s="5" t="s">
        <v>688</v>
      </c>
      <c r="C977" s="5" t="s">
        <v>689</v>
      </c>
      <c r="D977" s="5" t="s">
        <v>84</v>
      </c>
      <c r="E977" s="5" t="s">
        <v>84</v>
      </c>
      <c r="F977" s="5">
        <v>57605755</v>
      </c>
      <c r="G977" s="5" t="s">
        <v>16</v>
      </c>
      <c r="H977" s="7">
        <v>45844</v>
      </c>
      <c r="I977" s="7">
        <v>45845</v>
      </c>
      <c r="J977" s="8">
        <v>150</v>
      </c>
      <c r="K977" s="7">
        <v>45870</v>
      </c>
      <c r="L977" s="5"/>
      <c r="P977" s="23"/>
    </row>
    <row r="978" spans="1:16" ht="14.4" customHeight="1" x14ac:dyDescent="0.3">
      <c r="A978" s="5">
        <v>986</v>
      </c>
      <c r="B978" s="5" t="s">
        <v>2136</v>
      </c>
      <c r="C978" s="5" t="s">
        <v>2137</v>
      </c>
      <c r="D978" s="5" t="s">
        <v>1130</v>
      </c>
      <c r="E978" s="5" t="s">
        <v>101</v>
      </c>
      <c r="F978" s="5">
        <v>59449445</v>
      </c>
      <c r="G978" s="5" t="s">
        <v>16</v>
      </c>
      <c r="H978" s="7">
        <v>45844</v>
      </c>
      <c r="I978" s="7">
        <v>45845</v>
      </c>
      <c r="J978" s="8">
        <v>150</v>
      </c>
      <c r="K978" s="7">
        <v>45870</v>
      </c>
      <c r="L978" s="5"/>
      <c r="P978" s="23"/>
    </row>
    <row r="979" spans="1:16" ht="14.4" customHeight="1" x14ac:dyDescent="0.3">
      <c r="A979" s="5">
        <v>987</v>
      </c>
      <c r="B979" s="5" t="s">
        <v>2138</v>
      </c>
      <c r="C979" s="5" t="s">
        <v>2139</v>
      </c>
      <c r="D979" s="5" t="s">
        <v>84</v>
      </c>
      <c r="E979" s="5" t="s">
        <v>84</v>
      </c>
      <c r="F979" s="5">
        <v>57971368</v>
      </c>
      <c r="G979" s="5" t="s">
        <v>16</v>
      </c>
      <c r="H979" s="7">
        <v>45844</v>
      </c>
      <c r="I979" s="7">
        <v>45845</v>
      </c>
      <c r="J979" s="8">
        <v>150</v>
      </c>
      <c r="K979" s="7">
        <v>45870</v>
      </c>
      <c r="L979" s="5"/>
      <c r="P979" s="23"/>
    </row>
    <row r="980" spans="1:16" ht="14.4" customHeight="1" x14ac:dyDescent="0.3">
      <c r="A980" s="5">
        <v>988</v>
      </c>
      <c r="B980" s="5" t="s">
        <v>2140</v>
      </c>
      <c r="C980" s="5" t="s">
        <v>2141</v>
      </c>
      <c r="D980" s="5" t="s">
        <v>1369</v>
      </c>
      <c r="E980" s="5" t="s">
        <v>1369</v>
      </c>
      <c r="F980" s="5">
        <v>57984561</v>
      </c>
      <c r="G980" s="5" t="s">
        <v>16</v>
      </c>
      <c r="H980" s="7">
        <v>45844</v>
      </c>
      <c r="I980" s="7">
        <v>45845</v>
      </c>
      <c r="J980" s="8">
        <v>150</v>
      </c>
      <c r="K980" s="7">
        <v>45870</v>
      </c>
      <c r="L980" s="5"/>
      <c r="P980" s="23"/>
    </row>
    <row r="981" spans="1:16" ht="14.4" customHeight="1" x14ac:dyDescent="0.3">
      <c r="A981" s="5">
        <v>989</v>
      </c>
      <c r="B981" s="5" t="s">
        <v>2142</v>
      </c>
      <c r="C981" s="5" t="s">
        <v>2143</v>
      </c>
      <c r="D981" s="5" t="s">
        <v>2012</v>
      </c>
      <c r="E981" s="5" t="s">
        <v>634</v>
      </c>
      <c r="F981" s="5">
        <v>57965953</v>
      </c>
      <c r="G981" s="5" t="s">
        <v>16</v>
      </c>
      <c r="H981" s="7">
        <v>45844</v>
      </c>
      <c r="I981" s="7">
        <v>45845</v>
      </c>
      <c r="J981" s="8">
        <v>150</v>
      </c>
      <c r="K981" s="7">
        <v>45870</v>
      </c>
      <c r="L981" s="5"/>
      <c r="P981" s="23"/>
    </row>
    <row r="982" spans="1:16" ht="14.4" customHeight="1" x14ac:dyDescent="0.3">
      <c r="A982" s="5">
        <v>990</v>
      </c>
      <c r="B982" s="5" t="s">
        <v>2144</v>
      </c>
      <c r="C982" s="5" t="s">
        <v>2166</v>
      </c>
      <c r="D982" s="5" t="s">
        <v>262</v>
      </c>
      <c r="E982" s="5" t="s">
        <v>262</v>
      </c>
      <c r="F982" s="5">
        <v>57790742</v>
      </c>
      <c r="G982" s="5" t="s">
        <v>16</v>
      </c>
      <c r="H982" s="7">
        <v>45844</v>
      </c>
      <c r="I982" s="7">
        <v>45845</v>
      </c>
      <c r="J982" s="8">
        <v>150</v>
      </c>
      <c r="K982" s="7">
        <v>45870</v>
      </c>
      <c r="L982" s="5"/>
      <c r="P982" s="23"/>
    </row>
    <row r="983" spans="1:16" ht="14.4" customHeight="1" x14ac:dyDescent="0.3">
      <c r="A983" s="5">
        <v>992</v>
      </c>
      <c r="B983" s="5" t="s">
        <v>2148</v>
      </c>
      <c r="C983" s="5" t="s">
        <v>2149</v>
      </c>
      <c r="D983" s="5" t="s">
        <v>2150</v>
      </c>
      <c r="E983" s="5" t="s">
        <v>101</v>
      </c>
      <c r="F983" s="5">
        <v>57388692</v>
      </c>
      <c r="G983" s="5" t="s">
        <v>16</v>
      </c>
      <c r="H983" s="7">
        <v>45844</v>
      </c>
      <c r="I983" s="7">
        <v>45845</v>
      </c>
      <c r="J983" s="8">
        <v>150</v>
      </c>
      <c r="K983" s="7">
        <v>45870</v>
      </c>
      <c r="L983" s="5"/>
      <c r="P983" s="23"/>
    </row>
    <row r="984" spans="1:16" ht="14.4" customHeight="1" x14ac:dyDescent="0.3">
      <c r="A984" s="5">
        <v>993</v>
      </c>
      <c r="B984" s="5" t="s">
        <v>2151</v>
      </c>
      <c r="C984" s="5" t="s">
        <v>2152</v>
      </c>
      <c r="D984" s="5" t="s">
        <v>155</v>
      </c>
      <c r="E984" s="5" t="s">
        <v>155</v>
      </c>
      <c r="F984" s="5">
        <v>57720608</v>
      </c>
      <c r="G984" s="5" t="s">
        <v>16</v>
      </c>
      <c r="H984" s="7">
        <v>45844</v>
      </c>
      <c r="I984" s="7">
        <v>45845</v>
      </c>
      <c r="J984" s="8">
        <v>150</v>
      </c>
      <c r="K984" s="7">
        <v>45870</v>
      </c>
      <c r="L984" s="5"/>
      <c r="P984" s="23"/>
    </row>
    <row r="985" spans="1:16" ht="14.4" customHeight="1" x14ac:dyDescent="0.3">
      <c r="A985" s="5">
        <v>994</v>
      </c>
      <c r="B985" s="5" t="s">
        <v>2153</v>
      </c>
      <c r="C985" s="5" t="s">
        <v>2154</v>
      </c>
      <c r="D985" s="5" t="s">
        <v>2155</v>
      </c>
      <c r="E985" s="5" t="s">
        <v>2155</v>
      </c>
      <c r="F985" s="5">
        <v>59028141</v>
      </c>
      <c r="G985" s="5" t="s">
        <v>16</v>
      </c>
      <c r="H985" s="7">
        <v>45844</v>
      </c>
      <c r="I985" s="7">
        <v>45845</v>
      </c>
      <c r="J985" s="8">
        <v>150</v>
      </c>
      <c r="K985" s="7">
        <v>45870</v>
      </c>
      <c r="L985" s="5"/>
      <c r="P985" s="23"/>
    </row>
    <row r="986" spans="1:16" ht="14.4" customHeight="1" x14ac:dyDescent="0.3">
      <c r="A986" s="5">
        <v>995</v>
      </c>
      <c r="B986" s="5" t="s">
        <v>2156</v>
      </c>
      <c r="C986" s="5" t="s">
        <v>2167</v>
      </c>
      <c r="D986" s="5" t="s">
        <v>368</v>
      </c>
      <c r="E986" s="5" t="s">
        <v>368</v>
      </c>
      <c r="F986" s="5">
        <v>52556562</v>
      </c>
      <c r="G986" s="5" t="s">
        <v>16</v>
      </c>
      <c r="H986" s="7">
        <v>45844</v>
      </c>
      <c r="I986" s="7">
        <v>45845</v>
      </c>
      <c r="J986" s="8">
        <v>150</v>
      </c>
      <c r="K986" s="7">
        <v>45870</v>
      </c>
      <c r="L986" s="5"/>
      <c r="P986" s="23"/>
    </row>
    <row r="987" spans="1:16" ht="14.4" customHeight="1" x14ac:dyDescent="0.3">
      <c r="A987" s="5">
        <v>996</v>
      </c>
      <c r="B987" s="5" t="s">
        <v>2157</v>
      </c>
      <c r="C987" s="5" t="s">
        <v>2168</v>
      </c>
      <c r="D987" s="5" t="s">
        <v>226</v>
      </c>
      <c r="E987" s="5" t="s">
        <v>226</v>
      </c>
      <c r="F987" s="5">
        <v>59035203</v>
      </c>
      <c r="G987" s="5" t="s">
        <v>16</v>
      </c>
      <c r="H987" s="7">
        <v>45844</v>
      </c>
      <c r="I987" s="7">
        <v>45845</v>
      </c>
      <c r="J987" s="8">
        <v>150</v>
      </c>
      <c r="K987" s="7">
        <v>45870</v>
      </c>
      <c r="L987" s="5"/>
      <c r="P987" s="23"/>
    </row>
    <row r="988" spans="1:16" ht="14.4" customHeight="1" x14ac:dyDescent="0.3">
      <c r="A988" s="5">
        <v>997</v>
      </c>
      <c r="B988" s="5" t="s">
        <v>2158</v>
      </c>
      <c r="C988" s="5" t="s">
        <v>2159</v>
      </c>
      <c r="D988" s="5" t="s">
        <v>155</v>
      </c>
      <c r="E988" s="5" t="s">
        <v>155</v>
      </c>
      <c r="F988" s="5">
        <v>59187728</v>
      </c>
      <c r="G988" s="5" t="s">
        <v>16</v>
      </c>
      <c r="H988" s="7">
        <v>45844</v>
      </c>
      <c r="I988" s="7">
        <v>45845</v>
      </c>
      <c r="J988" s="8">
        <v>150</v>
      </c>
      <c r="K988" s="7">
        <v>45870</v>
      </c>
      <c r="L988" s="5"/>
      <c r="P988" s="23"/>
    </row>
    <row r="989" spans="1:16" ht="14.4" customHeight="1" x14ac:dyDescent="0.3">
      <c r="A989" s="5">
        <v>998</v>
      </c>
      <c r="B989" s="5" t="s">
        <v>70</v>
      </c>
      <c r="C989" s="5" t="s">
        <v>71</v>
      </c>
      <c r="D989" s="5" t="s">
        <v>69</v>
      </c>
      <c r="E989" s="5" t="s">
        <v>69</v>
      </c>
      <c r="F989" s="5">
        <v>57095798</v>
      </c>
      <c r="G989" s="5" t="s">
        <v>16</v>
      </c>
      <c r="H989" s="7">
        <v>45844</v>
      </c>
      <c r="I989" s="7">
        <v>45845</v>
      </c>
      <c r="J989" s="8">
        <v>150</v>
      </c>
      <c r="K989" s="7">
        <v>45870</v>
      </c>
      <c r="L989" s="5"/>
      <c r="P989" s="23"/>
    </row>
    <row r="990" spans="1:16" ht="14.4" customHeight="1" x14ac:dyDescent="0.3">
      <c r="A990" s="5">
        <v>1000</v>
      </c>
      <c r="B990" s="5" t="s">
        <v>2175</v>
      </c>
      <c r="C990" s="5" t="s">
        <v>2171</v>
      </c>
      <c r="D990" s="5" t="s">
        <v>149</v>
      </c>
      <c r="E990" s="5" t="s">
        <v>149</v>
      </c>
      <c r="F990" s="5">
        <v>59860101</v>
      </c>
      <c r="G990" s="5" t="s">
        <v>16</v>
      </c>
      <c r="H990" s="7">
        <v>45844</v>
      </c>
      <c r="I990" s="7">
        <v>45845</v>
      </c>
      <c r="J990" s="8">
        <v>150</v>
      </c>
      <c r="K990" s="7">
        <v>45870</v>
      </c>
      <c r="L990" s="5"/>
      <c r="P990" s="23"/>
    </row>
    <row r="991" spans="1:16" ht="14.4" customHeight="1" x14ac:dyDescent="0.3">
      <c r="A991" s="5">
        <v>1001</v>
      </c>
      <c r="B991" s="5" t="s">
        <v>2176</v>
      </c>
      <c r="C991" s="5" t="s">
        <v>2172</v>
      </c>
      <c r="D991" s="5" t="s">
        <v>281</v>
      </c>
      <c r="E991" s="5" t="s">
        <v>368</v>
      </c>
      <c r="F991" s="5">
        <v>58286772</v>
      </c>
      <c r="G991" s="5" t="s">
        <v>16</v>
      </c>
      <c r="H991" s="7">
        <v>45844</v>
      </c>
      <c r="I991" s="7">
        <v>45845</v>
      </c>
      <c r="J991" s="8">
        <v>150</v>
      </c>
      <c r="K991" s="7">
        <v>45870</v>
      </c>
      <c r="L991" s="5"/>
      <c r="P991" s="23"/>
    </row>
    <row r="992" spans="1:16" ht="14.4" customHeight="1" x14ac:dyDescent="0.3">
      <c r="A992" s="5">
        <v>1002</v>
      </c>
      <c r="B992" s="5" t="s">
        <v>2177</v>
      </c>
      <c r="C992" s="5" t="s">
        <v>2173</v>
      </c>
      <c r="D992" s="5" t="s">
        <v>276</v>
      </c>
      <c r="E992" s="5" t="s">
        <v>276</v>
      </c>
      <c r="F992" s="5">
        <v>58263120</v>
      </c>
      <c r="G992" s="5" t="s">
        <v>16</v>
      </c>
      <c r="H992" s="7">
        <v>45844</v>
      </c>
      <c r="I992" s="7">
        <v>45845</v>
      </c>
      <c r="J992" s="8">
        <v>150</v>
      </c>
      <c r="K992" s="7">
        <v>45870</v>
      </c>
      <c r="L992" s="5"/>
      <c r="P992" s="23"/>
    </row>
    <row r="993" spans="1:16" ht="14.4" customHeight="1" x14ac:dyDescent="0.3">
      <c r="A993" s="5">
        <v>1003</v>
      </c>
      <c r="B993" s="5" t="s">
        <v>2178</v>
      </c>
      <c r="C993" s="5" t="s">
        <v>2174</v>
      </c>
      <c r="D993" s="5" t="s">
        <v>696</v>
      </c>
      <c r="E993" s="5" t="s">
        <v>696</v>
      </c>
      <c r="F993" s="5">
        <v>58123770</v>
      </c>
      <c r="G993" s="5" t="s">
        <v>16</v>
      </c>
      <c r="H993" s="7">
        <v>45844</v>
      </c>
      <c r="I993" s="7">
        <v>45845</v>
      </c>
      <c r="J993" s="8">
        <v>150</v>
      </c>
      <c r="K993" s="7">
        <v>45870</v>
      </c>
      <c r="L993" s="5"/>
      <c r="P993" s="23"/>
    </row>
    <row r="994" spans="1:16" ht="14.4" customHeight="1" x14ac:dyDescent="0.3">
      <c r="A994" s="5">
        <v>1004</v>
      </c>
      <c r="B994" s="5" t="s">
        <v>2179</v>
      </c>
      <c r="C994" s="5" t="s">
        <v>2180</v>
      </c>
      <c r="D994" s="5" t="s">
        <v>41</v>
      </c>
      <c r="E994" s="5" t="s">
        <v>41</v>
      </c>
      <c r="F994" s="5">
        <v>57533607</v>
      </c>
      <c r="G994" s="5" t="s">
        <v>963</v>
      </c>
      <c r="H994" s="7">
        <v>45845</v>
      </c>
      <c r="I994" s="7">
        <v>45845</v>
      </c>
      <c r="J994" s="8">
        <v>150</v>
      </c>
      <c r="K994" s="7">
        <v>45870</v>
      </c>
      <c r="L994" s="5"/>
      <c r="P994" s="23"/>
    </row>
    <row r="995" spans="1:16" ht="14.4" customHeight="1" x14ac:dyDescent="0.3">
      <c r="A995" s="5">
        <v>975</v>
      </c>
      <c r="B995" s="5" t="s">
        <v>88</v>
      </c>
      <c r="C995" s="5" t="s">
        <v>2121</v>
      </c>
      <c r="D995" s="5" t="s">
        <v>84</v>
      </c>
      <c r="E995" s="5" t="s">
        <v>84</v>
      </c>
      <c r="F995" s="5">
        <v>59019359</v>
      </c>
      <c r="G995" s="5" t="s">
        <v>16</v>
      </c>
      <c r="H995" s="7">
        <v>45844</v>
      </c>
      <c r="I995" s="7">
        <v>45848</v>
      </c>
      <c r="J995" s="8">
        <v>150</v>
      </c>
      <c r="K995" s="7">
        <v>45870</v>
      </c>
      <c r="L995" s="5"/>
      <c r="P995" s="23"/>
    </row>
    <row r="996" spans="1:16" ht="14.4" customHeight="1" x14ac:dyDescent="0.3">
      <c r="A996" s="5">
        <v>983</v>
      </c>
      <c r="B996" s="5" t="s">
        <v>2133</v>
      </c>
      <c r="C996" s="5" t="s">
        <v>2134</v>
      </c>
      <c r="D996" s="5" t="s">
        <v>84</v>
      </c>
      <c r="E996" s="5" t="s">
        <v>84</v>
      </c>
      <c r="F996" s="5">
        <v>57764673</v>
      </c>
      <c r="G996" s="5" t="s">
        <v>16</v>
      </c>
      <c r="H996" s="7">
        <v>45844</v>
      </c>
      <c r="I996" s="7">
        <v>45848</v>
      </c>
      <c r="J996" s="8">
        <v>150</v>
      </c>
      <c r="K996" s="7">
        <v>45870</v>
      </c>
      <c r="L996" s="5"/>
      <c r="P996" s="23"/>
    </row>
    <row r="997" spans="1:16" ht="14.4" customHeight="1" x14ac:dyDescent="0.3">
      <c r="A997" s="5">
        <v>991</v>
      </c>
      <c r="B997" s="5" t="s">
        <v>2145</v>
      </c>
      <c r="C997" s="5" t="s">
        <v>2146</v>
      </c>
      <c r="D997" s="5" t="s">
        <v>2147</v>
      </c>
      <c r="E997" s="5" t="s">
        <v>2147</v>
      </c>
      <c r="F997" s="5">
        <v>59464329</v>
      </c>
      <c r="G997" s="5" t="s">
        <v>16</v>
      </c>
      <c r="H997" s="7">
        <v>45844</v>
      </c>
      <c r="I997" s="7">
        <v>45848</v>
      </c>
      <c r="J997" s="8">
        <v>150</v>
      </c>
      <c r="K997" s="7">
        <v>45870</v>
      </c>
      <c r="L997" s="5"/>
      <c r="P997" s="23"/>
    </row>
    <row r="998" spans="1:16" ht="14.4" customHeight="1" x14ac:dyDescent="0.3">
      <c r="A998" s="5">
        <v>1005</v>
      </c>
      <c r="B998" s="5" t="s">
        <v>2262</v>
      </c>
      <c r="C998" s="5" t="s">
        <v>2263</v>
      </c>
      <c r="D998" s="5" t="s">
        <v>259</v>
      </c>
      <c r="E998" s="5" t="s">
        <v>259</v>
      </c>
      <c r="F998" s="6">
        <v>57528785</v>
      </c>
      <c r="G998" s="5" t="s">
        <v>963</v>
      </c>
      <c r="H998" s="7">
        <v>45848</v>
      </c>
      <c r="I998" s="7">
        <v>45848</v>
      </c>
      <c r="J998" s="8">
        <v>150</v>
      </c>
      <c r="K998" s="7">
        <v>45870</v>
      </c>
      <c r="L998" s="5" t="s">
        <v>2264</v>
      </c>
      <c r="P998" s="23"/>
    </row>
    <row r="999" spans="1:16" ht="14.4" customHeight="1" x14ac:dyDescent="0.3">
      <c r="A999" s="5">
        <v>1006</v>
      </c>
      <c r="B999" s="5" t="s">
        <v>2265</v>
      </c>
      <c r="C999" s="5" t="s">
        <v>2266</v>
      </c>
      <c r="D999" s="5" t="s">
        <v>2267</v>
      </c>
      <c r="E999" s="5" t="s">
        <v>2267</v>
      </c>
      <c r="F999" s="5" t="s">
        <v>2268</v>
      </c>
      <c r="G999" s="5" t="s">
        <v>963</v>
      </c>
      <c r="H999" s="7">
        <v>45848</v>
      </c>
      <c r="I999" s="7">
        <v>45848</v>
      </c>
      <c r="J999" s="8">
        <v>150</v>
      </c>
      <c r="K999" s="7">
        <v>45870</v>
      </c>
      <c r="L999" s="5" t="s">
        <v>2269</v>
      </c>
      <c r="P999" s="23"/>
    </row>
    <row r="1000" spans="1:16" ht="14.4" customHeight="1" x14ac:dyDescent="0.3">
      <c r="A1000" s="5">
        <v>1007</v>
      </c>
      <c r="B1000" s="5" t="s">
        <v>2181</v>
      </c>
      <c r="C1000" s="5" t="s">
        <v>2182</v>
      </c>
      <c r="D1000" s="5" t="s">
        <v>41</v>
      </c>
      <c r="E1000" s="5" t="s">
        <v>41</v>
      </c>
      <c r="F1000" s="5">
        <v>57011798</v>
      </c>
      <c r="G1000" s="5" t="s">
        <v>16</v>
      </c>
      <c r="H1000" s="7">
        <v>45847</v>
      </c>
      <c r="I1000" s="7">
        <v>45848</v>
      </c>
      <c r="J1000" s="8">
        <v>150</v>
      </c>
      <c r="K1000" s="7">
        <v>45870</v>
      </c>
      <c r="L1000" s="5"/>
      <c r="P1000" s="23"/>
    </row>
    <row r="1001" spans="1:16" ht="14.4" customHeight="1" x14ac:dyDescent="0.3">
      <c r="A1001" s="5">
        <v>1008</v>
      </c>
      <c r="B1001" s="5" t="s">
        <v>698</v>
      </c>
      <c r="C1001" s="5" t="s">
        <v>699</v>
      </c>
      <c r="D1001" s="5" t="s">
        <v>700</v>
      </c>
      <c r="E1001" s="5" t="s">
        <v>77</v>
      </c>
      <c r="F1001" s="5">
        <v>58304085</v>
      </c>
      <c r="G1001" s="5" t="s">
        <v>16</v>
      </c>
      <c r="H1001" s="7">
        <v>45847</v>
      </c>
      <c r="I1001" s="7">
        <v>45848</v>
      </c>
      <c r="J1001" s="8">
        <v>150</v>
      </c>
      <c r="K1001" s="7">
        <v>45870</v>
      </c>
      <c r="L1001" s="5"/>
      <c r="P1001" s="23"/>
    </row>
    <row r="1002" spans="1:16" ht="14.4" customHeight="1" x14ac:dyDescent="0.3">
      <c r="A1002" s="5">
        <v>1009</v>
      </c>
      <c r="B1002" s="5" t="s">
        <v>1001</v>
      </c>
      <c r="C1002" s="5" t="s">
        <v>1002</v>
      </c>
      <c r="D1002" s="5" t="s">
        <v>1003</v>
      </c>
      <c r="E1002" s="5" t="s">
        <v>223</v>
      </c>
      <c r="F1002" s="5">
        <v>58205520</v>
      </c>
      <c r="G1002" s="5" t="s">
        <v>16</v>
      </c>
      <c r="H1002" s="7">
        <v>45847</v>
      </c>
      <c r="I1002" s="7">
        <v>45848</v>
      </c>
      <c r="J1002" s="8">
        <v>150</v>
      </c>
      <c r="K1002" s="7">
        <v>45870</v>
      </c>
      <c r="L1002" s="5"/>
      <c r="P1002" s="23"/>
    </row>
    <row r="1003" spans="1:16" ht="14.4" customHeight="1" x14ac:dyDescent="0.3">
      <c r="A1003" s="5">
        <v>1010</v>
      </c>
      <c r="B1003" s="5" t="s">
        <v>2183</v>
      </c>
      <c r="C1003" s="5" t="s">
        <v>2184</v>
      </c>
      <c r="D1003" s="5" t="s">
        <v>1279</v>
      </c>
      <c r="E1003" s="5" t="s">
        <v>1279</v>
      </c>
      <c r="F1003" s="5">
        <v>58886270</v>
      </c>
      <c r="G1003" s="5" t="s">
        <v>16</v>
      </c>
      <c r="H1003" s="7">
        <v>45847</v>
      </c>
      <c r="I1003" s="7">
        <v>45848</v>
      </c>
      <c r="J1003" s="8">
        <v>150</v>
      </c>
      <c r="K1003" s="7">
        <v>45870</v>
      </c>
      <c r="L1003" s="5"/>
      <c r="P1003" s="23"/>
    </row>
    <row r="1004" spans="1:16" ht="14.4" customHeight="1" x14ac:dyDescent="0.3">
      <c r="A1004" s="5">
        <v>1011</v>
      </c>
      <c r="B1004" s="5" t="s">
        <v>2185</v>
      </c>
      <c r="C1004" s="5" t="s">
        <v>2186</v>
      </c>
      <c r="D1004" s="5" t="s">
        <v>696</v>
      </c>
      <c r="E1004" s="5" t="s">
        <v>696</v>
      </c>
      <c r="F1004" s="5">
        <v>57876812</v>
      </c>
      <c r="G1004" s="5" t="s">
        <v>16</v>
      </c>
      <c r="H1004" s="7">
        <v>45847</v>
      </c>
      <c r="I1004" s="7">
        <v>45848</v>
      </c>
      <c r="J1004" s="8">
        <v>150</v>
      </c>
      <c r="K1004" s="7">
        <v>45870</v>
      </c>
      <c r="L1004" s="5"/>
      <c r="P1004" s="23"/>
    </row>
    <row r="1005" spans="1:16" ht="14.4" customHeight="1" x14ac:dyDescent="0.3">
      <c r="A1005" s="5">
        <v>1012</v>
      </c>
      <c r="B1005" s="5" t="s">
        <v>2187</v>
      </c>
      <c r="C1005" s="5" t="s">
        <v>2188</v>
      </c>
      <c r="D1005" s="5" t="s">
        <v>226</v>
      </c>
      <c r="E1005" s="5" t="s">
        <v>226</v>
      </c>
      <c r="F1005" s="5">
        <v>57544700</v>
      </c>
      <c r="G1005" s="5" t="s">
        <v>16</v>
      </c>
      <c r="H1005" s="7">
        <v>45847</v>
      </c>
      <c r="I1005" s="7">
        <v>45848</v>
      </c>
      <c r="J1005" s="8">
        <v>150</v>
      </c>
      <c r="K1005" s="7">
        <v>45870</v>
      </c>
      <c r="L1005" s="5"/>
      <c r="P1005" s="23"/>
    </row>
    <row r="1006" spans="1:16" ht="14.4" customHeight="1" x14ac:dyDescent="0.3">
      <c r="A1006" s="5">
        <v>1013</v>
      </c>
      <c r="B1006" s="5" t="s">
        <v>2191</v>
      </c>
      <c r="C1006" s="5" t="s">
        <v>2192</v>
      </c>
      <c r="D1006" s="5" t="s">
        <v>2193</v>
      </c>
      <c r="E1006" s="5" t="s">
        <v>2193</v>
      </c>
      <c r="F1006" s="5">
        <v>52561636</v>
      </c>
      <c r="G1006" s="5" t="s">
        <v>16</v>
      </c>
      <c r="H1006" s="7">
        <v>45847</v>
      </c>
      <c r="I1006" s="7">
        <v>45848</v>
      </c>
      <c r="J1006" s="8">
        <v>150</v>
      </c>
      <c r="K1006" s="7">
        <v>45870</v>
      </c>
      <c r="L1006" s="5"/>
      <c r="P1006" s="23"/>
    </row>
    <row r="1007" spans="1:16" ht="14.4" customHeight="1" x14ac:dyDescent="0.3">
      <c r="A1007" s="5">
        <v>1014</v>
      </c>
      <c r="B1007" s="5" t="s">
        <v>180</v>
      </c>
      <c r="C1007" s="5" t="s">
        <v>2194</v>
      </c>
      <c r="D1007" s="5" t="s">
        <v>1597</v>
      </c>
      <c r="E1007" s="5" t="s">
        <v>149</v>
      </c>
      <c r="F1007" s="5">
        <v>57060726</v>
      </c>
      <c r="G1007" s="5" t="s">
        <v>16</v>
      </c>
      <c r="H1007" s="7">
        <v>45847</v>
      </c>
      <c r="I1007" s="7">
        <v>45848</v>
      </c>
      <c r="J1007" s="8">
        <v>150</v>
      </c>
      <c r="K1007" s="7">
        <v>45870</v>
      </c>
      <c r="L1007" s="5"/>
      <c r="P1007" s="23"/>
    </row>
    <row r="1008" spans="1:16" ht="14.4" customHeight="1" x14ac:dyDescent="0.3">
      <c r="A1008" s="5">
        <v>1015</v>
      </c>
      <c r="B1008" s="5" t="s">
        <v>2195</v>
      </c>
      <c r="C1008" s="5" t="s">
        <v>2196</v>
      </c>
      <c r="D1008" s="5" t="s">
        <v>49</v>
      </c>
      <c r="E1008" s="5" t="s">
        <v>49</v>
      </c>
      <c r="F1008" s="5">
        <v>58326318</v>
      </c>
      <c r="G1008" s="5" t="s">
        <v>16</v>
      </c>
      <c r="H1008" s="7">
        <v>45847</v>
      </c>
      <c r="I1008" s="7">
        <v>45848</v>
      </c>
      <c r="J1008" s="8">
        <v>150</v>
      </c>
      <c r="K1008" s="7">
        <v>45870</v>
      </c>
      <c r="L1008" s="5"/>
      <c r="P1008" s="23"/>
    </row>
    <row r="1009" spans="1:16" ht="14.4" customHeight="1" x14ac:dyDescent="0.3">
      <c r="A1009" s="5">
        <v>1016</v>
      </c>
      <c r="B1009" s="5" t="s">
        <v>2197</v>
      </c>
      <c r="C1009" s="5" t="s">
        <v>2198</v>
      </c>
      <c r="D1009" s="5" t="s">
        <v>101</v>
      </c>
      <c r="E1009" s="5" t="s">
        <v>101</v>
      </c>
      <c r="F1009" s="5">
        <v>58264125</v>
      </c>
      <c r="G1009" s="5" t="s">
        <v>16</v>
      </c>
      <c r="H1009" s="7">
        <v>45847</v>
      </c>
      <c r="I1009" s="7">
        <v>45848</v>
      </c>
      <c r="J1009" s="8">
        <v>150</v>
      </c>
      <c r="K1009" s="7">
        <v>45870</v>
      </c>
      <c r="L1009" s="5"/>
      <c r="P1009" s="23"/>
    </row>
    <row r="1010" spans="1:16" ht="14.4" customHeight="1" x14ac:dyDescent="0.3">
      <c r="A1010" s="5">
        <v>1017</v>
      </c>
      <c r="B1010" s="5" t="s">
        <v>415</v>
      </c>
      <c r="C1010" s="5" t="s">
        <v>1093</v>
      </c>
      <c r="D1010" s="5" t="s">
        <v>27</v>
      </c>
      <c r="E1010" s="5" t="s">
        <v>27</v>
      </c>
      <c r="F1010" s="5">
        <v>57144639</v>
      </c>
      <c r="G1010" s="5" t="s">
        <v>16</v>
      </c>
      <c r="H1010" s="7">
        <v>45847</v>
      </c>
      <c r="I1010" s="7">
        <v>45848</v>
      </c>
      <c r="J1010" s="8">
        <v>150</v>
      </c>
      <c r="K1010" s="7">
        <v>45870</v>
      </c>
      <c r="L1010" s="5"/>
      <c r="P1010" s="23"/>
    </row>
    <row r="1011" spans="1:16" ht="14.4" customHeight="1" x14ac:dyDescent="0.3">
      <c r="A1011" s="5">
        <v>1018</v>
      </c>
      <c r="B1011" s="5" t="s">
        <v>2199</v>
      </c>
      <c r="C1011" s="5" t="s">
        <v>2200</v>
      </c>
      <c r="D1011" s="5" t="s">
        <v>923</v>
      </c>
      <c r="E1011" s="5" t="s">
        <v>923</v>
      </c>
      <c r="F1011" s="5">
        <v>57621560</v>
      </c>
      <c r="G1011" s="5" t="s">
        <v>16</v>
      </c>
      <c r="H1011" s="7">
        <v>45847</v>
      </c>
      <c r="I1011" s="7">
        <v>45848</v>
      </c>
      <c r="J1011" s="8">
        <v>150</v>
      </c>
      <c r="K1011" s="7">
        <v>45870</v>
      </c>
      <c r="L1011" s="5"/>
      <c r="P1011" s="23"/>
    </row>
    <row r="1012" spans="1:16" ht="14.4" customHeight="1" x14ac:dyDescent="0.3">
      <c r="A1012" s="5">
        <v>1019</v>
      </c>
      <c r="B1012" s="5" t="s">
        <v>2201</v>
      </c>
      <c r="C1012" s="5" t="s">
        <v>2202</v>
      </c>
      <c r="D1012" s="5" t="s">
        <v>475</v>
      </c>
      <c r="E1012" s="5" t="s">
        <v>475</v>
      </c>
      <c r="F1012" s="5">
        <v>52573592</v>
      </c>
      <c r="G1012" s="5" t="s">
        <v>16</v>
      </c>
      <c r="H1012" s="7">
        <v>45847</v>
      </c>
      <c r="I1012" s="7">
        <v>45848</v>
      </c>
      <c r="J1012" s="8">
        <v>150</v>
      </c>
      <c r="K1012" s="7">
        <v>45870</v>
      </c>
      <c r="L1012" s="5"/>
      <c r="P1012" s="23"/>
    </row>
    <row r="1013" spans="1:16" ht="14.4" customHeight="1" x14ac:dyDescent="0.3">
      <c r="A1013" s="5">
        <v>1020</v>
      </c>
      <c r="B1013" s="5" t="s">
        <v>2203</v>
      </c>
      <c r="C1013" s="5" t="s">
        <v>2204</v>
      </c>
      <c r="D1013" s="5" t="s">
        <v>74</v>
      </c>
      <c r="E1013" s="5" t="s">
        <v>74</v>
      </c>
      <c r="F1013" s="5">
        <v>59283704</v>
      </c>
      <c r="G1013" s="5" t="s">
        <v>16</v>
      </c>
      <c r="H1013" s="7">
        <v>45847</v>
      </c>
      <c r="I1013" s="7">
        <v>45848</v>
      </c>
      <c r="J1013" s="8">
        <v>150</v>
      </c>
      <c r="K1013" s="7">
        <v>45870</v>
      </c>
      <c r="L1013" s="5"/>
      <c r="P1013" s="23"/>
    </row>
    <row r="1014" spans="1:16" ht="14.4" customHeight="1" x14ac:dyDescent="0.3">
      <c r="A1014" s="5">
        <v>1021</v>
      </c>
      <c r="B1014" s="5" t="s">
        <v>2205</v>
      </c>
      <c r="C1014" s="5" t="s">
        <v>2206</v>
      </c>
      <c r="D1014" s="5" t="s">
        <v>2207</v>
      </c>
      <c r="E1014" s="5" t="s">
        <v>226</v>
      </c>
      <c r="F1014" s="5">
        <v>59222456</v>
      </c>
      <c r="G1014" s="5" t="s">
        <v>16</v>
      </c>
      <c r="H1014" s="7">
        <v>45847</v>
      </c>
      <c r="I1014" s="7">
        <v>45848</v>
      </c>
      <c r="J1014" s="8">
        <v>150</v>
      </c>
      <c r="K1014" s="7">
        <v>45870</v>
      </c>
      <c r="L1014" s="5"/>
      <c r="P1014" s="23"/>
    </row>
    <row r="1015" spans="1:16" ht="14.4" customHeight="1" x14ac:dyDescent="0.3">
      <c r="A1015" s="5">
        <v>1022</v>
      </c>
      <c r="B1015" s="5" t="s">
        <v>2208</v>
      </c>
      <c r="C1015" s="5" t="s">
        <v>2209</v>
      </c>
      <c r="D1015" s="5" t="s">
        <v>144</v>
      </c>
      <c r="E1015" s="5" t="s">
        <v>144</v>
      </c>
      <c r="F1015" s="5">
        <v>59183002</v>
      </c>
      <c r="G1015" s="5" t="s">
        <v>16</v>
      </c>
      <c r="H1015" s="7">
        <v>45847</v>
      </c>
      <c r="I1015" s="7">
        <v>45848</v>
      </c>
      <c r="J1015" s="8">
        <v>150</v>
      </c>
      <c r="K1015" s="7">
        <v>45870</v>
      </c>
      <c r="L1015" s="5"/>
      <c r="P1015" s="23"/>
    </row>
    <row r="1016" spans="1:16" ht="14.4" customHeight="1" x14ac:dyDescent="0.3">
      <c r="A1016" s="5">
        <v>1023</v>
      </c>
      <c r="B1016" s="5" t="s">
        <v>2210</v>
      </c>
      <c r="C1016" s="5" t="s">
        <v>2211</v>
      </c>
      <c r="D1016" s="5" t="s">
        <v>49</v>
      </c>
      <c r="E1016" s="5" t="s">
        <v>49</v>
      </c>
      <c r="F1016" s="5">
        <v>59219343</v>
      </c>
      <c r="G1016" s="5" t="s">
        <v>16</v>
      </c>
      <c r="H1016" s="7">
        <v>45847</v>
      </c>
      <c r="I1016" s="7">
        <v>45848</v>
      </c>
      <c r="J1016" s="8">
        <v>150</v>
      </c>
      <c r="K1016" s="7">
        <v>45870</v>
      </c>
      <c r="L1016" s="5"/>
      <c r="P1016" s="23"/>
    </row>
    <row r="1017" spans="1:16" ht="14.4" customHeight="1" x14ac:dyDescent="0.3">
      <c r="A1017" s="5">
        <v>1024</v>
      </c>
      <c r="B1017" s="5" t="s">
        <v>2212</v>
      </c>
      <c r="C1017" s="5" t="s">
        <v>1310</v>
      </c>
      <c r="D1017" s="5" t="s">
        <v>49</v>
      </c>
      <c r="E1017" s="5" t="s">
        <v>49</v>
      </c>
      <c r="F1017" s="5">
        <v>58046751</v>
      </c>
      <c r="G1017" s="5" t="s">
        <v>16</v>
      </c>
      <c r="H1017" s="7">
        <v>45847</v>
      </c>
      <c r="I1017" s="7">
        <v>45848</v>
      </c>
      <c r="J1017" s="8">
        <v>150</v>
      </c>
      <c r="K1017" s="7">
        <v>45870</v>
      </c>
      <c r="L1017" s="5"/>
      <c r="P1017" s="23"/>
    </row>
    <row r="1018" spans="1:16" ht="14.4" customHeight="1" x14ac:dyDescent="0.3">
      <c r="A1018" s="5">
        <v>1025</v>
      </c>
      <c r="B1018" s="5" t="s">
        <v>2213</v>
      </c>
      <c r="C1018" s="5" t="s">
        <v>2214</v>
      </c>
      <c r="D1018" s="5" t="s">
        <v>23</v>
      </c>
      <c r="E1018" s="5" t="s">
        <v>23</v>
      </c>
      <c r="F1018" s="5">
        <v>59170039</v>
      </c>
      <c r="G1018" s="5" t="s">
        <v>16</v>
      </c>
      <c r="H1018" s="7">
        <v>45847</v>
      </c>
      <c r="I1018" s="7">
        <v>45848</v>
      </c>
      <c r="J1018" s="8">
        <v>150</v>
      </c>
      <c r="K1018" s="7">
        <v>45870</v>
      </c>
      <c r="L1018" s="5"/>
      <c r="P1018" s="23"/>
    </row>
    <row r="1019" spans="1:16" ht="14.4" customHeight="1" x14ac:dyDescent="0.3">
      <c r="A1019" s="5">
        <v>1026</v>
      </c>
      <c r="B1019" s="5" t="s">
        <v>2215</v>
      </c>
      <c r="C1019" s="5" t="s">
        <v>2216</v>
      </c>
      <c r="D1019" s="5" t="s">
        <v>226</v>
      </c>
      <c r="E1019" s="5" t="s">
        <v>226</v>
      </c>
      <c r="F1019" s="5">
        <v>57887281</v>
      </c>
      <c r="G1019" s="5" t="s">
        <v>16</v>
      </c>
      <c r="H1019" s="7">
        <v>45847</v>
      </c>
      <c r="I1019" s="7">
        <v>45848</v>
      </c>
      <c r="J1019" s="8">
        <v>150</v>
      </c>
      <c r="K1019" s="7">
        <v>45870</v>
      </c>
      <c r="L1019" s="5"/>
      <c r="P1019" s="23"/>
    </row>
    <row r="1020" spans="1:16" ht="14.4" customHeight="1" x14ac:dyDescent="0.3">
      <c r="A1020" s="5">
        <v>1027</v>
      </c>
      <c r="B1020" s="5" t="s">
        <v>2217</v>
      </c>
      <c r="C1020" s="5" t="s">
        <v>2218</v>
      </c>
      <c r="D1020" s="5" t="s">
        <v>2219</v>
      </c>
      <c r="E1020" s="5" t="s">
        <v>84</v>
      </c>
      <c r="F1020" s="5">
        <v>58136570</v>
      </c>
      <c r="G1020" s="5" t="s">
        <v>16</v>
      </c>
      <c r="H1020" s="7">
        <v>45847</v>
      </c>
      <c r="I1020" s="7">
        <v>45848</v>
      </c>
      <c r="J1020" s="8">
        <v>150</v>
      </c>
      <c r="K1020" s="7">
        <v>45870</v>
      </c>
      <c r="L1020" s="5"/>
      <c r="P1020" s="23"/>
    </row>
    <row r="1021" spans="1:16" ht="14.4" customHeight="1" x14ac:dyDescent="0.3">
      <c r="A1021" s="5">
        <v>1028</v>
      </c>
      <c r="B1021" s="5" t="s">
        <v>2220</v>
      </c>
      <c r="C1021" s="5" t="s">
        <v>2221</v>
      </c>
      <c r="D1021" s="5" t="s">
        <v>84</v>
      </c>
      <c r="E1021" s="5" t="s">
        <v>84</v>
      </c>
      <c r="F1021" s="5">
        <v>58339743</v>
      </c>
      <c r="G1021" s="5" t="s">
        <v>16</v>
      </c>
      <c r="H1021" s="7">
        <v>45847</v>
      </c>
      <c r="I1021" s="7">
        <v>45848</v>
      </c>
      <c r="J1021" s="8">
        <v>150</v>
      </c>
      <c r="K1021" s="7">
        <v>45870</v>
      </c>
      <c r="L1021" s="5"/>
      <c r="P1021" s="23"/>
    </row>
    <row r="1022" spans="1:16" ht="14.4" customHeight="1" x14ac:dyDescent="0.3">
      <c r="A1022" s="5">
        <v>1029</v>
      </c>
      <c r="B1022" s="5" t="s">
        <v>2222</v>
      </c>
      <c r="C1022" s="5" t="s">
        <v>2223</v>
      </c>
      <c r="D1022" s="5" t="s">
        <v>986</v>
      </c>
      <c r="E1022" s="5" t="s">
        <v>986</v>
      </c>
      <c r="F1022" s="5">
        <v>57020668</v>
      </c>
      <c r="G1022" s="5" t="s">
        <v>16</v>
      </c>
      <c r="H1022" s="7">
        <v>45847</v>
      </c>
      <c r="I1022" s="7">
        <v>45848</v>
      </c>
      <c r="J1022" s="8">
        <v>150</v>
      </c>
      <c r="K1022" s="7">
        <v>45870</v>
      </c>
      <c r="L1022" s="5"/>
      <c r="P1022" s="23"/>
    </row>
    <row r="1023" spans="1:16" ht="14.4" customHeight="1" x14ac:dyDescent="0.3">
      <c r="A1023" s="5">
        <v>1030</v>
      </c>
      <c r="B1023" s="5" t="s">
        <v>2224</v>
      </c>
      <c r="C1023" s="5" t="s">
        <v>1821</v>
      </c>
      <c r="D1023" s="5" t="s">
        <v>546</v>
      </c>
      <c r="E1023" s="5" t="s">
        <v>546</v>
      </c>
      <c r="F1023" s="5">
        <v>57440151</v>
      </c>
      <c r="G1023" s="5" t="s">
        <v>16</v>
      </c>
      <c r="H1023" s="7">
        <v>45847</v>
      </c>
      <c r="I1023" s="7">
        <v>45848</v>
      </c>
      <c r="J1023" s="8">
        <v>150</v>
      </c>
      <c r="K1023" s="7">
        <v>45870</v>
      </c>
      <c r="L1023" s="5"/>
      <c r="P1023" s="23"/>
    </row>
    <row r="1024" spans="1:16" ht="14.4" customHeight="1" x14ac:dyDescent="0.3">
      <c r="A1024" s="5">
        <v>1031</v>
      </c>
      <c r="B1024" s="5" t="s">
        <v>2225</v>
      </c>
      <c r="C1024" s="5" t="s">
        <v>2226</v>
      </c>
      <c r="D1024" s="5" t="s">
        <v>27</v>
      </c>
      <c r="E1024" s="5" t="s">
        <v>27</v>
      </c>
      <c r="F1024" s="5">
        <v>59339423</v>
      </c>
      <c r="G1024" s="5" t="s">
        <v>16</v>
      </c>
      <c r="H1024" s="7">
        <v>45847</v>
      </c>
      <c r="I1024" s="7">
        <v>45848</v>
      </c>
      <c r="J1024" s="8">
        <v>150</v>
      </c>
      <c r="K1024" s="7">
        <v>45870</v>
      </c>
      <c r="L1024" s="5"/>
      <c r="P1024" s="23"/>
    </row>
    <row r="1025" spans="1:16" ht="14.4" customHeight="1" x14ac:dyDescent="0.3">
      <c r="A1025" s="5">
        <v>1032</v>
      </c>
      <c r="B1025" s="5" t="s">
        <v>2227</v>
      </c>
      <c r="C1025" s="5" t="s">
        <v>2228</v>
      </c>
      <c r="D1025" s="5" t="s">
        <v>149</v>
      </c>
      <c r="E1025" s="5" t="s">
        <v>149</v>
      </c>
      <c r="F1025" s="5">
        <v>57801860</v>
      </c>
      <c r="G1025" s="5" t="s">
        <v>16</v>
      </c>
      <c r="H1025" s="7">
        <v>45847</v>
      </c>
      <c r="I1025" s="7">
        <v>45848</v>
      </c>
      <c r="J1025" s="8">
        <v>150</v>
      </c>
      <c r="K1025" s="7">
        <v>45870</v>
      </c>
      <c r="L1025" s="5"/>
      <c r="P1025" s="23"/>
    </row>
    <row r="1026" spans="1:16" ht="14.4" customHeight="1" x14ac:dyDescent="0.3">
      <c r="A1026" s="5">
        <v>1033</v>
      </c>
      <c r="B1026" s="5" t="s">
        <v>2229</v>
      </c>
      <c r="C1026" s="5" t="s">
        <v>2230</v>
      </c>
      <c r="D1026" s="5" t="s">
        <v>63</v>
      </c>
      <c r="E1026" s="5" t="s">
        <v>63</v>
      </c>
      <c r="F1026" s="5">
        <v>57494415</v>
      </c>
      <c r="G1026" s="5" t="s">
        <v>16</v>
      </c>
      <c r="H1026" s="7">
        <v>45847</v>
      </c>
      <c r="I1026" s="7">
        <v>45848</v>
      </c>
      <c r="J1026" s="8">
        <v>150</v>
      </c>
      <c r="K1026" s="7">
        <v>45870</v>
      </c>
      <c r="L1026" s="5"/>
      <c r="P1026" s="23"/>
    </row>
    <row r="1027" spans="1:16" ht="14.4" customHeight="1" x14ac:dyDescent="0.3">
      <c r="A1027" s="5">
        <v>1034</v>
      </c>
      <c r="B1027" s="5" t="s">
        <v>2231</v>
      </c>
      <c r="C1027" s="5" t="s">
        <v>2232</v>
      </c>
      <c r="D1027" s="5" t="s">
        <v>27</v>
      </c>
      <c r="E1027" s="5" t="s">
        <v>27</v>
      </c>
      <c r="F1027" s="5">
        <v>57933212</v>
      </c>
      <c r="G1027" s="5" t="s">
        <v>16</v>
      </c>
      <c r="H1027" s="7">
        <v>45847</v>
      </c>
      <c r="I1027" s="7">
        <v>45848</v>
      </c>
      <c r="J1027" s="8">
        <v>150</v>
      </c>
      <c r="K1027" s="7">
        <v>45870</v>
      </c>
      <c r="L1027" s="5"/>
      <c r="P1027" s="23"/>
    </row>
    <row r="1028" spans="1:16" ht="14.4" customHeight="1" x14ac:dyDescent="0.3">
      <c r="A1028" s="5">
        <v>1035</v>
      </c>
      <c r="B1028" s="5" t="s">
        <v>2233</v>
      </c>
      <c r="C1028" s="5" t="s">
        <v>2234</v>
      </c>
      <c r="D1028" s="5" t="s">
        <v>696</v>
      </c>
      <c r="E1028" s="5" t="s">
        <v>696</v>
      </c>
      <c r="F1028" s="5">
        <v>59880860</v>
      </c>
      <c r="G1028" s="5" t="s">
        <v>16</v>
      </c>
      <c r="H1028" s="7">
        <v>45847</v>
      </c>
      <c r="I1028" s="7">
        <v>45848</v>
      </c>
      <c r="J1028" s="8">
        <v>150</v>
      </c>
      <c r="K1028" s="7">
        <v>45870</v>
      </c>
      <c r="L1028" s="5"/>
      <c r="P1028" s="23"/>
    </row>
    <row r="1029" spans="1:16" ht="14.4" customHeight="1" x14ac:dyDescent="0.3">
      <c r="A1029" s="5">
        <v>1036</v>
      </c>
      <c r="B1029" s="5" t="s">
        <v>2235</v>
      </c>
      <c r="C1029" s="5" t="s">
        <v>2236</v>
      </c>
      <c r="D1029" s="5" t="s">
        <v>84</v>
      </c>
      <c r="E1029" s="5" t="s">
        <v>84</v>
      </c>
      <c r="F1029" s="5">
        <v>59235230</v>
      </c>
      <c r="G1029" s="5" t="s">
        <v>16</v>
      </c>
      <c r="H1029" s="7">
        <v>45847</v>
      </c>
      <c r="I1029" s="7">
        <v>45848</v>
      </c>
      <c r="J1029" s="8">
        <v>150</v>
      </c>
      <c r="K1029" s="7">
        <v>45870</v>
      </c>
      <c r="L1029" s="5"/>
      <c r="P1029" s="23"/>
    </row>
    <row r="1030" spans="1:16" ht="14.4" customHeight="1" x14ac:dyDescent="0.3">
      <c r="A1030" s="5">
        <v>1037</v>
      </c>
      <c r="B1030" s="5" t="s">
        <v>2237</v>
      </c>
      <c r="C1030" s="5" t="s">
        <v>2238</v>
      </c>
      <c r="D1030" s="5" t="s">
        <v>111</v>
      </c>
      <c r="E1030" s="5" t="s">
        <v>111</v>
      </c>
      <c r="F1030" s="5">
        <v>57390990</v>
      </c>
      <c r="G1030" s="5" t="s">
        <v>16</v>
      </c>
      <c r="H1030" s="7">
        <v>45847</v>
      </c>
      <c r="I1030" s="7">
        <v>45848</v>
      </c>
      <c r="J1030" s="8">
        <v>150</v>
      </c>
      <c r="K1030" s="7">
        <v>45870</v>
      </c>
      <c r="L1030" s="5"/>
      <c r="P1030" s="23"/>
    </row>
    <row r="1031" spans="1:16" ht="14.4" customHeight="1" x14ac:dyDescent="0.3">
      <c r="A1031" s="5">
        <v>1038</v>
      </c>
      <c r="B1031" s="5" t="s">
        <v>2239</v>
      </c>
      <c r="C1031" s="5" t="s">
        <v>2240</v>
      </c>
      <c r="D1031" s="5" t="s">
        <v>276</v>
      </c>
      <c r="E1031" s="5" t="s">
        <v>276</v>
      </c>
      <c r="F1031" s="5">
        <v>58409137</v>
      </c>
      <c r="G1031" s="5" t="s">
        <v>16</v>
      </c>
      <c r="H1031" s="7">
        <v>45847</v>
      </c>
      <c r="I1031" s="7">
        <v>45848</v>
      </c>
      <c r="J1031" s="8">
        <v>150</v>
      </c>
      <c r="K1031" s="7">
        <v>45870</v>
      </c>
      <c r="L1031" s="5"/>
      <c r="P1031" s="23"/>
    </row>
    <row r="1032" spans="1:16" ht="14.4" customHeight="1" x14ac:dyDescent="0.3">
      <c r="A1032" s="5">
        <v>1039</v>
      </c>
      <c r="B1032" s="5" t="s">
        <v>2241</v>
      </c>
      <c r="C1032" s="5" t="s">
        <v>2242</v>
      </c>
      <c r="D1032" s="5" t="s">
        <v>137</v>
      </c>
      <c r="E1032" s="5" t="s">
        <v>137</v>
      </c>
      <c r="F1032" s="5">
        <v>58345058</v>
      </c>
      <c r="G1032" s="5" t="s">
        <v>16</v>
      </c>
      <c r="H1032" s="7">
        <v>45847</v>
      </c>
      <c r="I1032" s="7">
        <v>45848</v>
      </c>
      <c r="J1032" s="8">
        <v>150</v>
      </c>
      <c r="K1032" s="7">
        <v>45870</v>
      </c>
      <c r="L1032" s="5"/>
      <c r="P1032" s="23"/>
    </row>
    <row r="1033" spans="1:16" ht="14.4" customHeight="1" x14ac:dyDescent="0.3">
      <c r="A1033" s="5">
        <v>1040</v>
      </c>
      <c r="B1033" s="5" t="s">
        <v>2243</v>
      </c>
      <c r="C1033" s="5" t="s">
        <v>2244</v>
      </c>
      <c r="D1033" s="5" t="s">
        <v>696</v>
      </c>
      <c r="E1033" s="5" t="s">
        <v>696</v>
      </c>
      <c r="F1033" s="5">
        <v>54232502</v>
      </c>
      <c r="G1033" s="5" t="s">
        <v>16</v>
      </c>
      <c r="H1033" s="7">
        <v>45847</v>
      </c>
      <c r="I1033" s="7">
        <v>45848</v>
      </c>
      <c r="J1033" s="8">
        <v>150</v>
      </c>
      <c r="K1033" s="7">
        <v>45870</v>
      </c>
      <c r="L1033" s="5"/>
      <c r="P1033" s="23"/>
    </row>
    <row r="1034" spans="1:16" ht="14.4" customHeight="1" x14ac:dyDescent="0.3">
      <c r="A1034" s="5">
        <v>1041</v>
      </c>
      <c r="B1034" s="5" t="s">
        <v>2245</v>
      </c>
      <c r="C1034" s="5" t="s">
        <v>2246</v>
      </c>
      <c r="D1034" s="5" t="s">
        <v>77</v>
      </c>
      <c r="E1034" s="5" t="s">
        <v>77</v>
      </c>
      <c r="F1034" s="5">
        <v>58261737</v>
      </c>
      <c r="G1034" s="5" t="s">
        <v>16</v>
      </c>
      <c r="H1034" s="7">
        <v>45847</v>
      </c>
      <c r="I1034" s="7">
        <v>45848</v>
      </c>
      <c r="J1034" s="8">
        <v>150</v>
      </c>
      <c r="K1034" s="7">
        <v>45870</v>
      </c>
      <c r="L1034" s="5"/>
      <c r="P1034" s="23"/>
    </row>
    <row r="1035" spans="1:16" ht="14.4" customHeight="1" x14ac:dyDescent="0.3">
      <c r="A1035" s="5">
        <v>1042</v>
      </c>
      <c r="B1035" s="5" t="s">
        <v>2247</v>
      </c>
      <c r="C1035" s="5" t="s">
        <v>2248</v>
      </c>
      <c r="D1035" s="5" t="s">
        <v>69</v>
      </c>
      <c r="E1035" s="5" t="s">
        <v>69</v>
      </c>
      <c r="F1035" s="5">
        <v>58139561</v>
      </c>
      <c r="G1035" s="5" t="s">
        <v>1024</v>
      </c>
      <c r="H1035" s="7">
        <v>45847</v>
      </c>
      <c r="I1035" s="7">
        <v>45848</v>
      </c>
      <c r="J1035" s="8">
        <v>150</v>
      </c>
      <c r="K1035" s="7">
        <v>45870</v>
      </c>
      <c r="L1035" s="5"/>
      <c r="P1035" s="23"/>
    </row>
    <row r="1036" spans="1:16" ht="14.4" customHeight="1" x14ac:dyDescent="0.3">
      <c r="A1036" s="5">
        <v>1043</v>
      </c>
      <c r="B1036" s="5" t="s">
        <v>2249</v>
      </c>
      <c r="C1036" s="5" t="s">
        <v>2250</v>
      </c>
      <c r="D1036" s="5" t="s">
        <v>2251</v>
      </c>
      <c r="E1036" s="5" t="s">
        <v>117</v>
      </c>
      <c r="F1036" s="5" t="s">
        <v>2252</v>
      </c>
      <c r="G1036" s="5" t="s">
        <v>1024</v>
      </c>
      <c r="H1036" s="7">
        <v>45847</v>
      </c>
      <c r="I1036" s="7">
        <v>45848</v>
      </c>
      <c r="J1036" s="8">
        <v>150</v>
      </c>
      <c r="K1036" s="7">
        <v>45870</v>
      </c>
      <c r="L1036" s="5" t="s">
        <v>977</v>
      </c>
      <c r="P1036" s="23"/>
    </row>
    <row r="1037" spans="1:16" ht="14.4" customHeight="1" x14ac:dyDescent="0.3">
      <c r="A1037" s="5">
        <v>1044</v>
      </c>
      <c r="B1037" s="5" t="s">
        <v>1229</v>
      </c>
      <c r="C1037" s="5" t="s">
        <v>2255</v>
      </c>
      <c r="D1037" s="5" t="s">
        <v>276</v>
      </c>
      <c r="E1037" s="5" t="s">
        <v>276</v>
      </c>
      <c r="F1037" s="5">
        <v>57470178</v>
      </c>
      <c r="G1037" s="5" t="s">
        <v>1024</v>
      </c>
      <c r="H1037" s="7">
        <v>45847</v>
      </c>
      <c r="I1037" s="7">
        <v>45848</v>
      </c>
      <c r="J1037" s="8">
        <v>150</v>
      </c>
      <c r="K1037" s="7">
        <v>45870</v>
      </c>
      <c r="L1037" s="5" t="s">
        <v>977</v>
      </c>
      <c r="P1037" s="23"/>
    </row>
    <row r="1038" spans="1:16" ht="14.4" customHeight="1" x14ac:dyDescent="0.3">
      <c r="A1038" s="5">
        <v>1045</v>
      </c>
      <c r="B1038" s="5" t="s">
        <v>2257</v>
      </c>
      <c r="C1038" s="5" t="s">
        <v>2259</v>
      </c>
      <c r="D1038" s="5" t="s">
        <v>2260</v>
      </c>
      <c r="E1038" s="5" t="s">
        <v>2260</v>
      </c>
      <c r="F1038" s="5">
        <v>57091701</v>
      </c>
      <c r="G1038" s="5" t="s">
        <v>1016</v>
      </c>
      <c r="H1038" s="7">
        <v>45848</v>
      </c>
      <c r="I1038" s="7">
        <v>45848</v>
      </c>
      <c r="J1038" s="8">
        <v>150</v>
      </c>
      <c r="K1038" s="7">
        <v>45870</v>
      </c>
      <c r="L1038" s="5"/>
      <c r="P1038" s="23"/>
    </row>
    <row r="1039" spans="1:16" ht="14.4" customHeight="1" x14ac:dyDescent="0.3">
      <c r="A1039" s="5">
        <v>1047</v>
      </c>
      <c r="B1039" s="5" t="s">
        <v>2189</v>
      </c>
      <c r="C1039" s="5" t="s">
        <v>2190</v>
      </c>
      <c r="D1039" s="5" t="s">
        <v>84</v>
      </c>
      <c r="E1039" s="5" t="s">
        <v>84</v>
      </c>
      <c r="F1039" s="5">
        <v>57961308</v>
      </c>
      <c r="G1039" s="5" t="s">
        <v>16</v>
      </c>
      <c r="H1039" s="7">
        <v>45847</v>
      </c>
      <c r="I1039" s="7">
        <v>45852</v>
      </c>
      <c r="J1039" s="8">
        <v>150</v>
      </c>
      <c r="K1039" s="7">
        <v>45870</v>
      </c>
      <c r="L1039" s="5"/>
      <c r="P1039" s="23"/>
    </row>
    <row r="1040" spans="1:16" ht="14.4" customHeight="1" x14ac:dyDescent="0.3">
      <c r="A1040" s="5">
        <v>1048</v>
      </c>
      <c r="B1040" s="5" t="s">
        <v>1095</v>
      </c>
      <c r="C1040" s="5" t="s">
        <v>2046</v>
      </c>
      <c r="D1040" s="5" t="s">
        <v>1040</v>
      </c>
      <c r="E1040" s="5" t="s">
        <v>1097</v>
      </c>
      <c r="F1040" s="5">
        <v>55029138</v>
      </c>
      <c r="G1040" s="5" t="s">
        <v>16</v>
      </c>
      <c r="H1040" s="7">
        <v>45847</v>
      </c>
      <c r="I1040" s="7">
        <v>45852</v>
      </c>
      <c r="J1040" s="8">
        <v>150</v>
      </c>
      <c r="K1040" s="7">
        <v>45870</v>
      </c>
      <c r="L1040" s="5"/>
      <c r="P1040" s="23"/>
    </row>
    <row r="1041" spans="1:16" ht="14.4" customHeight="1" x14ac:dyDescent="0.3">
      <c r="A1041" s="5">
        <v>1051</v>
      </c>
      <c r="B1041" s="5" t="s">
        <v>2325</v>
      </c>
      <c r="C1041" s="5" t="s">
        <v>656</v>
      </c>
      <c r="D1041" s="5" t="s">
        <v>656</v>
      </c>
      <c r="E1041" s="5" t="s">
        <v>656</v>
      </c>
      <c r="F1041" s="5">
        <v>59248034</v>
      </c>
      <c r="G1041" s="5" t="s">
        <v>1146</v>
      </c>
      <c r="H1041" s="7">
        <v>45852</v>
      </c>
      <c r="I1041" s="7">
        <v>45852</v>
      </c>
      <c r="J1041" s="8">
        <v>150</v>
      </c>
      <c r="K1041" s="7">
        <v>45870</v>
      </c>
      <c r="L1041" s="5"/>
      <c r="P1041" s="23"/>
    </row>
    <row r="1042" spans="1:16" ht="14.4" customHeight="1" x14ac:dyDescent="0.3">
      <c r="A1042" s="5">
        <v>1052</v>
      </c>
      <c r="B1042" s="5" t="s">
        <v>2191</v>
      </c>
      <c r="C1042" s="5" t="s">
        <v>2270</v>
      </c>
      <c r="D1042" s="5" t="s">
        <v>709</v>
      </c>
      <c r="E1042" s="5" t="s">
        <v>709</v>
      </c>
      <c r="F1042" s="5">
        <v>52561636</v>
      </c>
      <c r="G1042" s="5" t="s">
        <v>16</v>
      </c>
      <c r="H1042" s="7">
        <v>45851</v>
      </c>
      <c r="I1042" s="7">
        <v>45852</v>
      </c>
      <c r="J1042" s="8">
        <v>150</v>
      </c>
      <c r="K1042" s="7">
        <v>45870</v>
      </c>
      <c r="L1042" s="5"/>
      <c r="P1042" s="23"/>
    </row>
    <row r="1043" spans="1:16" ht="14.4" customHeight="1" x14ac:dyDescent="0.3">
      <c r="A1043" s="5">
        <v>1053</v>
      </c>
      <c r="B1043" s="5" t="s">
        <v>2271</v>
      </c>
      <c r="C1043" s="5" t="s">
        <v>2272</v>
      </c>
      <c r="D1043" s="5" t="s">
        <v>15</v>
      </c>
      <c r="E1043" s="5" t="s">
        <v>15</v>
      </c>
      <c r="F1043" s="5">
        <v>59859221</v>
      </c>
      <c r="G1043" s="5" t="s">
        <v>16</v>
      </c>
      <c r="H1043" s="7">
        <v>45851</v>
      </c>
      <c r="I1043" s="7">
        <v>45852</v>
      </c>
      <c r="J1043" s="8">
        <v>150</v>
      </c>
      <c r="K1043" s="7">
        <v>45870</v>
      </c>
      <c r="L1043" s="5"/>
      <c r="P1043" s="23"/>
    </row>
    <row r="1044" spans="1:16" ht="14.4" customHeight="1" x14ac:dyDescent="0.3">
      <c r="A1044" s="5">
        <v>1054</v>
      </c>
      <c r="B1044" s="5" t="s">
        <v>2273</v>
      </c>
      <c r="C1044" s="5" t="s">
        <v>2274</v>
      </c>
      <c r="D1044" s="5" t="s">
        <v>101</v>
      </c>
      <c r="E1044" s="5" t="s">
        <v>101</v>
      </c>
      <c r="F1044" s="5" t="s">
        <v>2275</v>
      </c>
      <c r="G1044" s="5" t="s">
        <v>16</v>
      </c>
      <c r="H1044" s="7">
        <v>45851</v>
      </c>
      <c r="I1044" s="7">
        <v>45852</v>
      </c>
      <c r="J1044" s="8">
        <v>150</v>
      </c>
      <c r="K1044" s="7">
        <v>45870</v>
      </c>
      <c r="L1044" s="5"/>
      <c r="P1044" s="23"/>
    </row>
    <row r="1045" spans="1:16" ht="14.4" customHeight="1" x14ac:dyDescent="0.3">
      <c r="A1045" s="5">
        <v>1055</v>
      </c>
      <c r="B1045" s="5" t="s">
        <v>1729</v>
      </c>
      <c r="C1045" s="5" t="s">
        <v>2276</v>
      </c>
      <c r="D1045" s="5" t="s">
        <v>144</v>
      </c>
      <c r="E1045" s="5" t="s">
        <v>144</v>
      </c>
      <c r="F1045" s="5">
        <v>57669015</v>
      </c>
      <c r="G1045" s="5" t="s">
        <v>16</v>
      </c>
      <c r="H1045" s="7">
        <v>45851</v>
      </c>
      <c r="I1045" s="7">
        <v>45852</v>
      </c>
      <c r="J1045" s="8">
        <v>150</v>
      </c>
      <c r="K1045" s="7">
        <v>45870</v>
      </c>
      <c r="L1045" s="5"/>
      <c r="P1045" s="23"/>
    </row>
    <row r="1046" spans="1:16" ht="14.4" customHeight="1" x14ac:dyDescent="0.3">
      <c r="A1046" s="5">
        <v>1056</v>
      </c>
      <c r="B1046" s="5" t="s">
        <v>2277</v>
      </c>
      <c r="C1046" s="5" t="s">
        <v>2108</v>
      </c>
      <c r="D1046" s="5" t="s">
        <v>49</v>
      </c>
      <c r="E1046" s="5" t="s">
        <v>49</v>
      </c>
      <c r="F1046" s="5">
        <v>54528902</v>
      </c>
      <c r="G1046" s="5" t="s">
        <v>16</v>
      </c>
      <c r="H1046" s="7">
        <v>45851</v>
      </c>
      <c r="I1046" s="7">
        <v>45852</v>
      </c>
      <c r="J1046" s="8">
        <v>150</v>
      </c>
      <c r="K1046" s="7">
        <v>45870</v>
      </c>
      <c r="L1046" s="5"/>
      <c r="P1046" s="23"/>
    </row>
    <row r="1047" spans="1:16" ht="14.4" customHeight="1" x14ac:dyDescent="0.3">
      <c r="A1047" s="5">
        <v>1057</v>
      </c>
      <c r="B1047" s="5" t="s">
        <v>2278</v>
      </c>
      <c r="C1047" s="5" t="s">
        <v>2279</v>
      </c>
      <c r="D1047" s="5" t="s">
        <v>49</v>
      </c>
      <c r="E1047" s="5" t="s">
        <v>49</v>
      </c>
      <c r="F1047" s="5">
        <v>57861454</v>
      </c>
      <c r="G1047" s="5" t="s">
        <v>16</v>
      </c>
      <c r="H1047" s="7">
        <v>45851</v>
      </c>
      <c r="I1047" s="7">
        <v>45852</v>
      </c>
      <c r="J1047" s="8">
        <v>150</v>
      </c>
      <c r="K1047" s="7">
        <v>45870</v>
      </c>
      <c r="L1047" s="5"/>
      <c r="P1047" s="23"/>
    </row>
    <row r="1048" spans="1:16" ht="14.4" customHeight="1" x14ac:dyDescent="0.3">
      <c r="A1048" s="5">
        <v>1058</v>
      </c>
      <c r="B1048" s="5" t="s">
        <v>2280</v>
      </c>
      <c r="C1048" s="5" t="s">
        <v>2281</v>
      </c>
      <c r="D1048" s="5" t="s">
        <v>2282</v>
      </c>
      <c r="E1048" s="5" t="s">
        <v>2949</v>
      </c>
      <c r="F1048" s="5">
        <v>58099746</v>
      </c>
      <c r="G1048" s="5" t="s">
        <v>16</v>
      </c>
      <c r="H1048" s="7">
        <v>45851</v>
      </c>
      <c r="I1048" s="7">
        <v>45852</v>
      </c>
      <c r="J1048" s="8">
        <v>150</v>
      </c>
      <c r="K1048" s="7">
        <v>45870</v>
      </c>
      <c r="L1048" s="5"/>
      <c r="P1048" s="23"/>
    </row>
    <row r="1049" spans="1:16" ht="14.4" customHeight="1" x14ac:dyDescent="0.3">
      <c r="A1049" s="5">
        <v>1059</v>
      </c>
      <c r="B1049" s="5" t="s">
        <v>2341</v>
      </c>
      <c r="C1049" s="5" t="s">
        <v>2283</v>
      </c>
      <c r="D1049" s="5" t="s">
        <v>1091</v>
      </c>
      <c r="E1049" s="5" t="s">
        <v>1091</v>
      </c>
      <c r="F1049" s="5">
        <v>57173370</v>
      </c>
      <c r="G1049" s="5" t="s">
        <v>16</v>
      </c>
      <c r="H1049" s="7">
        <v>45851</v>
      </c>
      <c r="I1049" s="7">
        <v>45852</v>
      </c>
      <c r="J1049" s="8">
        <v>150</v>
      </c>
      <c r="K1049" s="7">
        <v>45870</v>
      </c>
      <c r="L1049" s="5"/>
      <c r="P1049" s="23"/>
    </row>
    <row r="1050" spans="1:16" ht="14.4" customHeight="1" x14ac:dyDescent="0.3">
      <c r="A1050" s="5">
        <v>1060</v>
      </c>
      <c r="B1050" s="5" t="s">
        <v>2284</v>
      </c>
      <c r="C1050" s="5" t="s">
        <v>2285</v>
      </c>
      <c r="D1050" s="5" t="s">
        <v>49</v>
      </c>
      <c r="E1050" s="5" t="s">
        <v>49</v>
      </c>
      <c r="F1050" s="5">
        <v>58020335</v>
      </c>
      <c r="G1050" s="5" t="s">
        <v>16</v>
      </c>
      <c r="H1050" s="7">
        <v>45851</v>
      </c>
      <c r="I1050" s="7">
        <v>45852</v>
      </c>
      <c r="J1050" s="8">
        <v>150</v>
      </c>
      <c r="K1050" s="7">
        <v>45870</v>
      </c>
      <c r="L1050" s="5"/>
      <c r="P1050" s="23"/>
    </row>
    <row r="1051" spans="1:16" ht="14.4" customHeight="1" x14ac:dyDescent="0.3">
      <c r="A1051" s="5">
        <v>1061</v>
      </c>
      <c r="B1051" s="5" t="s">
        <v>2286</v>
      </c>
      <c r="C1051" s="5" t="s">
        <v>2287</v>
      </c>
      <c r="D1051" s="5" t="s">
        <v>1757</v>
      </c>
      <c r="E1051" s="5" t="s">
        <v>1757</v>
      </c>
      <c r="F1051" s="5">
        <v>59116723</v>
      </c>
      <c r="G1051" s="5" t="s">
        <v>16</v>
      </c>
      <c r="H1051" s="7">
        <v>45851</v>
      </c>
      <c r="I1051" s="7">
        <v>45852</v>
      </c>
      <c r="J1051" s="8">
        <v>150</v>
      </c>
      <c r="K1051" s="7">
        <v>45870</v>
      </c>
      <c r="L1051" s="5"/>
      <c r="P1051" s="23"/>
    </row>
    <row r="1052" spans="1:16" ht="14.4" customHeight="1" x14ac:dyDescent="0.3">
      <c r="A1052" s="5">
        <v>1062</v>
      </c>
      <c r="B1052" s="5" t="s">
        <v>2288</v>
      </c>
      <c r="C1052" s="5" t="s">
        <v>2289</v>
      </c>
      <c r="D1052" s="5" t="s">
        <v>63</v>
      </c>
      <c r="E1052" s="5" t="s">
        <v>63</v>
      </c>
      <c r="F1052" s="5">
        <v>57765108</v>
      </c>
      <c r="G1052" s="5" t="s">
        <v>16</v>
      </c>
      <c r="H1052" s="7">
        <v>45851</v>
      </c>
      <c r="I1052" s="7">
        <v>45852</v>
      </c>
      <c r="J1052" s="8">
        <v>150</v>
      </c>
      <c r="K1052" s="7">
        <v>45870</v>
      </c>
      <c r="L1052" s="5"/>
      <c r="P1052" s="23"/>
    </row>
    <row r="1053" spans="1:16" ht="14.4" customHeight="1" x14ac:dyDescent="0.3">
      <c r="A1053" s="5">
        <v>1063</v>
      </c>
      <c r="B1053" s="5" t="s">
        <v>2290</v>
      </c>
      <c r="C1053" s="5" t="s">
        <v>2332</v>
      </c>
      <c r="D1053" s="5" t="s">
        <v>281</v>
      </c>
      <c r="E1053" s="5" t="s">
        <v>368</v>
      </c>
      <c r="F1053" s="5">
        <v>58679384</v>
      </c>
      <c r="G1053" s="5" t="s">
        <v>16</v>
      </c>
      <c r="H1053" s="7">
        <v>45851</v>
      </c>
      <c r="I1053" s="7">
        <v>45852</v>
      </c>
      <c r="J1053" s="8">
        <v>150</v>
      </c>
      <c r="K1053" s="7">
        <v>45870</v>
      </c>
      <c r="L1053" s="5"/>
      <c r="P1053" s="23"/>
    </row>
    <row r="1054" spans="1:16" ht="14.4" customHeight="1" x14ac:dyDescent="0.3">
      <c r="A1054" s="5">
        <v>1064</v>
      </c>
      <c r="B1054" s="5" t="s">
        <v>2291</v>
      </c>
      <c r="C1054" s="5" t="s">
        <v>2292</v>
      </c>
      <c r="D1054" s="5" t="s">
        <v>700</v>
      </c>
      <c r="E1054" s="5" t="s">
        <v>77</v>
      </c>
      <c r="F1054" s="5">
        <v>57556989</v>
      </c>
      <c r="G1054" s="5" t="s">
        <v>16</v>
      </c>
      <c r="H1054" s="7">
        <v>45851</v>
      </c>
      <c r="I1054" s="7">
        <v>45852</v>
      </c>
      <c r="J1054" s="8">
        <v>150</v>
      </c>
      <c r="K1054" s="7">
        <v>45870</v>
      </c>
      <c r="L1054" s="5"/>
      <c r="P1054" s="23"/>
    </row>
    <row r="1055" spans="1:16" ht="14.4" customHeight="1" x14ac:dyDescent="0.3">
      <c r="A1055" s="5">
        <v>1065</v>
      </c>
      <c r="B1055" s="5" t="s">
        <v>2293</v>
      </c>
      <c r="C1055" s="5" t="s">
        <v>2333</v>
      </c>
      <c r="D1055" s="5" t="s">
        <v>84</v>
      </c>
      <c r="E1055" s="5" t="s">
        <v>84</v>
      </c>
      <c r="F1055" s="5">
        <v>57911286</v>
      </c>
      <c r="G1055" s="5" t="s">
        <v>16</v>
      </c>
      <c r="H1055" s="7">
        <v>45851</v>
      </c>
      <c r="I1055" s="7">
        <v>45852</v>
      </c>
      <c r="J1055" s="8">
        <v>150</v>
      </c>
      <c r="K1055" s="7">
        <v>45870</v>
      </c>
      <c r="L1055" s="5"/>
      <c r="P1055" s="23"/>
    </row>
    <row r="1056" spans="1:16" ht="14.4" customHeight="1" x14ac:dyDescent="0.3">
      <c r="A1056" s="5">
        <v>1066</v>
      </c>
      <c r="B1056" s="5" t="s">
        <v>2294</v>
      </c>
      <c r="C1056" s="5" t="s">
        <v>2295</v>
      </c>
      <c r="D1056" s="5" t="s">
        <v>237</v>
      </c>
      <c r="E1056" s="5" t="s">
        <v>237</v>
      </c>
      <c r="F1056" s="5">
        <v>54941201</v>
      </c>
      <c r="G1056" s="5" t="s">
        <v>16</v>
      </c>
      <c r="H1056" s="7">
        <v>45851</v>
      </c>
      <c r="I1056" s="7">
        <v>45852</v>
      </c>
      <c r="J1056" s="8">
        <v>150</v>
      </c>
      <c r="K1056" s="7">
        <v>45870</v>
      </c>
      <c r="L1056" s="5"/>
      <c r="P1056" s="23"/>
    </row>
    <row r="1057" spans="1:16" ht="14.4" customHeight="1" x14ac:dyDescent="0.3">
      <c r="A1057" s="5">
        <v>1067</v>
      </c>
      <c r="B1057" s="5" t="s">
        <v>2296</v>
      </c>
      <c r="C1057" s="5" t="s">
        <v>2297</v>
      </c>
      <c r="D1057" s="5" t="s">
        <v>84</v>
      </c>
      <c r="E1057" s="5" t="s">
        <v>84</v>
      </c>
      <c r="F1057" s="5">
        <v>57581578</v>
      </c>
      <c r="G1057" s="5" t="s">
        <v>16</v>
      </c>
      <c r="H1057" s="7">
        <v>45851</v>
      </c>
      <c r="I1057" s="7">
        <v>45852</v>
      </c>
      <c r="J1057" s="8">
        <v>150</v>
      </c>
      <c r="K1057" s="7">
        <v>45870</v>
      </c>
      <c r="L1057" s="5"/>
      <c r="P1057" s="23"/>
    </row>
    <row r="1058" spans="1:16" ht="14.4" customHeight="1" x14ac:dyDescent="0.3">
      <c r="A1058" s="5">
        <v>1068</v>
      </c>
      <c r="B1058" s="5" t="s">
        <v>2298</v>
      </c>
      <c r="C1058" s="5" t="s">
        <v>2299</v>
      </c>
      <c r="D1058" s="5" t="s">
        <v>74</v>
      </c>
      <c r="E1058" s="5" t="s">
        <v>74</v>
      </c>
      <c r="F1058" s="5" t="s">
        <v>2300</v>
      </c>
      <c r="G1058" s="5" t="s">
        <v>16</v>
      </c>
      <c r="H1058" s="7">
        <v>45851</v>
      </c>
      <c r="I1058" s="7">
        <v>45852</v>
      </c>
      <c r="J1058" s="8">
        <v>150</v>
      </c>
      <c r="K1058" s="7">
        <v>45870</v>
      </c>
      <c r="L1058" s="5"/>
      <c r="P1058" s="23"/>
    </row>
    <row r="1059" spans="1:16" ht="14.4" customHeight="1" x14ac:dyDescent="0.3">
      <c r="A1059" s="5">
        <v>1069</v>
      </c>
      <c r="B1059" s="5" t="s">
        <v>2301</v>
      </c>
      <c r="C1059" s="5" t="s">
        <v>2302</v>
      </c>
      <c r="D1059" s="5" t="s">
        <v>38</v>
      </c>
      <c r="E1059" s="5" t="s">
        <v>38</v>
      </c>
      <c r="F1059" s="5">
        <v>58306538</v>
      </c>
      <c r="G1059" s="5" t="s">
        <v>16</v>
      </c>
      <c r="H1059" s="7">
        <v>45851</v>
      </c>
      <c r="I1059" s="7">
        <v>45852</v>
      </c>
      <c r="J1059" s="8">
        <v>150</v>
      </c>
      <c r="K1059" s="7">
        <v>45870</v>
      </c>
      <c r="L1059" s="5"/>
      <c r="P1059" s="23"/>
    </row>
    <row r="1060" spans="1:16" ht="14.4" customHeight="1" x14ac:dyDescent="0.3">
      <c r="A1060" s="5">
        <v>1070</v>
      </c>
      <c r="B1060" s="5" t="s">
        <v>2303</v>
      </c>
      <c r="C1060" s="5" t="s">
        <v>157</v>
      </c>
      <c r="D1060" s="5" t="s">
        <v>158</v>
      </c>
      <c r="E1060" s="5" t="s">
        <v>158</v>
      </c>
      <c r="F1060" s="5">
        <v>57529392</v>
      </c>
      <c r="G1060" s="5" t="s">
        <v>16</v>
      </c>
      <c r="H1060" s="7">
        <v>45851</v>
      </c>
      <c r="I1060" s="7">
        <v>45852</v>
      </c>
      <c r="J1060" s="8">
        <v>150</v>
      </c>
      <c r="K1060" s="7">
        <v>45870</v>
      </c>
      <c r="L1060" s="5"/>
      <c r="P1060" s="23"/>
    </row>
    <row r="1061" spans="1:16" ht="14.4" customHeight="1" x14ac:dyDescent="0.3">
      <c r="A1061" s="5">
        <v>1071</v>
      </c>
      <c r="B1061" s="5" t="s">
        <v>2304</v>
      </c>
      <c r="C1061" s="5" t="s">
        <v>2334</v>
      </c>
      <c r="D1061" s="5" t="s">
        <v>2335</v>
      </c>
      <c r="E1061" s="5" t="s">
        <v>98</v>
      </c>
      <c r="F1061" s="5">
        <v>57945971</v>
      </c>
      <c r="G1061" s="5" t="s">
        <v>16</v>
      </c>
      <c r="H1061" s="7">
        <v>45851</v>
      </c>
      <c r="I1061" s="7">
        <v>45852</v>
      </c>
      <c r="J1061" s="8">
        <v>150</v>
      </c>
      <c r="K1061" s="7">
        <v>45870</v>
      </c>
      <c r="L1061" s="5"/>
      <c r="P1061" s="23"/>
    </row>
    <row r="1062" spans="1:16" ht="14.4" customHeight="1" x14ac:dyDescent="0.3">
      <c r="A1062" s="5">
        <v>1072</v>
      </c>
      <c r="B1062" s="5" t="s">
        <v>2305</v>
      </c>
      <c r="C1062" s="5" t="s">
        <v>933</v>
      </c>
      <c r="D1062" s="5" t="s">
        <v>101</v>
      </c>
      <c r="E1062" s="5" t="s">
        <v>101</v>
      </c>
      <c r="F1062" s="5">
        <v>57539651</v>
      </c>
      <c r="G1062" s="5" t="s">
        <v>16</v>
      </c>
      <c r="H1062" s="7">
        <v>45851</v>
      </c>
      <c r="I1062" s="7">
        <v>45852</v>
      </c>
      <c r="J1062" s="8">
        <v>150</v>
      </c>
      <c r="K1062" s="7">
        <v>45870</v>
      </c>
      <c r="L1062" s="5"/>
      <c r="P1062" s="23"/>
    </row>
    <row r="1063" spans="1:16" ht="14.4" customHeight="1" x14ac:dyDescent="0.3">
      <c r="A1063" s="5">
        <v>1074</v>
      </c>
      <c r="B1063" s="5" t="s">
        <v>2307</v>
      </c>
      <c r="C1063" s="5" t="s">
        <v>2308</v>
      </c>
      <c r="D1063" s="5" t="s">
        <v>149</v>
      </c>
      <c r="E1063" s="5" t="s">
        <v>149</v>
      </c>
      <c r="F1063" s="5">
        <v>57660637</v>
      </c>
      <c r="G1063" s="5" t="s">
        <v>16</v>
      </c>
      <c r="H1063" s="7">
        <v>45851</v>
      </c>
      <c r="I1063" s="7">
        <v>45852</v>
      </c>
      <c r="J1063" s="8">
        <v>150</v>
      </c>
      <c r="K1063" s="7">
        <v>45870</v>
      </c>
      <c r="L1063" s="5"/>
      <c r="P1063" s="23"/>
    </row>
    <row r="1064" spans="1:16" ht="14.4" customHeight="1" x14ac:dyDescent="0.3">
      <c r="A1064" s="5">
        <v>1075</v>
      </c>
      <c r="B1064" s="5" t="s">
        <v>2309</v>
      </c>
      <c r="C1064" s="5" t="s">
        <v>2310</v>
      </c>
      <c r="D1064" s="5" t="s">
        <v>74</v>
      </c>
      <c r="E1064" s="5" t="s">
        <v>74</v>
      </c>
      <c r="F1064" s="5">
        <v>59497159</v>
      </c>
      <c r="G1064" s="5" t="s">
        <v>16</v>
      </c>
      <c r="H1064" s="7">
        <v>45851</v>
      </c>
      <c r="I1064" s="7">
        <v>45852</v>
      </c>
      <c r="J1064" s="8">
        <v>150</v>
      </c>
      <c r="K1064" s="7">
        <v>45870</v>
      </c>
      <c r="L1064" s="5"/>
      <c r="P1064" s="23"/>
    </row>
    <row r="1065" spans="1:16" ht="14.4" customHeight="1" x14ac:dyDescent="0.3">
      <c r="A1065" s="5">
        <v>1076</v>
      </c>
      <c r="B1065" s="5" t="s">
        <v>2311</v>
      </c>
      <c r="C1065" s="5" t="s">
        <v>2173</v>
      </c>
      <c r="D1065" s="5" t="s">
        <v>276</v>
      </c>
      <c r="E1065" s="5" t="s">
        <v>276</v>
      </c>
      <c r="F1065" s="5">
        <v>58356435</v>
      </c>
      <c r="G1065" s="5" t="s">
        <v>16</v>
      </c>
      <c r="H1065" s="7">
        <v>45851</v>
      </c>
      <c r="I1065" s="7">
        <v>45852</v>
      </c>
      <c r="J1065" s="8">
        <v>150</v>
      </c>
      <c r="K1065" s="7">
        <v>45870</v>
      </c>
      <c r="L1065" s="5"/>
      <c r="P1065" s="23"/>
    </row>
    <row r="1066" spans="1:16" ht="14.4" customHeight="1" x14ac:dyDescent="0.3">
      <c r="A1066" s="5">
        <v>1077</v>
      </c>
      <c r="B1066" s="5" t="s">
        <v>2312</v>
      </c>
      <c r="C1066" s="5" t="s">
        <v>2313</v>
      </c>
      <c r="D1066" s="5" t="s">
        <v>281</v>
      </c>
      <c r="E1066" s="5" t="s">
        <v>368</v>
      </c>
      <c r="F1066" s="5">
        <v>57921497</v>
      </c>
      <c r="G1066" s="5" t="s">
        <v>16</v>
      </c>
      <c r="H1066" s="7">
        <v>45851</v>
      </c>
      <c r="I1066" s="7">
        <v>45852</v>
      </c>
      <c r="J1066" s="8">
        <v>150</v>
      </c>
      <c r="K1066" s="7">
        <v>45870</v>
      </c>
      <c r="L1066" s="5"/>
      <c r="P1066" s="23"/>
    </row>
    <row r="1067" spans="1:16" ht="14.4" customHeight="1" x14ac:dyDescent="0.3">
      <c r="A1067" s="5">
        <v>1078</v>
      </c>
      <c r="B1067" s="5" t="s">
        <v>2314</v>
      </c>
      <c r="C1067" s="5" t="s">
        <v>2315</v>
      </c>
      <c r="D1067" s="5" t="s">
        <v>149</v>
      </c>
      <c r="E1067" s="5" t="s">
        <v>149</v>
      </c>
      <c r="F1067" s="5">
        <v>59878400</v>
      </c>
      <c r="G1067" s="5" t="s">
        <v>16</v>
      </c>
      <c r="H1067" s="7">
        <v>45851</v>
      </c>
      <c r="I1067" s="7">
        <v>45852</v>
      </c>
      <c r="J1067" s="8">
        <v>150</v>
      </c>
      <c r="K1067" s="7">
        <v>45870</v>
      </c>
      <c r="L1067" s="5"/>
      <c r="P1067" s="23"/>
    </row>
    <row r="1068" spans="1:16" ht="14.4" customHeight="1" x14ac:dyDescent="0.3">
      <c r="A1068" s="5">
        <v>1079</v>
      </c>
      <c r="B1068" s="5" t="s">
        <v>192</v>
      </c>
      <c r="C1068" s="5" t="s">
        <v>2316</v>
      </c>
      <c r="D1068" s="5" t="s">
        <v>268</v>
      </c>
      <c r="E1068" s="5" t="s">
        <v>268</v>
      </c>
      <c r="F1068" s="5">
        <v>58104468</v>
      </c>
      <c r="G1068" s="5" t="s">
        <v>16</v>
      </c>
      <c r="H1068" s="7">
        <v>45851</v>
      </c>
      <c r="I1068" s="7">
        <v>45852</v>
      </c>
      <c r="J1068" s="8">
        <v>150</v>
      </c>
      <c r="K1068" s="7">
        <v>45870</v>
      </c>
      <c r="L1068" s="5"/>
      <c r="P1068" s="23"/>
    </row>
    <row r="1069" spans="1:16" ht="14.4" customHeight="1" x14ac:dyDescent="0.3">
      <c r="A1069" s="5">
        <v>1080</v>
      </c>
      <c r="B1069" s="5" t="s">
        <v>2317</v>
      </c>
      <c r="C1069" s="5" t="s">
        <v>2318</v>
      </c>
      <c r="D1069" s="5" t="s">
        <v>1757</v>
      </c>
      <c r="E1069" s="5" t="s">
        <v>1757</v>
      </c>
      <c r="F1069" s="5">
        <v>58221365</v>
      </c>
      <c r="G1069" s="5" t="s">
        <v>16</v>
      </c>
      <c r="H1069" s="7">
        <v>45851</v>
      </c>
      <c r="I1069" s="7">
        <v>45852</v>
      </c>
      <c r="J1069" s="8">
        <v>150</v>
      </c>
      <c r="K1069" s="7">
        <v>45870</v>
      </c>
      <c r="L1069" s="5"/>
      <c r="P1069" s="23"/>
    </row>
    <row r="1070" spans="1:16" ht="14.4" customHeight="1" x14ac:dyDescent="0.3">
      <c r="A1070" s="5">
        <v>1081</v>
      </c>
      <c r="B1070" s="5" t="s">
        <v>2319</v>
      </c>
      <c r="C1070" s="5" t="s">
        <v>2336</v>
      </c>
      <c r="D1070" s="5" t="s">
        <v>1076</v>
      </c>
      <c r="E1070" s="5" t="s">
        <v>1076</v>
      </c>
      <c r="F1070" s="5">
        <v>58123185</v>
      </c>
      <c r="G1070" s="5" t="s">
        <v>16</v>
      </c>
      <c r="H1070" s="7">
        <v>45851</v>
      </c>
      <c r="I1070" s="7">
        <v>45852</v>
      </c>
      <c r="J1070" s="8">
        <v>150</v>
      </c>
      <c r="K1070" s="7">
        <v>45870</v>
      </c>
      <c r="L1070" s="5"/>
      <c r="P1070" s="23"/>
    </row>
    <row r="1071" spans="1:16" ht="14.4" customHeight="1" x14ac:dyDescent="0.3">
      <c r="A1071" s="5">
        <v>1082</v>
      </c>
      <c r="B1071" s="5" t="s">
        <v>2320</v>
      </c>
      <c r="C1071" s="5" t="s">
        <v>898</v>
      </c>
      <c r="D1071" s="5" t="s">
        <v>291</v>
      </c>
      <c r="E1071" s="5" t="s">
        <v>291</v>
      </c>
      <c r="F1071" s="5">
        <v>58098168</v>
      </c>
      <c r="G1071" s="5" t="s">
        <v>16</v>
      </c>
      <c r="H1071" s="7">
        <v>45851</v>
      </c>
      <c r="I1071" s="7">
        <v>45852</v>
      </c>
      <c r="J1071" s="8">
        <v>150</v>
      </c>
      <c r="K1071" s="7">
        <v>45870</v>
      </c>
      <c r="L1071" s="5"/>
      <c r="P1071" s="23"/>
    </row>
    <row r="1072" spans="1:16" ht="14.4" customHeight="1" x14ac:dyDescent="0.3">
      <c r="A1072" s="5">
        <v>1083</v>
      </c>
      <c r="B1072" s="5" t="s">
        <v>2321</v>
      </c>
      <c r="C1072" s="5" t="s">
        <v>2322</v>
      </c>
      <c r="D1072" s="5" t="s">
        <v>291</v>
      </c>
      <c r="E1072" s="5" t="s">
        <v>291</v>
      </c>
      <c r="F1072" s="5">
        <v>57925825</v>
      </c>
      <c r="G1072" s="5" t="s">
        <v>16</v>
      </c>
      <c r="H1072" s="7">
        <v>45851</v>
      </c>
      <c r="I1072" s="7">
        <v>45852</v>
      </c>
      <c r="J1072" s="8">
        <v>150</v>
      </c>
      <c r="K1072" s="7">
        <v>45870</v>
      </c>
      <c r="L1072" s="5"/>
      <c r="P1072" s="23"/>
    </row>
    <row r="1073" spans="1:16" ht="14.4" customHeight="1" x14ac:dyDescent="0.3">
      <c r="A1073" s="5">
        <v>1084</v>
      </c>
      <c r="B1073" s="5" t="s">
        <v>2329</v>
      </c>
      <c r="C1073" s="5" t="s">
        <v>2331</v>
      </c>
      <c r="D1073" s="5" t="s">
        <v>201</v>
      </c>
      <c r="E1073" s="5" t="s">
        <v>201</v>
      </c>
      <c r="F1073" s="5">
        <v>57825054</v>
      </c>
      <c r="G1073" s="5" t="s">
        <v>1016</v>
      </c>
      <c r="H1073" s="7">
        <v>45852</v>
      </c>
      <c r="I1073" s="7">
        <v>45852</v>
      </c>
      <c r="J1073" s="8">
        <v>150</v>
      </c>
      <c r="K1073" s="7">
        <v>45870</v>
      </c>
      <c r="L1073" s="5" t="s">
        <v>2327</v>
      </c>
      <c r="P1073" s="23"/>
    </row>
    <row r="1074" spans="1:16" ht="14.4" customHeight="1" x14ac:dyDescent="0.3">
      <c r="A1074" s="5">
        <v>1085</v>
      </c>
      <c r="B1074" s="5" t="s">
        <v>2330</v>
      </c>
      <c r="C1074" s="5" t="s">
        <v>442</v>
      </c>
      <c r="D1074" s="5" t="s">
        <v>442</v>
      </c>
      <c r="E1074" s="5" t="s">
        <v>442</v>
      </c>
      <c r="F1074" s="5">
        <v>57735892</v>
      </c>
      <c r="G1074" s="5" t="s">
        <v>1016</v>
      </c>
      <c r="H1074" s="7">
        <v>45852</v>
      </c>
      <c r="I1074" s="7">
        <v>45852</v>
      </c>
      <c r="J1074" s="8">
        <v>150</v>
      </c>
      <c r="K1074" s="7">
        <v>45870</v>
      </c>
      <c r="L1074" s="5" t="s">
        <v>2328</v>
      </c>
      <c r="P1074" s="23"/>
    </row>
    <row r="1075" spans="1:16" ht="14.4" customHeight="1" x14ac:dyDescent="0.3">
      <c r="A1075" s="5">
        <v>1086</v>
      </c>
      <c r="B1075" s="5" t="s">
        <v>2337</v>
      </c>
      <c r="C1075" s="5" t="s">
        <v>276</v>
      </c>
      <c r="D1075" s="5" t="s">
        <v>276</v>
      </c>
      <c r="E1075" s="5" t="s">
        <v>276</v>
      </c>
      <c r="F1075" s="5">
        <v>57811781</v>
      </c>
      <c r="G1075" s="5" t="s">
        <v>963</v>
      </c>
      <c r="H1075" s="7">
        <v>45852</v>
      </c>
      <c r="I1075" s="7">
        <v>45852</v>
      </c>
      <c r="J1075" s="8">
        <v>150</v>
      </c>
      <c r="K1075" s="7">
        <v>45870</v>
      </c>
      <c r="L1075" s="5" t="s">
        <v>1810</v>
      </c>
      <c r="P1075" s="23"/>
    </row>
    <row r="1076" spans="1:16" ht="14.4" customHeight="1" x14ac:dyDescent="0.3">
      <c r="A1076" s="5">
        <v>1087</v>
      </c>
      <c r="B1076" s="5" t="s">
        <v>2338</v>
      </c>
      <c r="C1076" s="5" t="s">
        <v>2339</v>
      </c>
      <c r="D1076" s="5" t="s">
        <v>715</v>
      </c>
      <c r="E1076" s="5" t="s">
        <v>715</v>
      </c>
      <c r="F1076" s="5">
        <v>59125265</v>
      </c>
      <c r="G1076" s="5" t="s">
        <v>1016</v>
      </c>
      <c r="H1076" s="7">
        <v>45852</v>
      </c>
      <c r="I1076" s="7">
        <v>45852</v>
      </c>
      <c r="J1076" s="8">
        <v>150</v>
      </c>
      <c r="K1076" s="7">
        <v>45870</v>
      </c>
      <c r="L1076" s="5" t="s">
        <v>2340</v>
      </c>
      <c r="P1076" s="23"/>
    </row>
    <row r="1077" spans="1:16" ht="14.4" customHeight="1" x14ac:dyDescent="0.3">
      <c r="A1077" s="5">
        <v>1046</v>
      </c>
      <c r="B1077" s="5" t="s">
        <v>2258</v>
      </c>
      <c r="C1077" s="5" t="s">
        <v>2261</v>
      </c>
      <c r="D1077" s="5" t="s">
        <v>69</v>
      </c>
      <c r="E1077" s="5" t="s">
        <v>69</v>
      </c>
      <c r="F1077" s="5">
        <v>57924946</v>
      </c>
      <c r="G1077" s="5" t="s">
        <v>1016</v>
      </c>
      <c r="H1077" s="7">
        <v>45848</v>
      </c>
      <c r="I1077" s="7">
        <v>45855</v>
      </c>
      <c r="J1077" s="8">
        <v>150</v>
      </c>
      <c r="K1077" s="7">
        <v>45870</v>
      </c>
      <c r="L1077" s="5" t="s">
        <v>964</v>
      </c>
      <c r="P1077" s="23"/>
    </row>
    <row r="1078" spans="1:16" ht="14.4" customHeight="1" x14ac:dyDescent="0.3">
      <c r="A1078" s="5">
        <v>1049</v>
      </c>
      <c r="B1078" s="5" t="s">
        <v>2253</v>
      </c>
      <c r="C1078" s="5" t="s">
        <v>2254</v>
      </c>
      <c r="D1078" s="5" t="s">
        <v>60</v>
      </c>
      <c r="E1078" s="5" t="s">
        <v>60</v>
      </c>
      <c r="F1078" s="5">
        <v>59132107</v>
      </c>
      <c r="G1078" s="5" t="s">
        <v>1024</v>
      </c>
      <c r="H1078" s="7">
        <v>45847</v>
      </c>
      <c r="I1078" s="7">
        <v>45855</v>
      </c>
      <c r="J1078" s="8">
        <v>150</v>
      </c>
      <c r="K1078" s="7">
        <v>45870</v>
      </c>
      <c r="L1078" s="5" t="s">
        <v>2256</v>
      </c>
      <c r="P1078" s="23"/>
    </row>
    <row r="1079" spans="1:16" ht="14.4" customHeight="1" x14ac:dyDescent="0.3">
      <c r="A1079" s="5">
        <v>1073</v>
      </c>
      <c r="B1079" s="5" t="s">
        <v>2306</v>
      </c>
      <c r="C1079" s="5" t="s">
        <v>2432</v>
      </c>
      <c r="D1079" s="5" t="s">
        <v>155</v>
      </c>
      <c r="E1079" s="5" t="s">
        <v>155</v>
      </c>
      <c r="F1079" s="5">
        <v>58134647</v>
      </c>
      <c r="G1079" s="5" t="s">
        <v>16</v>
      </c>
      <c r="H1079" s="7">
        <v>45851</v>
      </c>
      <c r="I1079" s="7">
        <v>45855</v>
      </c>
      <c r="J1079" s="8">
        <v>150</v>
      </c>
      <c r="K1079" s="7">
        <v>45870</v>
      </c>
      <c r="L1079" s="5"/>
      <c r="P1079" s="23"/>
    </row>
    <row r="1080" spans="1:16" ht="14.4" customHeight="1" x14ac:dyDescent="0.3">
      <c r="A1080" s="5">
        <v>1088</v>
      </c>
      <c r="B1080" s="5" t="s">
        <v>2344</v>
      </c>
      <c r="C1080" s="5" t="s">
        <v>2351</v>
      </c>
      <c r="D1080" s="5" t="s">
        <v>2677</v>
      </c>
      <c r="E1080" s="5" t="s">
        <v>2677</v>
      </c>
      <c r="F1080" s="5" t="s">
        <v>2345</v>
      </c>
      <c r="G1080" s="5" t="s">
        <v>1016</v>
      </c>
      <c r="H1080" s="7">
        <v>45855</v>
      </c>
      <c r="I1080" s="7">
        <v>45855</v>
      </c>
      <c r="J1080" s="8">
        <v>150</v>
      </c>
      <c r="K1080" s="7">
        <v>45870</v>
      </c>
      <c r="L1080" s="5" t="s">
        <v>2352</v>
      </c>
      <c r="P1080" s="23"/>
    </row>
    <row r="1081" spans="1:16" ht="14.4" customHeight="1" x14ac:dyDescent="0.3">
      <c r="A1081" s="5">
        <v>1089</v>
      </c>
      <c r="B1081" s="5" t="s">
        <v>2353</v>
      </c>
      <c r="C1081" s="5" t="s">
        <v>2355</v>
      </c>
      <c r="D1081" s="5" t="s">
        <v>2355</v>
      </c>
      <c r="E1081" s="5" t="s">
        <v>163</v>
      </c>
      <c r="F1081" s="5">
        <v>59473678</v>
      </c>
      <c r="G1081" s="5" t="s">
        <v>1146</v>
      </c>
      <c r="H1081" s="7">
        <v>45855</v>
      </c>
      <c r="I1081" s="7">
        <v>45855</v>
      </c>
      <c r="J1081" s="8">
        <v>150</v>
      </c>
      <c r="K1081" s="7">
        <v>45870</v>
      </c>
      <c r="L1081" s="5" t="s">
        <v>2354</v>
      </c>
      <c r="P1081" s="23"/>
    </row>
    <row r="1082" spans="1:16" ht="14.4" customHeight="1" x14ac:dyDescent="0.3">
      <c r="A1082" s="5">
        <v>1090</v>
      </c>
      <c r="B1082" s="5" t="s">
        <v>2357</v>
      </c>
      <c r="C1082" s="5" t="s">
        <v>2358</v>
      </c>
      <c r="D1082" s="5" t="s">
        <v>41</v>
      </c>
      <c r="E1082" s="5" t="s">
        <v>41</v>
      </c>
      <c r="F1082" s="5">
        <v>58152900</v>
      </c>
      <c r="G1082" s="5" t="s">
        <v>16</v>
      </c>
      <c r="H1082" s="7">
        <v>45854</v>
      </c>
      <c r="I1082" s="7">
        <v>45855</v>
      </c>
      <c r="J1082" s="8">
        <v>150</v>
      </c>
      <c r="K1082" s="7">
        <v>45870</v>
      </c>
      <c r="L1082" s="5"/>
      <c r="P1082" s="23"/>
    </row>
    <row r="1083" spans="1:16" ht="14.4" customHeight="1" x14ac:dyDescent="0.3">
      <c r="A1083" s="5">
        <v>1091</v>
      </c>
      <c r="B1083" s="5" t="s">
        <v>2359</v>
      </c>
      <c r="C1083" s="5" t="s">
        <v>2360</v>
      </c>
      <c r="D1083" s="5" t="s">
        <v>144</v>
      </c>
      <c r="E1083" s="5" t="s">
        <v>144</v>
      </c>
      <c r="F1083" s="5">
        <v>57986179</v>
      </c>
      <c r="G1083" s="5" t="s">
        <v>16</v>
      </c>
      <c r="H1083" s="7">
        <v>45854</v>
      </c>
      <c r="I1083" s="7">
        <v>45855</v>
      </c>
      <c r="J1083" s="8">
        <v>150</v>
      </c>
      <c r="K1083" s="7">
        <v>45870</v>
      </c>
      <c r="L1083" s="5"/>
      <c r="P1083" s="23"/>
    </row>
    <row r="1084" spans="1:16" ht="14.4" customHeight="1" x14ac:dyDescent="0.3">
      <c r="A1084" s="5">
        <v>1092</v>
      </c>
      <c r="B1084" s="5" t="s">
        <v>306</v>
      </c>
      <c r="C1084" s="5" t="s">
        <v>307</v>
      </c>
      <c r="D1084" s="5" t="s">
        <v>291</v>
      </c>
      <c r="E1084" s="5" t="s">
        <v>291</v>
      </c>
      <c r="F1084" s="5">
        <v>58236214</v>
      </c>
      <c r="G1084" s="5" t="s">
        <v>16</v>
      </c>
      <c r="H1084" s="7">
        <v>45854</v>
      </c>
      <c r="I1084" s="7">
        <v>45855</v>
      </c>
      <c r="J1084" s="8">
        <v>150</v>
      </c>
      <c r="K1084" s="7">
        <v>45870</v>
      </c>
      <c r="L1084" s="5"/>
      <c r="P1084" s="23"/>
    </row>
    <row r="1085" spans="1:16" ht="14.4" customHeight="1" x14ac:dyDescent="0.3">
      <c r="A1085" s="5">
        <v>1093</v>
      </c>
      <c r="B1085" s="5" t="s">
        <v>2361</v>
      </c>
      <c r="C1085" s="5" t="s">
        <v>2362</v>
      </c>
      <c r="D1085" s="5" t="s">
        <v>131</v>
      </c>
      <c r="E1085" s="5" t="s">
        <v>131</v>
      </c>
      <c r="F1085" s="5">
        <v>59379345</v>
      </c>
      <c r="G1085" s="5" t="s">
        <v>16</v>
      </c>
      <c r="H1085" s="7">
        <v>45854</v>
      </c>
      <c r="I1085" s="7">
        <v>45855</v>
      </c>
      <c r="J1085" s="8">
        <v>150</v>
      </c>
      <c r="K1085" s="7">
        <v>45870</v>
      </c>
      <c r="L1085" s="5"/>
      <c r="P1085" s="23"/>
    </row>
    <row r="1086" spans="1:16" ht="14.4" customHeight="1" x14ac:dyDescent="0.3">
      <c r="A1086" s="5">
        <v>1094</v>
      </c>
      <c r="B1086" s="5" t="s">
        <v>2363</v>
      </c>
      <c r="C1086" s="5" t="s">
        <v>2364</v>
      </c>
      <c r="D1086" s="5" t="s">
        <v>259</v>
      </c>
      <c r="E1086" s="5" t="s">
        <v>259</v>
      </c>
      <c r="F1086" s="5">
        <v>58271865</v>
      </c>
      <c r="G1086" s="5" t="s">
        <v>16</v>
      </c>
      <c r="H1086" s="7">
        <v>45854</v>
      </c>
      <c r="I1086" s="7">
        <v>45855</v>
      </c>
      <c r="J1086" s="8">
        <v>150</v>
      </c>
      <c r="K1086" s="7">
        <v>45870</v>
      </c>
      <c r="L1086" s="5"/>
      <c r="P1086" s="23"/>
    </row>
    <row r="1087" spans="1:16" ht="14.4" customHeight="1" x14ac:dyDescent="0.3">
      <c r="A1087" s="5">
        <v>1095</v>
      </c>
      <c r="B1087" s="5" t="s">
        <v>2365</v>
      </c>
      <c r="C1087" s="5" t="s">
        <v>2366</v>
      </c>
      <c r="D1087" s="5" t="s">
        <v>2367</v>
      </c>
      <c r="E1087" s="5" t="s">
        <v>2367</v>
      </c>
      <c r="F1087" s="5">
        <v>58031381</v>
      </c>
      <c r="G1087" s="5" t="s">
        <v>16</v>
      </c>
      <c r="H1087" s="7">
        <v>45854</v>
      </c>
      <c r="I1087" s="7">
        <v>45855</v>
      </c>
      <c r="J1087" s="8">
        <v>150</v>
      </c>
      <c r="K1087" s="7">
        <v>45870</v>
      </c>
      <c r="L1087" s="5"/>
      <c r="P1087" s="23"/>
    </row>
    <row r="1088" spans="1:16" ht="14.4" customHeight="1" x14ac:dyDescent="0.3">
      <c r="A1088" s="5">
        <v>1096</v>
      </c>
      <c r="B1088" s="5" t="s">
        <v>2368</v>
      </c>
      <c r="C1088" s="5" t="s">
        <v>2369</v>
      </c>
      <c r="D1088" s="5" t="s">
        <v>259</v>
      </c>
      <c r="E1088" s="5" t="s">
        <v>259</v>
      </c>
      <c r="F1088" s="5">
        <v>58142373</v>
      </c>
      <c r="G1088" s="5" t="s">
        <v>16</v>
      </c>
      <c r="H1088" s="7">
        <v>45854</v>
      </c>
      <c r="I1088" s="7">
        <v>45855</v>
      </c>
      <c r="J1088" s="8">
        <v>150</v>
      </c>
      <c r="K1088" s="7">
        <v>45870</v>
      </c>
      <c r="L1088" s="5"/>
      <c r="P1088" s="23"/>
    </row>
    <row r="1089" spans="1:16" ht="14.4" customHeight="1" x14ac:dyDescent="0.3">
      <c r="A1089" s="5">
        <v>1097</v>
      </c>
      <c r="B1089" s="5" t="s">
        <v>2370</v>
      </c>
      <c r="C1089" s="5" t="s">
        <v>2371</v>
      </c>
      <c r="D1089" s="5" t="s">
        <v>2372</v>
      </c>
      <c r="E1089" s="5" t="s">
        <v>2945</v>
      </c>
      <c r="F1089" s="5">
        <v>54887972</v>
      </c>
      <c r="G1089" s="5" t="s">
        <v>16</v>
      </c>
      <c r="H1089" s="7">
        <v>45854</v>
      </c>
      <c r="I1089" s="7">
        <v>45855</v>
      </c>
      <c r="J1089" s="8">
        <v>150</v>
      </c>
      <c r="K1089" s="7">
        <v>45870</v>
      </c>
      <c r="L1089" s="5"/>
      <c r="P1089" s="23"/>
    </row>
    <row r="1090" spans="1:16" ht="14.4" customHeight="1" x14ac:dyDescent="0.3">
      <c r="A1090" s="5">
        <v>1098</v>
      </c>
      <c r="B1090" s="5" t="s">
        <v>2373</v>
      </c>
      <c r="C1090" s="5" t="s">
        <v>2374</v>
      </c>
      <c r="D1090" s="5" t="s">
        <v>223</v>
      </c>
      <c r="E1090" s="5" t="s">
        <v>223</v>
      </c>
      <c r="F1090" s="5">
        <v>58350419</v>
      </c>
      <c r="G1090" s="5" t="s">
        <v>16</v>
      </c>
      <c r="H1090" s="7">
        <v>45854</v>
      </c>
      <c r="I1090" s="7">
        <v>45855</v>
      </c>
      <c r="J1090" s="8">
        <v>150</v>
      </c>
      <c r="K1090" s="7">
        <v>45870</v>
      </c>
      <c r="L1090" s="5"/>
      <c r="P1090" s="23"/>
    </row>
    <row r="1091" spans="1:16" ht="14.4" customHeight="1" x14ac:dyDescent="0.3">
      <c r="A1091" s="5">
        <v>1099</v>
      </c>
      <c r="B1091" s="5" t="s">
        <v>2375</v>
      </c>
      <c r="C1091" s="5" t="s">
        <v>2376</v>
      </c>
      <c r="D1091" s="5" t="s">
        <v>2377</v>
      </c>
      <c r="E1091" s="5" t="s">
        <v>27</v>
      </c>
      <c r="F1091" s="5">
        <v>57049936</v>
      </c>
      <c r="G1091" s="5" t="s">
        <v>16</v>
      </c>
      <c r="H1091" s="7">
        <v>45854</v>
      </c>
      <c r="I1091" s="7">
        <v>45855</v>
      </c>
      <c r="J1091" s="8">
        <v>150</v>
      </c>
      <c r="K1091" s="7">
        <v>45870</v>
      </c>
      <c r="L1091" s="5"/>
      <c r="P1091" s="23"/>
    </row>
    <row r="1092" spans="1:16" ht="14.4" customHeight="1" x14ac:dyDescent="0.3">
      <c r="A1092" s="5">
        <v>1100</v>
      </c>
      <c r="B1092" s="5" t="s">
        <v>2378</v>
      </c>
      <c r="C1092" s="5" t="s">
        <v>2379</v>
      </c>
      <c r="D1092" s="5" t="s">
        <v>41</v>
      </c>
      <c r="E1092" s="5" t="s">
        <v>41</v>
      </c>
      <c r="F1092" s="5">
        <v>59065040</v>
      </c>
      <c r="G1092" s="5" t="s">
        <v>16</v>
      </c>
      <c r="H1092" s="7">
        <v>45854</v>
      </c>
      <c r="I1092" s="7">
        <v>45855</v>
      </c>
      <c r="J1092" s="8">
        <v>150</v>
      </c>
      <c r="K1092" s="7">
        <v>45870</v>
      </c>
      <c r="L1092" s="5"/>
      <c r="P1092" s="23"/>
    </row>
    <row r="1093" spans="1:16" ht="14.4" customHeight="1" x14ac:dyDescent="0.3">
      <c r="A1093" s="5">
        <v>1101</v>
      </c>
      <c r="B1093" s="5" t="s">
        <v>1533</v>
      </c>
      <c r="C1093" s="5" t="s">
        <v>2380</v>
      </c>
      <c r="D1093" s="5" t="s">
        <v>226</v>
      </c>
      <c r="E1093" s="5" t="s">
        <v>226</v>
      </c>
      <c r="F1093" s="5">
        <v>57969252</v>
      </c>
      <c r="G1093" s="5" t="s">
        <v>16</v>
      </c>
      <c r="H1093" s="7">
        <v>45854</v>
      </c>
      <c r="I1093" s="7">
        <v>45855</v>
      </c>
      <c r="J1093" s="8">
        <v>150</v>
      </c>
      <c r="K1093" s="7">
        <v>45870</v>
      </c>
      <c r="L1093" s="5"/>
      <c r="P1093" s="23"/>
    </row>
    <row r="1094" spans="1:16" ht="14.4" customHeight="1" x14ac:dyDescent="0.3">
      <c r="A1094" s="5">
        <v>1102</v>
      </c>
      <c r="B1094" s="5" t="s">
        <v>2381</v>
      </c>
      <c r="C1094" s="5" t="s">
        <v>2382</v>
      </c>
      <c r="D1094" s="5" t="s">
        <v>291</v>
      </c>
      <c r="E1094" s="5" t="s">
        <v>291</v>
      </c>
      <c r="F1094" s="5">
        <v>59295436</v>
      </c>
      <c r="G1094" s="5" t="s">
        <v>16</v>
      </c>
      <c r="H1094" s="7">
        <v>45854</v>
      </c>
      <c r="I1094" s="7">
        <v>45855</v>
      </c>
      <c r="J1094" s="8">
        <v>150</v>
      </c>
      <c r="K1094" s="7">
        <v>45870</v>
      </c>
      <c r="L1094" s="5"/>
      <c r="P1094" s="23"/>
    </row>
    <row r="1095" spans="1:16" ht="14.4" customHeight="1" x14ac:dyDescent="0.3">
      <c r="A1095" s="5">
        <v>1103</v>
      </c>
      <c r="B1095" s="5" t="s">
        <v>2026</v>
      </c>
      <c r="C1095" s="5" t="s">
        <v>2057</v>
      </c>
      <c r="D1095" s="5" t="s">
        <v>49</v>
      </c>
      <c r="E1095" s="5" t="s">
        <v>49</v>
      </c>
      <c r="F1095" s="5">
        <v>59378240</v>
      </c>
      <c r="G1095" s="5" t="s">
        <v>16</v>
      </c>
      <c r="H1095" s="7">
        <v>45854</v>
      </c>
      <c r="I1095" s="7">
        <v>45855</v>
      </c>
      <c r="J1095" s="8">
        <v>150</v>
      </c>
      <c r="K1095" s="7">
        <v>45870</v>
      </c>
      <c r="L1095" s="5"/>
      <c r="P1095" s="23"/>
    </row>
    <row r="1096" spans="1:16" ht="14.4" customHeight="1" x14ac:dyDescent="0.3">
      <c r="A1096" s="5">
        <v>1104</v>
      </c>
      <c r="B1096" s="5" t="s">
        <v>2383</v>
      </c>
      <c r="C1096" s="5" t="s">
        <v>1099</v>
      </c>
      <c r="D1096" s="5" t="s">
        <v>291</v>
      </c>
      <c r="E1096" s="5" t="s">
        <v>291</v>
      </c>
      <c r="F1096" s="5">
        <v>59028343</v>
      </c>
      <c r="G1096" s="5" t="s">
        <v>16</v>
      </c>
      <c r="H1096" s="7">
        <v>45854</v>
      </c>
      <c r="I1096" s="7">
        <v>45855</v>
      </c>
      <c r="J1096" s="8">
        <v>150</v>
      </c>
      <c r="K1096" s="7">
        <v>45870</v>
      </c>
      <c r="L1096" s="5"/>
      <c r="P1096" s="23"/>
    </row>
    <row r="1097" spans="1:16" ht="14.4" customHeight="1" x14ac:dyDescent="0.3">
      <c r="A1097" s="5">
        <v>1105</v>
      </c>
      <c r="B1097" s="5" t="s">
        <v>2384</v>
      </c>
      <c r="C1097" s="5" t="s">
        <v>2385</v>
      </c>
      <c r="D1097" s="5" t="s">
        <v>163</v>
      </c>
      <c r="E1097" s="5" t="s">
        <v>163</v>
      </c>
      <c r="F1097" s="5">
        <v>57586996</v>
      </c>
      <c r="G1097" s="5" t="s">
        <v>16</v>
      </c>
      <c r="H1097" s="7">
        <v>45854</v>
      </c>
      <c r="I1097" s="7">
        <v>45855</v>
      </c>
      <c r="J1097" s="8">
        <v>150</v>
      </c>
      <c r="K1097" s="7">
        <v>45870</v>
      </c>
      <c r="L1097" s="5"/>
      <c r="P1097" s="23"/>
    </row>
    <row r="1098" spans="1:16" ht="14.4" customHeight="1" x14ac:dyDescent="0.3">
      <c r="A1098" s="5">
        <v>1106</v>
      </c>
      <c r="B1098" s="5" t="s">
        <v>2386</v>
      </c>
      <c r="C1098" s="5" t="s">
        <v>2387</v>
      </c>
      <c r="D1098" s="5" t="s">
        <v>149</v>
      </c>
      <c r="E1098" s="5" t="s">
        <v>149</v>
      </c>
      <c r="F1098" s="5" t="s">
        <v>2388</v>
      </c>
      <c r="G1098" s="5" t="s">
        <v>16</v>
      </c>
      <c r="H1098" s="7">
        <v>45854</v>
      </c>
      <c r="I1098" s="7">
        <v>45855</v>
      </c>
      <c r="J1098" s="8">
        <v>150</v>
      </c>
      <c r="K1098" s="7">
        <v>45870</v>
      </c>
      <c r="L1098" s="5"/>
      <c r="P1098" s="23"/>
    </row>
    <row r="1099" spans="1:16" ht="14.4" customHeight="1" x14ac:dyDescent="0.3">
      <c r="A1099" s="5">
        <v>1107</v>
      </c>
      <c r="B1099" s="5" t="s">
        <v>2389</v>
      </c>
      <c r="C1099" s="5" t="s">
        <v>2390</v>
      </c>
      <c r="D1099" s="5" t="s">
        <v>41</v>
      </c>
      <c r="E1099" s="5" t="s">
        <v>41</v>
      </c>
      <c r="F1099" s="5">
        <v>58108411</v>
      </c>
      <c r="G1099" s="5" t="s">
        <v>16</v>
      </c>
      <c r="H1099" s="7">
        <v>45854</v>
      </c>
      <c r="I1099" s="7">
        <v>45855</v>
      </c>
      <c r="J1099" s="8">
        <v>150</v>
      </c>
      <c r="K1099" s="7">
        <v>45870</v>
      </c>
      <c r="L1099" s="5"/>
      <c r="P1099" s="23"/>
    </row>
    <row r="1100" spans="1:16" ht="14.4" customHeight="1" x14ac:dyDescent="0.3">
      <c r="A1100" s="5">
        <v>1108</v>
      </c>
      <c r="B1100" s="5" t="s">
        <v>1036</v>
      </c>
      <c r="C1100" s="5" t="s">
        <v>2391</v>
      </c>
      <c r="D1100" s="5" t="s">
        <v>2392</v>
      </c>
      <c r="E1100" s="5" t="s">
        <v>2392</v>
      </c>
      <c r="F1100" s="5">
        <v>57851354</v>
      </c>
      <c r="G1100" s="5" t="s">
        <v>16</v>
      </c>
      <c r="H1100" s="7">
        <v>45854</v>
      </c>
      <c r="I1100" s="7">
        <v>45855</v>
      </c>
      <c r="J1100" s="8">
        <v>150</v>
      </c>
      <c r="K1100" s="7">
        <v>45870</v>
      </c>
      <c r="L1100" s="5"/>
      <c r="P1100" s="23"/>
    </row>
    <row r="1101" spans="1:16" ht="14.4" customHeight="1" x14ac:dyDescent="0.3">
      <c r="A1101" s="5">
        <v>1109</v>
      </c>
      <c r="B1101" s="5" t="s">
        <v>2393</v>
      </c>
      <c r="C1101" s="5" t="s">
        <v>2394</v>
      </c>
      <c r="D1101" s="5" t="s">
        <v>77</v>
      </c>
      <c r="E1101" s="5" t="s">
        <v>77</v>
      </c>
      <c r="F1101" s="5">
        <v>57591688</v>
      </c>
      <c r="G1101" s="5" t="s">
        <v>16</v>
      </c>
      <c r="H1101" s="7">
        <v>45854</v>
      </c>
      <c r="I1101" s="7">
        <v>45855</v>
      </c>
      <c r="J1101" s="8">
        <v>150</v>
      </c>
      <c r="K1101" s="7">
        <v>45870</v>
      </c>
      <c r="L1101" s="5"/>
      <c r="P1101" s="23"/>
    </row>
    <row r="1102" spans="1:16" ht="14.4" customHeight="1" x14ac:dyDescent="0.3">
      <c r="A1102" s="5">
        <v>1110</v>
      </c>
      <c r="B1102" s="5" t="s">
        <v>2395</v>
      </c>
      <c r="C1102" s="5" t="s">
        <v>2396</v>
      </c>
      <c r="D1102" s="5" t="s">
        <v>2377</v>
      </c>
      <c r="E1102" s="5" t="s">
        <v>27</v>
      </c>
      <c r="F1102" s="5">
        <v>57715392</v>
      </c>
      <c r="G1102" s="5" t="s">
        <v>16</v>
      </c>
      <c r="H1102" s="7">
        <v>45854</v>
      </c>
      <c r="I1102" s="7">
        <v>45855</v>
      </c>
      <c r="J1102" s="8">
        <v>150</v>
      </c>
      <c r="K1102" s="7">
        <v>45870</v>
      </c>
      <c r="L1102" s="5"/>
      <c r="P1102" s="23"/>
    </row>
    <row r="1103" spans="1:16" ht="14.4" customHeight="1" x14ac:dyDescent="0.3">
      <c r="A1103" s="5">
        <v>1111</v>
      </c>
      <c r="B1103" s="5" t="s">
        <v>2397</v>
      </c>
      <c r="C1103" s="5" t="s">
        <v>2398</v>
      </c>
      <c r="D1103" s="5" t="s">
        <v>1855</v>
      </c>
      <c r="E1103" s="5" t="s">
        <v>1855</v>
      </c>
      <c r="F1103" s="5">
        <v>58018990</v>
      </c>
      <c r="G1103" s="5" t="s">
        <v>16</v>
      </c>
      <c r="H1103" s="7">
        <v>45854</v>
      </c>
      <c r="I1103" s="7">
        <v>45855</v>
      </c>
      <c r="J1103" s="8">
        <v>150</v>
      </c>
      <c r="K1103" s="7">
        <v>45870</v>
      </c>
      <c r="L1103" s="5"/>
      <c r="P1103" s="23"/>
    </row>
    <row r="1104" spans="1:16" ht="14.4" customHeight="1" x14ac:dyDescent="0.3">
      <c r="A1104" s="5">
        <v>1112</v>
      </c>
      <c r="B1104" s="5" t="s">
        <v>2399</v>
      </c>
      <c r="C1104" s="5" t="s">
        <v>2400</v>
      </c>
      <c r="D1104" s="5" t="s">
        <v>2377</v>
      </c>
      <c r="E1104" s="5" t="s">
        <v>27</v>
      </c>
      <c r="F1104" s="5">
        <v>59081694</v>
      </c>
      <c r="G1104" s="5" t="s">
        <v>16</v>
      </c>
      <c r="H1104" s="7">
        <v>45854</v>
      </c>
      <c r="I1104" s="7">
        <v>45855</v>
      </c>
      <c r="J1104" s="8">
        <v>150</v>
      </c>
      <c r="K1104" s="7">
        <v>45870</v>
      </c>
      <c r="L1104" s="5"/>
      <c r="P1104" s="23"/>
    </row>
    <row r="1105" spans="1:16" ht="14.4" customHeight="1" x14ac:dyDescent="0.3">
      <c r="A1105" s="5">
        <v>1113</v>
      </c>
      <c r="B1105" s="5" t="s">
        <v>2401</v>
      </c>
      <c r="C1105" s="5" t="s">
        <v>2402</v>
      </c>
      <c r="D1105" s="5" t="s">
        <v>1279</v>
      </c>
      <c r="E1105" s="5" t="s">
        <v>1279</v>
      </c>
      <c r="F1105" s="5">
        <v>57597260</v>
      </c>
      <c r="G1105" s="5" t="s">
        <v>16</v>
      </c>
      <c r="H1105" s="7">
        <v>45854</v>
      </c>
      <c r="I1105" s="7">
        <v>45855</v>
      </c>
      <c r="J1105" s="8">
        <v>150</v>
      </c>
      <c r="K1105" s="7">
        <v>45870</v>
      </c>
      <c r="L1105" s="5"/>
      <c r="P1105" s="23"/>
    </row>
    <row r="1106" spans="1:16" ht="14.4" customHeight="1" x14ac:dyDescent="0.3">
      <c r="A1106" s="5">
        <v>1114</v>
      </c>
      <c r="B1106" s="5" t="s">
        <v>2403</v>
      </c>
      <c r="C1106" s="5" t="s">
        <v>2404</v>
      </c>
      <c r="D1106" s="5" t="s">
        <v>259</v>
      </c>
      <c r="E1106" s="5" t="s">
        <v>259</v>
      </c>
      <c r="F1106" s="5">
        <v>58348342</v>
      </c>
      <c r="G1106" s="5" t="s">
        <v>16</v>
      </c>
      <c r="H1106" s="7">
        <v>45854</v>
      </c>
      <c r="I1106" s="7">
        <v>45855</v>
      </c>
      <c r="J1106" s="8">
        <v>150</v>
      </c>
      <c r="K1106" s="7">
        <v>45870</v>
      </c>
      <c r="L1106" s="5"/>
      <c r="P1106" s="23"/>
    </row>
    <row r="1107" spans="1:16" ht="14.4" customHeight="1" x14ac:dyDescent="0.3">
      <c r="A1107" s="5">
        <v>1115</v>
      </c>
      <c r="B1107" s="5" t="s">
        <v>2405</v>
      </c>
      <c r="C1107" s="5" t="s">
        <v>2406</v>
      </c>
      <c r="D1107" s="5" t="s">
        <v>74</v>
      </c>
      <c r="E1107" s="5" t="s">
        <v>74</v>
      </c>
      <c r="F1107" s="5">
        <v>57107147</v>
      </c>
      <c r="G1107" s="5" t="s">
        <v>16</v>
      </c>
      <c r="H1107" s="7">
        <v>45854</v>
      </c>
      <c r="I1107" s="7">
        <v>45855</v>
      </c>
      <c r="J1107" s="8">
        <v>150</v>
      </c>
      <c r="K1107" s="7">
        <v>45870</v>
      </c>
      <c r="L1107" s="5"/>
      <c r="P1107" s="23"/>
    </row>
    <row r="1108" spans="1:16" ht="14.4" customHeight="1" x14ac:dyDescent="0.3">
      <c r="A1108" s="5">
        <v>1116</v>
      </c>
      <c r="B1108" s="5" t="s">
        <v>2407</v>
      </c>
      <c r="C1108" s="5" t="s">
        <v>2408</v>
      </c>
      <c r="D1108" s="5" t="s">
        <v>1107</v>
      </c>
      <c r="E1108" s="5" t="s">
        <v>101</v>
      </c>
      <c r="F1108" s="5">
        <v>55185471</v>
      </c>
      <c r="G1108" s="5" t="s">
        <v>16</v>
      </c>
      <c r="H1108" s="7">
        <v>45854</v>
      </c>
      <c r="I1108" s="7">
        <v>45855</v>
      </c>
      <c r="J1108" s="8">
        <v>150</v>
      </c>
      <c r="K1108" s="7">
        <v>45870</v>
      </c>
      <c r="L1108" s="5"/>
      <c r="P1108" s="23"/>
    </row>
    <row r="1109" spans="1:16" ht="14.4" customHeight="1" x14ac:dyDescent="0.3">
      <c r="A1109" s="5">
        <v>1117</v>
      </c>
      <c r="B1109" s="5" t="s">
        <v>2409</v>
      </c>
      <c r="C1109" s="5" t="s">
        <v>2410</v>
      </c>
      <c r="D1109" s="5" t="s">
        <v>63</v>
      </c>
      <c r="E1109" s="5" t="s">
        <v>63</v>
      </c>
      <c r="F1109" s="5">
        <v>57723010</v>
      </c>
      <c r="G1109" s="5" t="s">
        <v>16</v>
      </c>
      <c r="H1109" s="7">
        <v>45854</v>
      </c>
      <c r="I1109" s="7">
        <v>45855</v>
      </c>
      <c r="J1109" s="8">
        <v>150</v>
      </c>
      <c r="K1109" s="7">
        <v>45870</v>
      </c>
      <c r="L1109" s="5"/>
      <c r="P1109" s="23"/>
    </row>
    <row r="1110" spans="1:16" ht="14.4" customHeight="1" x14ac:dyDescent="0.3">
      <c r="A1110" s="5">
        <v>1118</v>
      </c>
      <c r="B1110" s="5" t="s">
        <v>2411</v>
      </c>
      <c r="C1110" s="5" t="s">
        <v>2412</v>
      </c>
      <c r="D1110" s="5" t="s">
        <v>63</v>
      </c>
      <c r="E1110" s="5" t="s">
        <v>63</v>
      </c>
      <c r="F1110" s="5">
        <v>57947436</v>
      </c>
      <c r="G1110" s="5" t="s">
        <v>16</v>
      </c>
      <c r="H1110" s="7">
        <v>45854</v>
      </c>
      <c r="I1110" s="7">
        <v>45855</v>
      </c>
      <c r="J1110" s="8">
        <v>150</v>
      </c>
      <c r="K1110" s="7">
        <v>45870</v>
      </c>
      <c r="L1110" s="5"/>
      <c r="P1110" s="23"/>
    </row>
    <row r="1111" spans="1:16" ht="14.4" customHeight="1" x14ac:dyDescent="0.3">
      <c r="A1111" s="5">
        <v>1119</v>
      </c>
      <c r="B1111" s="5" t="s">
        <v>2413</v>
      </c>
      <c r="C1111" s="5" t="s">
        <v>2414</v>
      </c>
      <c r="D1111" s="5" t="s">
        <v>1678</v>
      </c>
      <c r="E1111" s="5" t="s">
        <v>305</v>
      </c>
      <c r="F1111" s="5">
        <v>57366395</v>
      </c>
      <c r="G1111" s="5" t="s">
        <v>16</v>
      </c>
      <c r="H1111" s="7">
        <v>45854</v>
      </c>
      <c r="I1111" s="7">
        <v>45855</v>
      </c>
      <c r="J1111" s="8">
        <v>150</v>
      </c>
      <c r="K1111" s="7">
        <v>45870</v>
      </c>
      <c r="L1111" s="5"/>
      <c r="P1111" s="23"/>
    </row>
    <row r="1112" spans="1:16" ht="14.4" customHeight="1" x14ac:dyDescent="0.3">
      <c r="A1112" s="5">
        <v>1120</v>
      </c>
      <c r="B1112" s="5" t="s">
        <v>2415</v>
      </c>
      <c r="C1112" s="5" t="s">
        <v>2416</v>
      </c>
      <c r="D1112" s="5" t="s">
        <v>2417</v>
      </c>
      <c r="E1112" s="5" t="s">
        <v>634</v>
      </c>
      <c r="F1112" s="5">
        <v>58072559</v>
      </c>
      <c r="G1112" s="5" t="s">
        <v>16</v>
      </c>
      <c r="H1112" s="7">
        <v>45854</v>
      </c>
      <c r="I1112" s="7">
        <v>45855</v>
      </c>
      <c r="J1112" s="8">
        <v>150</v>
      </c>
      <c r="K1112" s="7">
        <v>45870</v>
      </c>
      <c r="L1112" s="5"/>
      <c r="P1112" s="23"/>
    </row>
    <row r="1113" spans="1:16" ht="14.4" customHeight="1" x14ac:dyDescent="0.3">
      <c r="A1113" s="5">
        <v>1121</v>
      </c>
      <c r="B1113" s="5" t="s">
        <v>448</v>
      </c>
      <c r="C1113" s="5" t="s">
        <v>2418</v>
      </c>
      <c r="D1113" s="5" t="s">
        <v>2377</v>
      </c>
      <c r="E1113" s="5" t="s">
        <v>27</v>
      </c>
      <c r="F1113" s="5">
        <v>57850366</v>
      </c>
      <c r="G1113" s="5" t="s">
        <v>16</v>
      </c>
      <c r="H1113" s="7">
        <v>45854</v>
      </c>
      <c r="I1113" s="7">
        <v>45855</v>
      </c>
      <c r="J1113" s="8">
        <v>150</v>
      </c>
      <c r="K1113" s="7">
        <v>45870</v>
      </c>
      <c r="L1113" s="5"/>
      <c r="P1113" s="23"/>
    </row>
    <row r="1114" spans="1:16" ht="14.4" customHeight="1" x14ac:dyDescent="0.3">
      <c r="A1114" s="5">
        <v>1122</v>
      </c>
      <c r="B1114" s="5" t="s">
        <v>2420</v>
      </c>
      <c r="C1114" s="5" t="s">
        <v>2421</v>
      </c>
      <c r="D1114" s="5" t="s">
        <v>2377</v>
      </c>
      <c r="E1114" s="5" t="s">
        <v>27</v>
      </c>
      <c r="F1114" s="5">
        <v>57455252</v>
      </c>
      <c r="G1114" s="5" t="s">
        <v>16</v>
      </c>
      <c r="H1114" s="7">
        <v>45854</v>
      </c>
      <c r="I1114" s="7">
        <v>45855</v>
      </c>
      <c r="J1114" s="8">
        <v>150</v>
      </c>
      <c r="K1114" s="7">
        <v>45870</v>
      </c>
      <c r="L1114" s="5"/>
      <c r="P1114" s="23"/>
    </row>
    <row r="1115" spans="1:16" ht="14.4" customHeight="1" x14ac:dyDescent="0.3">
      <c r="A1115" s="5">
        <v>1123</v>
      </c>
      <c r="B1115" s="5" t="s">
        <v>2025</v>
      </c>
      <c r="C1115" s="5" t="s">
        <v>2425</v>
      </c>
      <c r="D1115" s="5" t="s">
        <v>402</v>
      </c>
      <c r="E1115" s="5" t="s">
        <v>402</v>
      </c>
      <c r="F1115" s="5">
        <v>54949025</v>
      </c>
      <c r="G1115" s="5" t="s">
        <v>16</v>
      </c>
      <c r="H1115" s="7">
        <v>45854</v>
      </c>
      <c r="I1115" s="7">
        <v>45855</v>
      </c>
      <c r="J1115" s="8">
        <v>150</v>
      </c>
      <c r="K1115" s="7">
        <v>45870</v>
      </c>
      <c r="L1115" s="5"/>
      <c r="P1115" s="23"/>
    </row>
    <row r="1116" spans="1:16" ht="14.4" customHeight="1" x14ac:dyDescent="0.3">
      <c r="A1116" s="5">
        <v>1124</v>
      </c>
      <c r="B1116" s="5" t="s">
        <v>2426</v>
      </c>
      <c r="C1116" s="5" t="s">
        <v>2427</v>
      </c>
      <c r="D1116" s="5" t="s">
        <v>49</v>
      </c>
      <c r="E1116" s="5" t="s">
        <v>49</v>
      </c>
      <c r="F1116" s="5">
        <v>57873929</v>
      </c>
      <c r="G1116" s="5" t="s">
        <v>16</v>
      </c>
      <c r="H1116" s="7">
        <v>45854</v>
      </c>
      <c r="I1116" s="7">
        <v>45855</v>
      </c>
      <c r="J1116" s="8">
        <v>150</v>
      </c>
      <c r="K1116" s="7">
        <v>45870</v>
      </c>
      <c r="L1116" s="5"/>
      <c r="P1116" s="23"/>
    </row>
    <row r="1117" spans="1:16" ht="14.4" customHeight="1" x14ac:dyDescent="0.3">
      <c r="A1117" s="5">
        <v>1125</v>
      </c>
      <c r="B1117" s="5" t="s">
        <v>2428</v>
      </c>
      <c r="C1117" s="5" t="s">
        <v>2429</v>
      </c>
      <c r="D1117" s="5" t="s">
        <v>847</v>
      </c>
      <c r="E1117" s="5" t="s">
        <v>847</v>
      </c>
      <c r="F1117" s="5">
        <v>58089245</v>
      </c>
      <c r="G1117" s="5" t="s">
        <v>16</v>
      </c>
      <c r="H1117" s="7">
        <v>45854</v>
      </c>
      <c r="I1117" s="7">
        <v>45855</v>
      </c>
      <c r="J1117" s="8">
        <v>150</v>
      </c>
      <c r="K1117" s="7">
        <v>45870</v>
      </c>
      <c r="L1117" s="5"/>
      <c r="P1117" s="23"/>
    </row>
    <row r="1118" spans="1:16" ht="14.4" customHeight="1" x14ac:dyDescent="0.3">
      <c r="A1118" s="5">
        <v>1126</v>
      </c>
      <c r="B1118" s="5" t="s">
        <v>2430</v>
      </c>
      <c r="C1118" s="5" t="s">
        <v>2431</v>
      </c>
      <c r="D1118" s="5" t="s">
        <v>291</v>
      </c>
      <c r="E1118" s="5" t="s">
        <v>291</v>
      </c>
      <c r="F1118" s="5">
        <v>57774370</v>
      </c>
      <c r="G1118" s="5" t="s">
        <v>16</v>
      </c>
      <c r="H1118" s="7">
        <v>45854</v>
      </c>
      <c r="I1118" s="7">
        <v>45855</v>
      </c>
      <c r="J1118" s="8">
        <v>150</v>
      </c>
      <c r="K1118" s="7">
        <v>45870</v>
      </c>
      <c r="L1118" s="5"/>
      <c r="P1118" s="23"/>
    </row>
    <row r="1119" spans="1:16" ht="14.4" customHeight="1" x14ac:dyDescent="0.3">
      <c r="A1119" s="5">
        <v>1127</v>
      </c>
      <c r="B1119" s="5" t="s">
        <v>2433</v>
      </c>
      <c r="C1119" s="5" t="s">
        <v>2434</v>
      </c>
      <c r="D1119" s="5" t="s">
        <v>414</v>
      </c>
      <c r="E1119" s="5" t="s">
        <v>1757</v>
      </c>
      <c r="F1119" s="5">
        <v>58194682</v>
      </c>
      <c r="G1119" s="5" t="s">
        <v>963</v>
      </c>
      <c r="H1119" s="7">
        <v>45855</v>
      </c>
      <c r="I1119" s="7">
        <v>45855</v>
      </c>
      <c r="J1119" s="8">
        <v>150</v>
      </c>
      <c r="K1119" s="7">
        <v>45870</v>
      </c>
      <c r="L1119" s="5"/>
      <c r="P1119" s="23"/>
    </row>
    <row r="1120" spans="1:16" ht="14.4" customHeight="1" x14ac:dyDescent="0.3">
      <c r="A1120" s="5">
        <v>1128</v>
      </c>
      <c r="B1120" s="5" t="s">
        <v>2435</v>
      </c>
      <c r="C1120" s="5" t="s">
        <v>2437</v>
      </c>
      <c r="D1120" s="5" t="s">
        <v>23</v>
      </c>
      <c r="E1120" s="5" t="s">
        <v>23</v>
      </c>
      <c r="F1120" s="5">
        <v>54573446</v>
      </c>
      <c r="G1120" s="5" t="s">
        <v>1024</v>
      </c>
      <c r="H1120" s="7">
        <v>45854</v>
      </c>
      <c r="I1120" s="7">
        <v>45855</v>
      </c>
      <c r="J1120" s="8">
        <v>150</v>
      </c>
      <c r="K1120" s="7">
        <v>45870</v>
      </c>
      <c r="L1120" s="5" t="s">
        <v>2436</v>
      </c>
      <c r="P1120" s="23"/>
    </row>
    <row r="1121" spans="1:16" ht="14.4" customHeight="1" x14ac:dyDescent="0.3">
      <c r="A1121" s="5">
        <v>1129</v>
      </c>
      <c r="B1121" s="5" t="s">
        <v>2422</v>
      </c>
      <c r="C1121" s="5" t="s">
        <v>2423</v>
      </c>
      <c r="D1121" s="5" t="s">
        <v>2424</v>
      </c>
      <c r="E1121" s="5" t="s">
        <v>2424</v>
      </c>
      <c r="F1121" s="5">
        <v>58402146</v>
      </c>
      <c r="G1121" s="5" t="s">
        <v>16</v>
      </c>
      <c r="H1121" s="7">
        <v>45854</v>
      </c>
      <c r="I1121" s="7">
        <v>45858</v>
      </c>
      <c r="J1121" s="8">
        <v>150</v>
      </c>
      <c r="K1121" s="7">
        <v>45870</v>
      </c>
      <c r="L1121" s="5"/>
      <c r="P1121" s="23"/>
    </row>
    <row r="1122" spans="1:16" ht="14.4" customHeight="1" x14ac:dyDescent="0.3">
      <c r="A1122" s="5">
        <v>1050</v>
      </c>
      <c r="B1122" s="5" t="s">
        <v>2323</v>
      </c>
      <c r="C1122" s="5" t="s">
        <v>2324</v>
      </c>
      <c r="D1122" s="5" t="s">
        <v>696</v>
      </c>
      <c r="E1122" s="5" t="s">
        <v>696</v>
      </c>
      <c r="F1122" s="5">
        <v>55029300</v>
      </c>
      <c r="G1122" s="5" t="s">
        <v>1146</v>
      </c>
      <c r="H1122" s="7">
        <v>45852</v>
      </c>
      <c r="I1122" s="7">
        <v>45859</v>
      </c>
      <c r="J1122" s="8">
        <v>150</v>
      </c>
      <c r="K1122" s="7">
        <v>45870</v>
      </c>
      <c r="L1122" s="5" t="s">
        <v>2326</v>
      </c>
      <c r="P1122" s="23"/>
    </row>
    <row r="1123" spans="1:16" ht="14.4" customHeight="1" x14ac:dyDescent="0.3">
      <c r="A1123" s="5">
        <v>1131</v>
      </c>
      <c r="B1123" s="5" t="s">
        <v>2346</v>
      </c>
      <c r="C1123" s="5" t="s">
        <v>2347</v>
      </c>
      <c r="D1123" s="5" t="s">
        <v>211</v>
      </c>
      <c r="E1123" s="5" t="s">
        <v>211</v>
      </c>
      <c r="F1123" s="5" t="s">
        <v>2342</v>
      </c>
      <c r="G1123" s="5" t="s">
        <v>1016</v>
      </c>
      <c r="H1123" s="7">
        <v>45855</v>
      </c>
      <c r="I1123" s="7">
        <v>45859</v>
      </c>
      <c r="J1123" s="8">
        <v>150</v>
      </c>
      <c r="K1123" s="7">
        <v>45870</v>
      </c>
      <c r="L1123" s="5" t="s">
        <v>2340</v>
      </c>
      <c r="P1123" s="23"/>
    </row>
    <row r="1124" spans="1:16" ht="14.4" customHeight="1" x14ac:dyDescent="0.3">
      <c r="A1124" s="5">
        <v>1132</v>
      </c>
      <c r="B1124" s="5" t="s">
        <v>2348</v>
      </c>
      <c r="C1124" s="5" t="s">
        <v>2349</v>
      </c>
      <c r="D1124" s="5" t="s">
        <v>35</v>
      </c>
      <c r="E1124" s="5" t="s">
        <v>1170</v>
      </c>
      <c r="F1124" s="5" t="s">
        <v>2343</v>
      </c>
      <c r="G1124" s="5" t="s">
        <v>1016</v>
      </c>
      <c r="H1124" s="7">
        <v>45855</v>
      </c>
      <c r="I1124" s="7">
        <v>45859</v>
      </c>
      <c r="J1124" s="8">
        <v>150</v>
      </c>
      <c r="K1124" s="7">
        <v>45870</v>
      </c>
      <c r="L1124" s="5" t="s">
        <v>2350</v>
      </c>
      <c r="P1124" s="23"/>
    </row>
    <row r="1125" spans="1:16" ht="14.4" customHeight="1" x14ac:dyDescent="0.3">
      <c r="A1125" s="5">
        <v>1133</v>
      </c>
      <c r="B1125" s="5" t="s">
        <v>2419</v>
      </c>
      <c r="C1125" s="5" t="s">
        <v>354</v>
      </c>
      <c r="D1125" s="5" t="s">
        <v>211</v>
      </c>
      <c r="E1125" s="5" t="s">
        <v>211</v>
      </c>
      <c r="F1125" s="5">
        <v>59661486</v>
      </c>
      <c r="G1125" s="5" t="s">
        <v>16</v>
      </c>
      <c r="H1125" s="7">
        <v>45854</v>
      </c>
      <c r="I1125" s="7">
        <v>45859</v>
      </c>
      <c r="J1125" s="8">
        <v>150</v>
      </c>
      <c r="K1125" s="7">
        <v>45870</v>
      </c>
      <c r="L1125" s="5"/>
      <c r="P1125" s="23"/>
    </row>
    <row r="1126" spans="1:16" ht="14.4" customHeight="1" x14ac:dyDescent="0.3">
      <c r="A1126" s="5">
        <v>1134</v>
      </c>
      <c r="B1126" s="5" t="s">
        <v>342</v>
      </c>
      <c r="C1126" s="5" t="s">
        <v>343</v>
      </c>
      <c r="D1126" s="5" t="s">
        <v>30</v>
      </c>
      <c r="E1126" s="5" t="s">
        <v>344</v>
      </c>
      <c r="F1126" s="5">
        <v>52526373</v>
      </c>
      <c r="G1126" s="5" t="s">
        <v>1024</v>
      </c>
      <c r="H1126" s="7">
        <v>45858</v>
      </c>
      <c r="I1126" s="7">
        <v>45859</v>
      </c>
      <c r="J1126" s="8">
        <v>150</v>
      </c>
      <c r="K1126" s="7">
        <v>45870</v>
      </c>
      <c r="L1126" s="5" t="s">
        <v>2439</v>
      </c>
      <c r="P1126" s="23"/>
    </row>
    <row r="1127" spans="1:16" ht="14.4" customHeight="1" x14ac:dyDescent="0.3">
      <c r="A1127" s="5">
        <v>1135</v>
      </c>
      <c r="B1127" s="5" t="s">
        <v>340</v>
      </c>
      <c r="C1127" s="5" t="s">
        <v>341</v>
      </c>
      <c r="D1127" s="5" t="s">
        <v>68</v>
      </c>
      <c r="E1127" s="5" t="s">
        <v>69</v>
      </c>
      <c r="F1127" s="5">
        <v>59120596</v>
      </c>
      <c r="G1127" s="5" t="s">
        <v>1024</v>
      </c>
      <c r="H1127" s="7">
        <v>45858</v>
      </c>
      <c r="I1127" s="7">
        <v>45859</v>
      </c>
      <c r="J1127" s="8">
        <v>150</v>
      </c>
      <c r="K1127" s="7">
        <v>45870</v>
      </c>
      <c r="L1127" s="5" t="s">
        <v>983</v>
      </c>
      <c r="P1127" s="23"/>
    </row>
    <row r="1128" spans="1:16" ht="14.4" customHeight="1" x14ac:dyDescent="0.3">
      <c r="A1128" s="5">
        <v>1136</v>
      </c>
      <c r="B1128" s="5" t="s">
        <v>459</v>
      </c>
      <c r="C1128" s="5" t="s">
        <v>2471</v>
      </c>
      <c r="D1128" s="5" t="s">
        <v>447</v>
      </c>
      <c r="E1128" s="5" t="s">
        <v>447</v>
      </c>
      <c r="F1128" s="5" t="s">
        <v>461</v>
      </c>
      <c r="G1128" s="5" t="s">
        <v>16</v>
      </c>
      <c r="H1128" s="7">
        <v>45858</v>
      </c>
      <c r="I1128" s="7">
        <v>45859</v>
      </c>
      <c r="J1128" s="8">
        <v>150</v>
      </c>
      <c r="K1128" s="7">
        <v>45870</v>
      </c>
      <c r="L1128" s="5"/>
      <c r="P1128" s="23"/>
    </row>
    <row r="1129" spans="1:16" ht="14.4" customHeight="1" x14ac:dyDescent="0.3">
      <c r="A1129" s="5">
        <v>1137</v>
      </c>
      <c r="B1129" s="5" t="s">
        <v>595</v>
      </c>
      <c r="C1129" s="5" t="s">
        <v>2470</v>
      </c>
      <c r="D1129" s="5" t="s">
        <v>35</v>
      </c>
      <c r="E1129" s="5" t="s">
        <v>1170</v>
      </c>
      <c r="F1129" s="5">
        <v>58146306</v>
      </c>
      <c r="G1129" s="5" t="s">
        <v>16</v>
      </c>
      <c r="H1129" s="7">
        <v>45858</v>
      </c>
      <c r="I1129" s="7">
        <v>45859</v>
      </c>
      <c r="J1129" s="8">
        <v>150</v>
      </c>
      <c r="K1129" s="7">
        <v>45870</v>
      </c>
      <c r="L1129" s="5"/>
      <c r="P1129" s="23"/>
    </row>
    <row r="1130" spans="1:16" ht="14.4" customHeight="1" x14ac:dyDescent="0.3">
      <c r="A1130" s="5">
        <v>1138</v>
      </c>
      <c r="B1130" s="5" t="s">
        <v>2440</v>
      </c>
      <c r="C1130" s="5" t="s">
        <v>2441</v>
      </c>
      <c r="D1130" s="5" t="s">
        <v>137</v>
      </c>
      <c r="E1130" s="5" t="s">
        <v>137</v>
      </c>
      <c r="F1130" s="5">
        <v>55376204</v>
      </c>
      <c r="G1130" s="5" t="s">
        <v>16</v>
      </c>
      <c r="H1130" s="7">
        <v>45858</v>
      </c>
      <c r="I1130" s="7">
        <v>45859</v>
      </c>
      <c r="J1130" s="8">
        <v>150</v>
      </c>
      <c r="K1130" s="7">
        <v>45870</v>
      </c>
      <c r="L1130" s="5"/>
      <c r="P1130" s="23"/>
    </row>
    <row r="1131" spans="1:16" ht="14.4" customHeight="1" x14ac:dyDescent="0.3">
      <c r="A1131" s="5">
        <v>1139</v>
      </c>
      <c r="B1131" s="5" t="s">
        <v>2442</v>
      </c>
      <c r="C1131" s="5" t="s">
        <v>2443</v>
      </c>
      <c r="D1131" s="5" t="s">
        <v>84</v>
      </c>
      <c r="E1131" s="5" t="s">
        <v>84</v>
      </c>
      <c r="F1131" s="5">
        <v>57865159</v>
      </c>
      <c r="G1131" s="5" t="s">
        <v>16</v>
      </c>
      <c r="H1131" s="7">
        <v>45858</v>
      </c>
      <c r="I1131" s="7">
        <v>45859</v>
      </c>
      <c r="J1131" s="8">
        <v>150</v>
      </c>
      <c r="K1131" s="7">
        <v>45870</v>
      </c>
      <c r="L1131" s="5"/>
      <c r="P1131" s="23"/>
    </row>
    <row r="1132" spans="1:16" ht="14.4" customHeight="1" x14ac:dyDescent="0.3">
      <c r="A1132" s="5">
        <v>1140</v>
      </c>
      <c r="B1132" s="5" t="s">
        <v>913</v>
      </c>
      <c r="C1132" s="5" t="s">
        <v>2444</v>
      </c>
      <c r="D1132" s="5" t="s">
        <v>204</v>
      </c>
      <c r="E1132" s="5" t="s">
        <v>204</v>
      </c>
      <c r="F1132" s="5">
        <v>57957626</v>
      </c>
      <c r="G1132" s="5" t="s">
        <v>16</v>
      </c>
      <c r="H1132" s="7">
        <v>45858</v>
      </c>
      <c r="I1132" s="7">
        <v>45859</v>
      </c>
      <c r="J1132" s="8">
        <v>150</v>
      </c>
      <c r="K1132" s="7">
        <v>45870</v>
      </c>
      <c r="L1132" s="5"/>
      <c r="P1132" s="23"/>
    </row>
    <row r="1133" spans="1:16" ht="14.4" customHeight="1" x14ac:dyDescent="0.3">
      <c r="A1133" s="5">
        <v>1141</v>
      </c>
      <c r="B1133" s="5" t="s">
        <v>2445</v>
      </c>
      <c r="C1133" s="5" t="s">
        <v>2446</v>
      </c>
      <c r="D1133" s="5" t="s">
        <v>259</v>
      </c>
      <c r="E1133" s="5" t="s">
        <v>259</v>
      </c>
      <c r="F1133" s="5">
        <v>57041654</v>
      </c>
      <c r="G1133" s="5" t="s">
        <v>16</v>
      </c>
      <c r="H1133" s="7">
        <v>45858</v>
      </c>
      <c r="I1133" s="7">
        <v>45859</v>
      </c>
      <c r="J1133" s="8">
        <v>150</v>
      </c>
      <c r="K1133" s="7">
        <v>45870</v>
      </c>
      <c r="L1133" s="5"/>
      <c r="P1133" s="23"/>
    </row>
    <row r="1134" spans="1:16" ht="14.4" customHeight="1" x14ac:dyDescent="0.3">
      <c r="A1134" s="5">
        <v>1142</v>
      </c>
      <c r="B1134" s="5" t="s">
        <v>2447</v>
      </c>
      <c r="C1134" s="5" t="s">
        <v>2045</v>
      </c>
      <c r="D1134" s="5" t="s">
        <v>923</v>
      </c>
      <c r="E1134" s="5" t="s">
        <v>923</v>
      </c>
      <c r="F1134" s="5">
        <v>57415110</v>
      </c>
      <c r="G1134" s="5" t="s">
        <v>16</v>
      </c>
      <c r="H1134" s="7">
        <v>45858</v>
      </c>
      <c r="I1134" s="7">
        <v>45859</v>
      </c>
      <c r="J1134" s="8">
        <v>150</v>
      </c>
      <c r="K1134" s="7">
        <v>45870</v>
      </c>
      <c r="L1134" s="5"/>
      <c r="P1134" s="23"/>
    </row>
    <row r="1135" spans="1:16" ht="14.4" customHeight="1" x14ac:dyDescent="0.3">
      <c r="A1135" s="5">
        <v>1144</v>
      </c>
      <c r="B1135" s="5" t="s">
        <v>2449</v>
      </c>
      <c r="C1135" s="5" t="s">
        <v>2450</v>
      </c>
      <c r="D1135" s="5" t="s">
        <v>117</v>
      </c>
      <c r="E1135" s="5" t="s">
        <v>117</v>
      </c>
      <c r="F1135" s="5">
        <v>57615101</v>
      </c>
      <c r="G1135" s="5" t="s">
        <v>16</v>
      </c>
      <c r="H1135" s="7">
        <v>45858</v>
      </c>
      <c r="I1135" s="7">
        <v>45859</v>
      </c>
      <c r="J1135" s="8">
        <v>150</v>
      </c>
      <c r="K1135" s="7">
        <v>45870</v>
      </c>
      <c r="L1135" s="5"/>
      <c r="P1135" s="23"/>
    </row>
    <row r="1136" spans="1:16" ht="14.4" customHeight="1" x14ac:dyDescent="0.3">
      <c r="A1136" s="5">
        <v>1145</v>
      </c>
      <c r="B1136" s="5" t="s">
        <v>2393</v>
      </c>
      <c r="C1136" s="5" t="s">
        <v>2394</v>
      </c>
      <c r="D1136" s="5" t="s">
        <v>77</v>
      </c>
      <c r="E1136" s="5" t="s">
        <v>77</v>
      </c>
      <c r="F1136" s="5">
        <v>57591688</v>
      </c>
      <c r="G1136" s="5" t="s">
        <v>16</v>
      </c>
      <c r="H1136" s="7">
        <v>45858</v>
      </c>
      <c r="I1136" s="7">
        <v>45859</v>
      </c>
      <c r="J1136" s="8">
        <v>150</v>
      </c>
      <c r="K1136" s="7">
        <v>45870</v>
      </c>
      <c r="L1136" s="5"/>
      <c r="P1136" s="23"/>
    </row>
    <row r="1137" spans="1:16" ht="14.4" customHeight="1" x14ac:dyDescent="0.3">
      <c r="A1137" s="5">
        <v>1146</v>
      </c>
      <c r="B1137" s="5" t="s">
        <v>1856</v>
      </c>
      <c r="C1137" s="5" t="s">
        <v>457</v>
      </c>
      <c r="D1137" s="5" t="s">
        <v>458</v>
      </c>
      <c r="E1137" s="5" t="s">
        <v>458</v>
      </c>
      <c r="F1137" s="5">
        <v>57999753</v>
      </c>
      <c r="G1137" s="5" t="s">
        <v>16</v>
      </c>
      <c r="H1137" s="7">
        <v>45858</v>
      </c>
      <c r="I1137" s="7">
        <v>45859</v>
      </c>
      <c r="J1137" s="8">
        <v>150</v>
      </c>
      <c r="K1137" s="7">
        <v>45870</v>
      </c>
      <c r="L1137" s="5"/>
      <c r="P1137" s="23"/>
    </row>
    <row r="1138" spans="1:16" ht="14.4" customHeight="1" x14ac:dyDescent="0.3">
      <c r="A1138" s="5">
        <v>1147</v>
      </c>
      <c r="B1138" s="5" t="s">
        <v>2451</v>
      </c>
      <c r="C1138" s="5" t="s">
        <v>2452</v>
      </c>
      <c r="D1138" s="5" t="s">
        <v>1378</v>
      </c>
      <c r="E1138" s="5" t="s">
        <v>1378</v>
      </c>
      <c r="F1138" s="5">
        <v>59035497</v>
      </c>
      <c r="G1138" s="5" t="s">
        <v>16</v>
      </c>
      <c r="H1138" s="7">
        <v>45858</v>
      </c>
      <c r="I1138" s="7">
        <v>45859</v>
      </c>
      <c r="J1138" s="8">
        <v>150</v>
      </c>
      <c r="K1138" s="7">
        <v>45870</v>
      </c>
      <c r="L1138" s="5"/>
      <c r="P1138" s="23"/>
    </row>
    <row r="1139" spans="1:16" ht="14.4" customHeight="1" x14ac:dyDescent="0.3">
      <c r="A1139" s="5">
        <v>1148</v>
      </c>
      <c r="B1139" s="5" t="s">
        <v>2453</v>
      </c>
      <c r="C1139" s="5" t="s">
        <v>2454</v>
      </c>
      <c r="D1139" s="5" t="s">
        <v>49</v>
      </c>
      <c r="E1139" s="5" t="s">
        <v>49</v>
      </c>
      <c r="F1139" s="5">
        <v>52502266</v>
      </c>
      <c r="G1139" s="5" t="s">
        <v>16</v>
      </c>
      <c r="H1139" s="7">
        <v>45858</v>
      </c>
      <c r="I1139" s="7">
        <v>45859</v>
      </c>
      <c r="J1139" s="8">
        <v>150</v>
      </c>
      <c r="K1139" s="7">
        <v>45870</v>
      </c>
      <c r="L1139" s="5"/>
      <c r="P1139" s="23"/>
    </row>
    <row r="1140" spans="1:16" ht="14.4" customHeight="1" x14ac:dyDescent="0.3">
      <c r="A1140" s="5">
        <v>1150</v>
      </c>
      <c r="B1140" s="5" t="s">
        <v>2455</v>
      </c>
      <c r="C1140" s="5" t="s">
        <v>2456</v>
      </c>
      <c r="D1140" s="5" t="s">
        <v>2456</v>
      </c>
      <c r="E1140" s="5" t="s">
        <v>2456</v>
      </c>
      <c r="F1140" s="5">
        <v>57034088</v>
      </c>
      <c r="G1140" s="5" t="s">
        <v>16</v>
      </c>
      <c r="H1140" s="7">
        <v>45858</v>
      </c>
      <c r="I1140" s="7">
        <v>45859</v>
      </c>
      <c r="J1140" s="8">
        <v>150</v>
      </c>
      <c r="K1140" s="7">
        <v>45870</v>
      </c>
      <c r="L1140" s="5"/>
      <c r="P1140" s="23"/>
    </row>
    <row r="1141" spans="1:16" ht="14.4" customHeight="1" x14ac:dyDescent="0.3">
      <c r="A1141" s="5">
        <v>1151</v>
      </c>
      <c r="B1141" s="5" t="s">
        <v>2457</v>
      </c>
      <c r="C1141" s="5" t="s">
        <v>2458</v>
      </c>
      <c r="D1141" s="5" t="s">
        <v>63</v>
      </c>
      <c r="E1141" s="5" t="s">
        <v>63</v>
      </c>
      <c r="F1141" s="5">
        <v>57379585</v>
      </c>
      <c r="G1141" s="5" t="s">
        <v>16</v>
      </c>
      <c r="H1141" s="7">
        <v>45858</v>
      </c>
      <c r="I1141" s="7">
        <v>45859</v>
      </c>
      <c r="J1141" s="8">
        <v>150</v>
      </c>
      <c r="K1141" s="7">
        <v>45870</v>
      </c>
      <c r="L1141" s="5"/>
      <c r="P1141" s="23"/>
    </row>
    <row r="1142" spans="1:16" ht="14.4" customHeight="1" x14ac:dyDescent="0.3">
      <c r="A1142" s="5">
        <v>1152</v>
      </c>
      <c r="B1142" s="5" t="s">
        <v>2459</v>
      </c>
      <c r="C1142" s="5" t="s">
        <v>2460</v>
      </c>
      <c r="D1142" s="5" t="s">
        <v>74</v>
      </c>
      <c r="E1142" s="5" t="s">
        <v>74</v>
      </c>
      <c r="F1142" s="5">
        <v>52551116</v>
      </c>
      <c r="G1142" s="5" t="s">
        <v>16</v>
      </c>
      <c r="H1142" s="7">
        <v>45858</v>
      </c>
      <c r="I1142" s="7">
        <v>45859</v>
      </c>
      <c r="J1142" s="8">
        <v>150</v>
      </c>
      <c r="K1142" s="7">
        <v>45870</v>
      </c>
      <c r="L1142" s="5"/>
      <c r="P1142" s="23"/>
    </row>
    <row r="1143" spans="1:16" ht="14.4" customHeight="1" x14ac:dyDescent="0.3">
      <c r="A1143" s="5">
        <v>1153</v>
      </c>
      <c r="B1143" s="5" t="s">
        <v>2461</v>
      </c>
      <c r="C1143" s="5" t="s">
        <v>2462</v>
      </c>
      <c r="D1143" s="5" t="s">
        <v>2463</v>
      </c>
      <c r="E1143" s="5" t="s">
        <v>2463</v>
      </c>
      <c r="F1143" s="5">
        <v>55071312</v>
      </c>
      <c r="G1143" s="5" t="s">
        <v>16</v>
      </c>
      <c r="H1143" s="7">
        <v>45858</v>
      </c>
      <c r="I1143" s="7">
        <v>45859</v>
      </c>
      <c r="J1143" s="8">
        <v>150</v>
      </c>
      <c r="K1143" s="7">
        <v>45870</v>
      </c>
      <c r="L1143" s="5"/>
      <c r="P1143" s="23"/>
    </row>
    <row r="1144" spans="1:16" ht="14.4" customHeight="1" x14ac:dyDescent="0.3">
      <c r="A1144" s="5">
        <v>1154</v>
      </c>
      <c r="B1144" s="5" t="s">
        <v>2203</v>
      </c>
      <c r="C1144" s="5" t="s">
        <v>2464</v>
      </c>
      <c r="D1144" s="5" t="s">
        <v>74</v>
      </c>
      <c r="E1144" s="5" t="s">
        <v>74</v>
      </c>
      <c r="F1144" s="5">
        <v>59283704</v>
      </c>
      <c r="G1144" s="5" t="s">
        <v>16</v>
      </c>
      <c r="H1144" s="7">
        <v>45858</v>
      </c>
      <c r="I1144" s="7">
        <v>45859</v>
      </c>
      <c r="J1144" s="8">
        <v>150</v>
      </c>
      <c r="K1144" s="7">
        <v>45870</v>
      </c>
      <c r="L1144" s="5"/>
      <c r="P1144" s="23"/>
    </row>
    <row r="1145" spans="1:16" ht="14.4" customHeight="1" x14ac:dyDescent="0.3">
      <c r="A1145" s="5">
        <v>1155</v>
      </c>
      <c r="B1145" s="5" t="s">
        <v>2465</v>
      </c>
      <c r="C1145" s="5" t="s">
        <v>2466</v>
      </c>
      <c r="D1145" s="5" t="s">
        <v>1020</v>
      </c>
      <c r="E1145" s="5" t="s">
        <v>1020</v>
      </c>
      <c r="F1145" s="5">
        <v>57868570</v>
      </c>
      <c r="G1145" s="5" t="s">
        <v>16</v>
      </c>
      <c r="H1145" s="7">
        <v>45858</v>
      </c>
      <c r="I1145" s="7">
        <v>45859</v>
      </c>
      <c r="J1145" s="8">
        <v>150</v>
      </c>
      <c r="K1145" s="7">
        <v>45870</v>
      </c>
      <c r="L1145" s="5"/>
      <c r="P1145" s="23"/>
    </row>
    <row r="1146" spans="1:16" ht="14.4" customHeight="1" x14ac:dyDescent="0.3">
      <c r="A1146" s="5">
        <v>1156</v>
      </c>
      <c r="B1146" s="5" t="s">
        <v>72</v>
      </c>
      <c r="C1146" s="5" t="s">
        <v>2467</v>
      </c>
      <c r="D1146" s="5" t="s">
        <v>74</v>
      </c>
      <c r="E1146" s="5" t="s">
        <v>74</v>
      </c>
      <c r="F1146" s="5">
        <v>59272041</v>
      </c>
      <c r="G1146" s="5" t="s">
        <v>16</v>
      </c>
      <c r="H1146" s="7">
        <v>45858</v>
      </c>
      <c r="I1146" s="7">
        <v>45859</v>
      </c>
      <c r="J1146" s="8">
        <v>150</v>
      </c>
      <c r="K1146" s="7">
        <v>45870</v>
      </c>
      <c r="L1146" s="5"/>
      <c r="P1146" s="23"/>
    </row>
    <row r="1147" spans="1:16" ht="14.4" customHeight="1" x14ac:dyDescent="0.3">
      <c r="A1147" s="5">
        <v>1157</v>
      </c>
      <c r="B1147" s="5" t="s">
        <v>733</v>
      </c>
      <c r="C1147" s="5" t="s">
        <v>734</v>
      </c>
      <c r="D1147" s="5" t="s">
        <v>226</v>
      </c>
      <c r="E1147" s="5" t="s">
        <v>226</v>
      </c>
      <c r="F1147" s="5">
        <v>57718586</v>
      </c>
      <c r="G1147" s="5" t="s">
        <v>16</v>
      </c>
      <c r="H1147" s="7">
        <v>45858</v>
      </c>
      <c r="I1147" s="7">
        <v>45859</v>
      </c>
      <c r="J1147" s="8">
        <v>150</v>
      </c>
      <c r="K1147" s="7">
        <v>45870</v>
      </c>
      <c r="L1147" s="5"/>
      <c r="P1147" s="23"/>
    </row>
    <row r="1148" spans="1:16" ht="14.4" customHeight="1" x14ac:dyDescent="0.3">
      <c r="A1148" s="5">
        <v>1158</v>
      </c>
      <c r="B1148" s="5" t="s">
        <v>1908</v>
      </c>
      <c r="C1148" s="5" t="s">
        <v>1899</v>
      </c>
      <c r="D1148" s="5" t="s">
        <v>101</v>
      </c>
      <c r="E1148" s="5" t="s">
        <v>101</v>
      </c>
      <c r="F1148" s="5">
        <v>57610640</v>
      </c>
      <c r="G1148" s="5" t="s">
        <v>16</v>
      </c>
      <c r="H1148" s="7">
        <v>45858</v>
      </c>
      <c r="I1148" s="7">
        <v>45859</v>
      </c>
      <c r="J1148" s="8">
        <v>150</v>
      </c>
      <c r="K1148" s="7">
        <v>45870</v>
      </c>
      <c r="L1148" s="5"/>
      <c r="P1148" s="23"/>
    </row>
    <row r="1149" spans="1:16" ht="14.4" customHeight="1" x14ac:dyDescent="0.3">
      <c r="A1149" s="5">
        <v>1159</v>
      </c>
      <c r="B1149" s="5" t="s">
        <v>2468</v>
      </c>
      <c r="C1149" s="5" t="s">
        <v>2469</v>
      </c>
      <c r="D1149" s="5" t="s">
        <v>673</v>
      </c>
      <c r="E1149" s="5" t="s">
        <v>673</v>
      </c>
      <c r="F1149" s="5">
        <v>59010622</v>
      </c>
      <c r="G1149" s="5" t="s">
        <v>16</v>
      </c>
      <c r="H1149" s="7">
        <v>45858</v>
      </c>
      <c r="I1149" s="7">
        <v>45859</v>
      </c>
      <c r="J1149" s="8">
        <v>150</v>
      </c>
      <c r="K1149" s="7">
        <v>45870</v>
      </c>
      <c r="L1149" s="5"/>
      <c r="P1149" s="23"/>
    </row>
    <row r="1150" spans="1:16" ht="14.4" customHeight="1" x14ac:dyDescent="0.3">
      <c r="A1150" s="5">
        <v>1161</v>
      </c>
      <c r="B1150" s="5" t="s">
        <v>2474</v>
      </c>
      <c r="C1150" s="5" t="s">
        <v>2475</v>
      </c>
      <c r="D1150" s="5" t="s">
        <v>84</v>
      </c>
      <c r="E1150" s="5" t="s">
        <v>84</v>
      </c>
      <c r="F1150" s="5">
        <v>59751360</v>
      </c>
      <c r="G1150" s="5" t="s">
        <v>1567</v>
      </c>
      <c r="H1150" s="7">
        <v>45859</v>
      </c>
      <c r="I1150" s="7">
        <v>45859</v>
      </c>
      <c r="J1150" s="8">
        <v>150</v>
      </c>
      <c r="K1150" s="7">
        <v>45870</v>
      </c>
      <c r="L1150" s="5" t="s">
        <v>977</v>
      </c>
      <c r="P1150" s="23"/>
    </row>
    <row r="1151" spans="1:16" ht="14.4" customHeight="1" x14ac:dyDescent="0.3">
      <c r="A1151" s="5">
        <v>1143</v>
      </c>
      <c r="B1151" s="5" t="s">
        <v>1592</v>
      </c>
      <c r="C1151" s="5" t="s">
        <v>2448</v>
      </c>
      <c r="D1151" s="5" t="s">
        <v>84</v>
      </c>
      <c r="E1151" s="5" t="s">
        <v>84</v>
      </c>
      <c r="F1151" s="5">
        <v>59396749</v>
      </c>
      <c r="G1151" s="5" t="s">
        <v>16</v>
      </c>
      <c r="H1151" s="7">
        <v>45858</v>
      </c>
      <c r="I1151" s="7">
        <v>45862</v>
      </c>
      <c r="J1151" s="8">
        <v>150</v>
      </c>
      <c r="K1151" s="7">
        <v>45870</v>
      </c>
      <c r="L1151" s="5"/>
      <c r="P1151" s="23"/>
    </row>
    <row r="1152" spans="1:16" ht="14.4" customHeight="1" x14ac:dyDescent="0.3">
      <c r="A1152" s="5">
        <v>1160</v>
      </c>
      <c r="B1152" s="5" t="s">
        <v>2472</v>
      </c>
      <c r="C1152" s="5" t="s">
        <v>2477</v>
      </c>
      <c r="D1152" s="5" t="s">
        <v>84</v>
      </c>
      <c r="E1152" s="5" t="s">
        <v>84</v>
      </c>
      <c r="F1152" s="5">
        <v>58255155</v>
      </c>
      <c r="G1152" s="5" t="s">
        <v>1146</v>
      </c>
      <c r="H1152" s="7">
        <v>45859</v>
      </c>
      <c r="I1152" s="7">
        <v>45862</v>
      </c>
      <c r="J1152" s="8">
        <v>150</v>
      </c>
      <c r="K1152" s="7">
        <v>45870</v>
      </c>
      <c r="L1152" s="5" t="s">
        <v>2473</v>
      </c>
      <c r="P1152" s="23"/>
    </row>
    <row r="1153" spans="1:16" ht="14.4" customHeight="1" x14ac:dyDescent="0.3">
      <c r="A1153" s="5">
        <v>1162</v>
      </c>
      <c r="B1153" s="5" t="s">
        <v>2478</v>
      </c>
      <c r="C1153" s="5" t="s">
        <v>2479</v>
      </c>
      <c r="D1153" s="5" t="s">
        <v>131</v>
      </c>
      <c r="E1153" s="5" t="s">
        <v>131</v>
      </c>
      <c r="F1153" s="5">
        <v>57226761</v>
      </c>
      <c r="G1153" s="5" t="s">
        <v>16</v>
      </c>
      <c r="H1153" s="7">
        <v>45861</v>
      </c>
      <c r="I1153" s="7">
        <v>45862</v>
      </c>
      <c r="J1153" s="8">
        <v>150</v>
      </c>
      <c r="K1153" s="7">
        <v>45870</v>
      </c>
      <c r="L1153" s="5"/>
      <c r="P1153" s="23"/>
    </row>
    <row r="1154" spans="1:16" ht="14.4" customHeight="1" x14ac:dyDescent="0.3">
      <c r="A1154" s="5">
        <v>1163</v>
      </c>
      <c r="B1154" s="5" t="s">
        <v>2480</v>
      </c>
      <c r="C1154" s="5" t="s">
        <v>2481</v>
      </c>
      <c r="D1154" s="5" t="s">
        <v>41</v>
      </c>
      <c r="E1154" s="5" t="s">
        <v>41</v>
      </c>
      <c r="F1154" s="5">
        <v>57801577</v>
      </c>
      <c r="G1154" s="5" t="s">
        <v>16</v>
      </c>
      <c r="H1154" s="7">
        <v>45861</v>
      </c>
      <c r="I1154" s="7">
        <v>45862</v>
      </c>
      <c r="J1154" s="8">
        <v>150</v>
      </c>
      <c r="K1154" s="7">
        <v>45870</v>
      </c>
      <c r="L1154" s="5"/>
      <c r="P1154" s="23"/>
    </row>
    <row r="1155" spans="1:16" ht="14.4" customHeight="1" x14ac:dyDescent="0.3">
      <c r="A1155" s="5">
        <v>1164</v>
      </c>
      <c r="B1155" s="5" t="s">
        <v>2482</v>
      </c>
      <c r="C1155" s="5" t="s">
        <v>2532</v>
      </c>
      <c r="D1155" s="5" t="s">
        <v>84</v>
      </c>
      <c r="E1155" s="5" t="s">
        <v>84</v>
      </c>
      <c r="F1155" s="5">
        <v>57124722</v>
      </c>
      <c r="G1155" s="5" t="s">
        <v>16</v>
      </c>
      <c r="H1155" s="7">
        <v>45861</v>
      </c>
      <c r="I1155" s="7">
        <v>45862</v>
      </c>
      <c r="J1155" s="8">
        <v>150</v>
      </c>
      <c r="K1155" s="7">
        <v>45870</v>
      </c>
      <c r="L1155" s="5"/>
      <c r="P1155" s="23"/>
    </row>
    <row r="1156" spans="1:16" ht="14.4" customHeight="1" x14ac:dyDescent="0.3">
      <c r="A1156" s="5">
        <v>1165</v>
      </c>
      <c r="B1156" s="5" t="s">
        <v>1124</v>
      </c>
      <c r="C1156" s="5" t="s">
        <v>2483</v>
      </c>
      <c r="D1156" s="5" t="s">
        <v>204</v>
      </c>
      <c r="E1156" s="5" t="s">
        <v>204</v>
      </c>
      <c r="F1156" s="5">
        <v>57575292</v>
      </c>
      <c r="G1156" s="5" t="s">
        <v>16</v>
      </c>
      <c r="H1156" s="7">
        <v>45861</v>
      </c>
      <c r="I1156" s="7">
        <v>45862</v>
      </c>
      <c r="J1156" s="8">
        <v>150</v>
      </c>
      <c r="K1156" s="7">
        <v>45870</v>
      </c>
      <c r="L1156" s="5"/>
      <c r="P1156" s="23"/>
    </row>
    <row r="1157" spans="1:16" ht="14.4" customHeight="1" x14ac:dyDescent="0.3">
      <c r="A1157" s="5">
        <v>1166</v>
      </c>
      <c r="B1157" s="5" t="s">
        <v>1418</v>
      </c>
      <c r="C1157" s="5" t="s">
        <v>2484</v>
      </c>
      <c r="D1157" s="5" t="s">
        <v>2377</v>
      </c>
      <c r="E1157" s="5" t="s">
        <v>27</v>
      </c>
      <c r="F1157" s="5">
        <v>59366000</v>
      </c>
      <c r="G1157" s="5" t="s">
        <v>16</v>
      </c>
      <c r="H1157" s="7">
        <v>45861</v>
      </c>
      <c r="I1157" s="7">
        <v>45862</v>
      </c>
      <c r="J1157" s="8">
        <v>150</v>
      </c>
      <c r="K1157" s="7">
        <v>45870</v>
      </c>
      <c r="L1157" s="5"/>
      <c r="P1157" s="23"/>
    </row>
    <row r="1158" spans="1:16" ht="14.4" customHeight="1" x14ac:dyDescent="0.3">
      <c r="A1158" s="5">
        <v>1167</v>
      </c>
      <c r="B1158" s="5" t="s">
        <v>2485</v>
      </c>
      <c r="C1158" s="5" t="s">
        <v>2486</v>
      </c>
      <c r="D1158" s="5" t="s">
        <v>402</v>
      </c>
      <c r="E1158" s="5" t="s">
        <v>402</v>
      </c>
      <c r="F1158" s="5">
        <v>59816740</v>
      </c>
      <c r="G1158" s="5" t="s">
        <v>16</v>
      </c>
      <c r="H1158" s="7">
        <v>45861</v>
      </c>
      <c r="I1158" s="7">
        <v>45862</v>
      </c>
      <c r="J1158" s="8">
        <v>150</v>
      </c>
      <c r="K1158" s="7">
        <v>45870</v>
      </c>
      <c r="L1158" s="5"/>
      <c r="P1158" s="23"/>
    </row>
    <row r="1159" spans="1:16" ht="14.4" customHeight="1" x14ac:dyDescent="0.3">
      <c r="A1159" s="5">
        <v>1168</v>
      </c>
      <c r="B1159" s="5" t="s">
        <v>2487</v>
      </c>
      <c r="C1159" s="5" t="s">
        <v>2488</v>
      </c>
      <c r="D1159" s="5" t="s">
        <v>696</v>
      </c>
      <c r="E1159" s="5" t="s">
        <v>696</v>
      </c>
      <c r="F1159" s="5">
        <v>55013091</v>
      </c>
      <c r="G1159" s="5" t="s">
        <v>16</v>
      </c>
      <c r="H1159" s="7">
        <v>45861</v>
      </c>
      <c r="I1159" s="7">
        <v>45862</v>
      </c>
      <c r="J1159" s="8">
        <v>150</v>
      </c>
      <c r="K1159" s="7">
        <v>45870</v>
      </c>
      <c r="L1159" s="5"/>
      <c r="P1159" s="23"/>
    </row>
    <row r="1160" spans="1:16" ht="14.4" customHeight="1" x14ac:dyDescent="0.3">
      <c r="A1160" s="5">
        <v>1169</v>
      </c>
      <c r="B1160" s="5" t="s">
        <v>2489</v>
      </c>
      <c r="C1160" s="5" t="s">
        <v>2490</v>
      </c>
      <c r="D1160" s="5" t="s">
        <v>23</v>
      </c>
      <c r="E1160" s="5" t="s">
        <v>23</v>
      </c>
      <c r="F1160" s="5">
        <v>57030579</v>
      </c>
      <c r="G1160" s="5" t="s">
        <v>16</v>
      </c>
      <c r="H1160" s="7">
        <v>45861</v>
      </c>
      <c r="I1160" s="7">
        <v>45862</v>
      </c>
      <c r="J1160" s="8">
        <v>150</v>
      </c>
      <c r="K1160" s="7">
        <v>45870</v>
      </c>
      <c r="L1160" s="5"/>
      <c r="P1160" s="23"/>
    </row>
    <row r="1161" spans="1:16" ht="14.4" customHeight="1" x14ac:dyDescent="0.3">
      <c r="A1161" s="5">
        <v>1170</v>
      </c>
      <c r="B1161" s="5" t="s">
        <v>2491</v>
      </c>
      <c r="C1161" s="5" t="s">
        <v>2492</v>
      </c>
      <c r="D1161" s="5" t="s">
        <v>807</v>
      </c>
      <c r="E1161" s="5" t="s">
        <v>807</v>
      </c>
      <c r="F1161" s="5">
        <v>58804086</v>
      </c>
      <c r="G1161" s="5" t="s">
        <v>16</v>
      </c>
      <c r="H1161" s="7">
        <v>45861</v>
      </c>
      <c r="I1161" s="7">
        <v>45862</v>
      </c>
      <c r="J1161" s="8">
        <v>150</v>
      </c>
      <c r="K1161" s="7">
        <v>45870</v>
      </c>
      <c r="L1161" s="5"/>
      <c r="P1161" s="23"/>
    </row>
    <row r="1162" spans="1:16" ht="14.4" customHeight="1" x14ac:dyDescent="0.3">
      <c r="A1162" s="5">
        <v>1171</v>
      </c>
      <c r="B1162" s="5" t="s">
        <v>2493</v>
      </c>
      <c r="C1162" s="5" t="s">
        <v>2494</v>
      </c>
      <c r="D1162" s="5" t="s">
        <v>314</v>
      </c>
      <c r="E1162" s="5" t="s">
        <v>314</v>
      </c>
      <c r="F1162" s="5">
        <v>58119489</v>
      </c>
      <c r="G1162" s="5" t="s">
        <v>16</v>
      </c>
      <c r="H1162" s="7">
        <v>45861</v>
      </c>
      <c r="I1162" s="7">
        <v>45862</v>
      </c>
      <c r="J1162" s="8">
        <v>150</v>
      </c>
      <c r="K1162" s="7">
        <v>45870</v>
      </c>
      <c r="L1162" s="5"/>
      <c r="P1162" s="23"/>
    </row>
    <row r="1163" spans="1:16" ht="14.4" customHeight="1" x14ac:dyDescent="0.3">
      <c r="A1163" s="5">
        <v>1172</v>
      </c>
      <c r="B1163" s="5" t="s">
        <v>2495</v>
      </c>
      <c r="C1163" s="5" t="s">
        <v>2496</v>
      </c>
      <c r="D1163" s="5" t="s">
        <v>49</v>
      </c>
      <c r="E1163" s="5" t="s">
        <v>49</v>
      </c>
      <c r="F1163" s="5">
        <v>59762151</v>
      </c>
      <c r="G1163" s="5" t="s">
        <v>16</v>
      </c>
      <c r="H1163" s="7">
        <v>45861</v>
      </c>
      <c r="I1163" s="7">
        <v>45862</v>
      </c>
      <c r="J1163" s="8">
        <v>150</v>
      </c>
      <c r="K1163" s="7">
        <v>45870</v>
      </c>
      <c r="L1163" s="5"/>
      <c r="P1163" s="23"/>
    </row>
    <row r="1164" spans="1:16" ht="14.4" customHeight="1" x14ac:dyDescent="0.3">
      <c r="A1164" s="5">
        <v>1173</v>
      </c>
      <c r="B1164" s="5" t="s">
        <v>2497</v>
      </c>
      <c r="C1164" s="5" t="s">
        <v>2498</v>
      </c>
      <c r="D1164" s="5" t="s">
        <v>31</v>
      </c>
      <c r="E1164" s="5" t="s">
        <v>31</v>
      </c>
      <c r="F1164" s="5">
        <v>57852027</v>
      </c>
      <c r="G1164" s="5" t="s">
        <v>16</v>
      </c>
      <c r="H1164" s="7">
        <v>45861</v>
      </c>
      <c r="I1164" s="7">
        <v>45862</v>
      </c>
      <c r="J1164" s="8">
        <v>150</v>
      </c>
      <c r="K1164" s="7">
        <v>45870</v>
      </c>
      <c r="L1164" s="5"/>
      <c r="P1164" s="23"/>
    </row>
    <row r="1165" spans="1:16" ht="14.4" customHeight="1" x14ac:dyDescent="0.3">
      <c r="A1165" s="5">
        <v>1174</v>
      </c>
      <c r="B1165" s="5" t="s">
        <v>303</v>
      </c>
      <c r="C1165" s="5" t="s">
        <v>304</v>
      </c>
      <c r="D1165" s="5" t="s">
        <v>305</v>
      </c>
      <c r="E1165" s="5" t="s">
        <v>305</v>
      </c>
      <c r="F1165" s="5">
        <v>57326905</v>
      </c>
      <c r="G1165" s="5" t="s">
        <v>16</v>
      </c>
      <c r="H1165" s="7">
        <v>45861</v>
      </c>
      <c r="I1165" s="7">
        <v>45862</v>
      </c>
      <c r="J1165" s="8">
        <v>150</v>
      </c>
      <c r="K1165" s="7">
        <v>45870</v>
      </c>
      <c r="L1165" s="5"/>
      <c r="P1165" s="23"/>
    </row>
    <row r="1166" spans="1:16" ht="14.4" customHeight="1" x14ac:dyDescent="0.3">
      <c r="A1166" s="5">
        <v>1175</v>
      </c>
      <c r="B1166" s="5" t="s">
        <v>2499</v>
      </c>
      <c r="C1166" s="5" t="s">
        <v>2500</v>
      </c>
      <c r="D1166" s="5" t="s">
        <v>49</v>
      </c>
      <c r="E1166" s="5" t="s">
        <v>49</v>
      </c>
      <c r="F1166" s="5">
        <v>58111868</v>
      </c>
      <c r="G1166" s="5" t="s">
        <v>16</v>
      </c>
      <c r="H1166" s="7">
        <v>45861</v>
      </c>
      <c r="I1166" s="7">
        <v>45862</v>
      </c>
      <c r="J1166" s="8">
        <v>150</v>
      </c>
      <c r="K1166" s="7">
        <v>45870</v>
      </c>
      <c r="L1166" s="5"/>
      <c r="P1166" s="23"/>
    </row>
    <row r="1167" spans="1:16" ht="14.4" customHeight="1" x14ac:dyDescent="0.3">
      <c r="A1167" s="5">
        <v>1176</v>
      </c>
      <c r="B1167" s="5" t="s">
        <v>2501</v>
      </c>
      <c r="C1167" s="5" t="s">
        <v>2502</v>
      </c>
      <c r="D1167" s="5" t="s">
        <v>226</v>
      </c>
      <c r="E1167" s="5" t="s">
        <v>226</v>
      </c>
      <c r="F1167" s="5">
        <v>57905921</v>
      </c>
      <c r="G1167" s="5" t="s">
        <v>16</v>
      </c>
      <c r="H1167" s="7">
        <v>45861</v>
      </c>
      <c r="I1167" s="7">
        <v>45862</v>
      </c>
      <c r="J1167" s="8">
        <v>150</v>
      </c>
      <c r="K1167" s="7">
        <v>45870</v>
      </c>
      <c r="L1167" s="5"/>
      <c r="P1167" s="23"/>
    </row>
    <row r="1168" spans="1:16" ht="14.4" customHeight="1" x14ac:dyDescent="0.3">
      <c r="A1168" s="5">
        <v>1177</v>
      </c>
      <c r="B1168" s="5" t="s">
        <v>2503</v>
      </c>
      <c r="C1168" s="5" t="s">
        <v>2504</v>
      </c>
      <c r="D1168" s="5" t="s">
        <v>1107</v>
      </c>
      <c r="E1168" s="5" t="s">
        <v>101</v>
      </c>
      <c r="F1168" s="5">
        <v>57826178</v>
      </c>
      <c r="G1168" s="5" t="s">
        <v>16</v>
      </c>
      <c r="H1168" s="7">
        <v>45861</v>
      </c>
      <c r="I1168" s="7">
        <v>45862</v>
      </c>
      <c r="J1168" s="8">
        <v>150</v>
      </c>
      <c r="K1168" s="7">
        <v>45870</v>
      </c>
      <c r="L1168" s="5"/>
      <c r="P1168" s="23"/>
    </row>
    <row r="1169" spans="1:16" ht="14.4" customHeight="1" x14ac:dyDescent="0.3">
      <c r="A1169" s="5">
        <v>1178</v>
      </c>
      <c r="B1169" s="5" t="s">
        <v>2505</v>
      </c>
      <c r="C1169" s="5" t="s">
        <v>2506</v>
      </c>
      <c r="D1169" s="5" t="s">
        <v>84</v>
      </c>
      <c r="E1169" s="5" t="s">
        <v>84</v>
      </c>
      <c r="F1169" s="5">
        <v>57671165</v>
      </c>
      <c r="G1169" s="5" t="s">
        <v>16</v>
      </c>
      <c r="H1169" s="7">
        <v>45861</v>
      </c>
      <c r="I1169" s="7">
        <v>45862</v>
      </c>
      <c r="J1169" s="8">
        <v>150</v>
      </c>
      <c r="K1169" s="7">
        <v>45870</v>
      </c>
      <c r="L1169" s="5"/>
      <c r="P1169" s="23"/>
    </row>
    <row r="1170" spans="1:16" ht="14.4" customHeight="1" x14ac:dyDescent="0.3">
      <c r="A1170" s="5">
        <v>1179</v>
      </c>
      <c r="B1170" s="5" t="s">
        <v>2507</v>
      </c>
      <c r="C1170" s="5" t="s">
        <v>2508</v>
      </c>
      <c r="D1170" s="5" t="s">
        <v>155</v>
      </c>
      <c r="E1170" s="5" t="s">
        <v>155</v>
      </c>
      <c r="F1170" s="5">
        <v>58255724</v>
      </c>
      <c r="G1170" s="5" t="s">
        <v>16</v>
      </c>
      <c r="H1170" s="7">
        <v>45861</v>
      </c>
      <c r="I1170" s="7">
        <v>45862</v>
      </c>
      <c r="J1170" s="8">
        <v>150</v>
      </c>
      <c r="K1170" s="7">
        <v>45870</v>
      </c>
      <c r="L1170" s="5"/>
      <c r="P1170" s="23"/>
    </row>
    <row r="1171" spans="1:16" ht="14.4" customHeight="1" x14ac:dyDescent="0.3">
      <c r="A1171" s="5">
        <v>1180</v>
      </c>
      <c r="B1171" s="5" t="s">
        <v>2509</v>
      </c>
      <c r="C1171" s="5" t="s">
        <v>2510</v>
      </c>
      <c r="D1171" s="5" t="s">
        <v>41</v>
      </c>
      <c r="E1171" s="5" t="s">
        <v>41</v>
      </c>
      <c r="F1171" s="5">
        <v>57905250</v>
      </c>
      <c r="G1171" s="5" t="s">
        <v>16</v>
      </c>
      <c r="H1171" s="7">
        <v>45861</v>
      </c>
      <c r="I1171" s="7">
        <v>45862</v>
      </c>
      <c r="J1171" s="8">
        <v>150</v>
      </c>
      <c r="K1171" s="7">
        <v>45870</v>
      </c>
      <c r="L1171" s="5"/>
      <c r="P1171" s="23"/>
    </row>
    <row r="1172" spans="1:16" ht="14.4" customHeight="1" x14ac:dyDescent="0.3">
      <c r="A1172" s="5">
        <v>1181</v>
      </c>
      <c r="B1172" s="5" t="s">
        <v>2511</v>
      </c>
      <c r="C1172" s="5" t="s">
        <v>2512</v>
      </c>
      <c r="D1172" s="5" t="s">
        <v>2513</v>
      </c>
      <c r="E1172" s="5" t="s">
        <v>2513</v>
      </c>
      <c r="F1172" s="5">
        <v>57043653</v>
      </c>
      <c r="G1172" s="5" t="s">
        <v>16</v>
      </c>
      <c r="H1172" s="7">
        <v>45861</v>
      </c>
      <c r="I1172" s="7">
        <v>45862</v>
      </c>
      <c r="J1172" s="8">
        <v>150</v>
      </c>
      <c r="K1172" s="7">
        <v>45870</v>
      </c>
      <c r="L1172" s="5"/>
      <c r="P1172" s="23"/>
    </row>
    <row r="1173" spans="1:16" ht="14.4" customHeight="1" x14ac:dyDescent="0.3">
      <c r="A1173" s="5">
        <v>1182</v>
      </c>
      <c r="B1173" s="5" t="s">
        <v>2514</v>
      </c>
      <c r="C1173" s="5" t="s">
        <v>2515</v>
      </c>
      <c r="D1173" s="5" t="s">
        <v>767</v>
      </c>
      <c r="E1173" s="5" t="s">
        <v>1797</v>
      </c>
      <c r="F1173" s="5">
        <v>57692517</v>
      </c>
      <c r="G1173" s="5" t="s">
        <v>16</v>
      </c>
      <c r="H1173" s="7">
        <v>45861</v>
      </c>
      <c r="I1173" s="7">
        <v>45862</v>
      </c>
      <c r="J1173" s="8">
        <v>150</v>
      </c>
      <c r="K1173" s="7">
        <v>45870</v>
      </c>
      <c r="L1173" s="5"/>
      <c r="P1173" s="23"/>
    </row>
    <row r="1174" spans="1:16" ht="14.4" customHeight="1" x14ac:dyDescent="0.3">
      <c r="A1174" s="5">
        <v>1183</v>
      </c>
      <c r="B1174" s="5" t="s">
        <v>2516</v>
      </c>
      <c r="C1174" s="5" t="s">
        <v>2533</v>
      </c>
      <c r="D1174" s="5" t="s">
        <v>2517</v>
      </c>
      <c r="E1174" s="5" t="s">
        <v>791</v>
      </c>
      <c r="F1174" s="5">
        <v>57588028</v>
      </c>
      <c r="G1174" s="5" t="s">
        <v>16</v>
      </c>
      <c r="H1174" s="7">
        <v>45861</v>
      </c>
      <c r="I1174" s="7">
        <v>45862</v>
      </c>
      <c r="J1174" s="8">
        <v>150</v>
      </c>
      <c r="K1174" s="7">
        <v>45870</v>
      </c>
      <c r="L1174" s="5"/>
      <c r="P1174" s="23"/>
    </row>
    <row r="1175" spans="1:16" ht="14.4" customHeight="1" x14ac:dyDescent="0.3">
      <c r="A1175" s="5">
        <v>1184</v>
      </c>
      <c r="B1175" s="5" t="s">
        <v>2518</v>
      </c>
      <c r="C1175" s="5" t="s">
        <v>2519</v>
      </c>
      <c r="D1175" s="5" t="s">
        <v>69</v>
      </c>
      <c r="E1175" s="5" t="s">
        <v>69</v>
      </c>
      <c r="F1175" s="5">
        <v>57030579</v>
      </c>
      <c r="G1175" s="5" t="s">
        <v>1146</v>
      </c>
      <c r="H1175" s="7">
        <v>45862</v>
      </c>
      <c r="I1175" s="7">
        <v>45862</v>
      </c>
      <c r="J1175" s="8">
        <v>150</v>
      </c>
      <c r="K1175" s="7">
        <v>45870</v>
      </c>
      <c r="L1175" s="5" t="s">
        <v>2534</v>
      </c>
      <c r="P1175" s="23"/>
    </row>
    <row r="1176" spans="1:16" ht="14.4" customHeight="1" x14ac:dyDescent="0.3">
      <c r="A1176" s="5">
        <v>1185</v>
      </c>
      <c r="B1176" s="5" t="s">
        <v>2520</v>
      </c>
      <c r="C1176" s="5" t="s">
        <v>2521</v>
      </c>
      <c r="D1176" s="5" t="s">
        <v>2219</v>
      </c>
      <c r="E1176" s="5" t="s">
        <v>84</v>
      </c>
      <c r="F1176" s="5">
        <v>59208713</v>
      </c>
      <c r="G1176" s="5" t="s">
        <v>1146</v>
      </c>
      <c r="H1176" s="7">
        <v>45862</v>
      </c>
      <c r="I1176" s="7">
        <v>45862</v>
      </c>
      <c r="J1176" s="8">
        <v>150</v>
      </c>
      <c r="K1176" s="7">
        <v>45870</v>
      </c>
      <c r="L1176" s="5" t="s">
        <v>2535</v>
      </c>
      <c r="P1176" s="23"/>
    </row>
    <row r="1177" spans="1:16" ht="14.4" customHeight="1" x14ac:dyDescent="0.3">
      <c r="A1177" s="5">
        <v>1186</v>
      </c>
      <c r="B1177" s="5" t="s">
        <v>2522</v>
      </c>
      <c r="C1177" s="5" t="s">
        <v>2523</v>
      </c>
      <c r="D1177" s="5" t="s">
        <v>2524</v>
      </c>
      <c r="E1177" s="5" t="s">
        <v>2524</v>
      </c>
      <c r="F1177" s="5">
        <v>58147177</v>
      </c>
      <c r="G1177" s="5" t="s">
        <v>1016</v>
      </c>
      <c r="H1177" s="7">
        <v>45862</v>
      </c>
      <c r="I1177" s="7">
        <v>45862</v>
      </c>
      <c r="J1177" s="8">
        <v>150</v>
      </c>
      <c r="K1177" s="7">
        <v>45870</v>
      </c>
      <c r="L1177" s="5" t="s">
        <v>1215</v>
      </c>
      <c r="P1177" s="23"/>
    </row>
    <row r="1178" spans="1:16" ht="14.4" customHeight="1" x14ac:dyDescent="0.3">
      <c r="A1178" s="5">
        <v>1187</v>
      </c>
      <c r="B1178" s="5" t="s">
        <v>2525</v>
      </c>
      <c r="C1178" s="5" t="s">
        <v>2526</v>
      </c>
      <c r="D1178" s="5" t="s">
        <v>144</v>
      </c>
      <c r="E1178" s="5" t="s">
        <v>144</v>
      </c>
      <c r="F1178" s="5">
        <v>59175557</v>
      </c>
      <c r="G1178" s="5" t="s">
        <v>1016</v>
      </c>
      <c r="H1178" s="7">
        <v>45862</v>
      </c>
      <c r="I1178" s="7">
        <v>45862</v>
      </c>
      <c r="J1178" s="8">
        <v>150</v>
      </c>
      <c r="K1178" s="7">
        <v>45870</v>
      </c>
      <c r="L1178" s="5"/>
      <c r="P1178" s="23"/>
    </row>
    <row r="1179" spans="1:16" ht="14.4" customHeight="1" x14ac:dyDescent="0.3">
      <c r="A1179" s="5">
        <v>1188</v>
      </c>
      <c r="B1179" s="5" t="s">
        <v>2527</v>
      </c>
      <c r="C1179" s="5" t="s">
        <v>2528</v>
      </c>
      <c r="D1179" s="5" t="s">
        <v>2529</v>
      </c>
      <c r="E1179" s="5" t="s">
        <v>501</v>
      </c>
      <c r="F1179" s="5">
        <v>58024936</v>
      </c>
      <c r="G1179" s="5" t="s">
        <v>1024</v>
      </c>
      <c r="H1179" s="7">
        <v>45861</v>
      </c>
      <c r="I1179" s="7">
        <v>45862</v>
      </c>
      <c r="J1179" s="8">
        <v>150</v>
      </c>
      <c r="K1179" s="7">
        <v>45870</v>
      </c>
      <c r="L1179" s="5"/>
      <c r="P1179" s="23"/>
    </row>
    <row r="1180" spans="1:16" ht="14.4" customHeight="1" x14ac:dyDescent="0.3">
      <c r="A1180" s="5">
        <v>1189</v>
      </c>
      <c r="B1180" s="5" t="s">
        <v>2530</v>
      </c>
      <c r="C1180" s="5" t="s">
        <v>2531</v>
      </c>
      <c r="D1180" s="5" t="s">
        <v>84</v>
      </c>
      <c r="E1180" s="5" t="s">
        <v>84</v>
      </c>
      <c r="F1180" s="5">
        <v>55003947</v>
      </c>
      <c r="G1180" s="5" t="s">
        <v>1024</v>
      </c>
      <c r="H1180" s="7">
        <v>45861</v>
      </c>
      <c r="I1180" s="7">
        <v>45862</v>
      </c>
      <c r="J1180" s="8">
        <v>150</v>
      </c>
      <c r="K1180" s="7">
        <v>45870</v>
      </c>
      <c r="L1180" s="5"/>
      <c r="P1180" s="23"/>
    </row>
    <row r="1181" spans="1:16" ht="14.4" customHeight="1" x14ac:dyDescent="0.3">
      <c r="A1181" s="5">
        <v>1190</v>
      </c>
      <c r="B1181" s="5" t="s">
        <v>2536</v>
      </c>
      <c r="C1181" s="5" t="s">
        <v>2537</v>
      </c>
      <c r="D1181" s="5" t="s">
        <v>163</v>
      </c>
      <c r="E1181" s="5" t="s">
        <v>163</v>
      </c>
      <c r="F1181" s="5">
        <v>59242220</v>
      </c>
      <c r="G1181" s="5" t="s">
        <v>1146</v>
      </c>
      <c r="H1181" s="7">
        <v>45862</v>
      </c>
      <c r="I1181" s="7">
        <v>45862</v>
      </c>
      <c r="J1181" s="8">
        <v>150</v>
      </c>
      <c r="K1181" s="7">
        <v>45870</v>
      </c>
      <c r="L1181" s="5" t="s">
        <v>2538</v>
      </c>
      <c r="P1181" s="23"/>
    </row>
    <row r="1182" spans="1:16" ht="14.4" customHeight="1" x14ac:dyDescent="0.3">
      <c r="A1182" s="5">
        <v>1191</v>
      </c>
      <c r="B1182" s="5" t="s">
        <v>2540</v>
      </c>
      <c r="C1182" s="5" t="s">
        <v>2539</v>
      </c>
      <c r="D1182" s="5" t="s">
        <v>163</v>
      </c>
      <c r="E1182" s="5" t="s">
        <v>163</v>
      </c>
      <c r="F1182" s="5">
        <v>59463998</v>
      </c>
      <c r="G1182" s="5" t="s">
        <v>963</v>
      </c>
      <c r="H1182" s="7">
        <v>45862</v>
      </c>
      <c r="I1182" s="7">
        <v>45862</v>
      </c>
      <c r="J1182" s="8">
        <v>150</v>
      </c>
      <c r="K1182" s="7">
        <v>45870</v>
      </c>
      <c r="L1182" s="5"/>
      <c r="P1182" s="23"/>
    </row>
    <row r="1183" spans="1:16" ht="14.4" customHeight="1" x14ac:dyDescent="0.3">
      <c r="A1183" s="5">
        <v>1192</v>
      </c>
      <c r="B1183" s="5" t="s">
        <v>2541</v>
      </c>
      <c r="C1183" s="5" t="s">
        <v>2543</v>
      </c>
      <c r="D1183" s="5" t="s">
        <v>923</v>
      </c>
      <c r="E1183" s="5" t="s">
        <v>923</v>
      </c>
      <c r="F1183" s="5">
        <v>57235491</v>
      </c>
      <c r="G1183" s="5" t="s">
        <v>963</v>
      </c>
      <c r="H1183" s="7">
        <v>45862</v>
      </c>
      <c r="I1183" s="7">
        <v>45862</v>
      </c>
      <c r="J1183" s="8">
        <v>150</v>
      </c>
      <c r="K1183" s="7">
        <v>45870</v>
      </c>
      <c r="L1183" s="5"/>
      <c r="P1183" s="23"/>
    </row>
    <row r="1184" spans="1:16" ht="14.4" customHeight="1" x14ac:dyDescent="0.3">
      <c r="A1184" s="5">
        <v>1193</v>
      </c>
      <c r="B1184" s="5" t="s">
        <v>2544</v>
      </c>
      <c r="C1184" s="5" t="s">
        <v>2545</v>
      </c>
      <c r="D1184" s="5" t="s">
        <v>144</v>
      </c>
      <c r="E1184" s="5" t="s">
        <v>144</v>
      </c>
      <c r="F1184" s="5">
        <v>57998810</v>
      </c>
      <c r="G1184" s="5" t="s">
        <v>963</v>
      </c>
      <c r="H1184" s="7">
        <v>45862</v>
      </c>
      <c r="I1184" s="7">
        <v>45862</v>
      </c>
      <c r="J1184" s="8">
        <v>150</v>
      </c>
      <c r="K1184" s="7">
        <v>45870</v>
      </c>
      <c r="L1184" s="5" t="s">
        <v>2542</v>
      </c>
      <c r="P1184" s="23"/>
    </row>
    <row r="1185" spans="1:16" ht="14.4" customHeight="1" x14ac:dyDescent="0.3">
      <c r="A1185" s="5">
        <v>1194</v>
      </c>
      <c r="B1185" s="5" t="s">
        <v>2468</v>
      </c>
      <c r="C1185" s="5" t="s">
        <v>2469</v>
      </c>
      <c r="D1185" s="5" t="s">
        <v>673</v>
      </c>
      <c r="E1185" s="5" t="s">
        <v>673</v>
      </c>
      <c r="F1185" s="5">
        <v>59010622</v>
      </c>
      <c r="G1185" s="5" t="s">
        <v>16</v>
      </c>
      <c r="H1185" s="7">
        <v>45861</v>
      </c>
      <c r="I1185" s="7">
        <v>45862</v>
      </c>
      <c r="J1185" s="8">
        <v>150</v>
      </c>
      <c r="K1185" s="7">
        <v>45870</v>
      </c>
      <c r="L1185" s="5"/>
      <c r="P1185" s="23"/>
    </row>
    <row r="1186" spans="1:16" ht="14.4" customHeight="1" x14ac:dyDescent="0.3">
      <c r="A1186" s="5">
        <v>1195</v>
      </c>
      <c r="B1186" s="5" t="s">
        <v>2549</v>
      </c>
      <c r="C1186" s="5" t="s">
        <v>191</v>
      </c>
      <c r="D1186" s="5" t="s">
        <v>1978</v>
      </c>
      <c r="E1186" s="5" t="s">
        <v>1978</v>
      </c>
      <c r="F1186" s="5">
        <v>57681286</v>
      </c>
      <c r="G1186" s="5" t="s">
        <v>16</v>
      </c>
      <c r="H1186" s="7">
        <v>45865</v>
      </c>
      <c r="I1186" s="7">
        <v>45866</v>
      </c>
      <c r="J1186" s="8">
        <v>150</v>
      </c>
      <c r="K1186" s="7">
        <v>45870</v>
      </c>
      <c r="L1186" s="5"/>
      <c r="P1186" s="23"/>
    </row>
    <row r="1187" spans="1:16" ht="14.4" customHeight="1" x14ac:dyDescent="0.3">
      <c r="A1187" s="5">
        <v>1196</v>
      </c>
      <c r="B1187" s="5" t="s">
        <v>2550</v>
      </c>
      <c r="C1187" s="5" t="s">
        <v>2622</v>
      </c>
      <c r="D1187" s="5" t="s">
        <v>2657</v>
      </c>
      <c r="E1187" s="5" t="s">
        <v>1170</v>
      </c>
      <c r="F1187" s="5">
        <v>59264738</v>
      </c>
      <c r="G1187" s="5" t="s">
        <v>16</v>
      </c>
      <c r="H1187" s="7">
        <v>45865</v>
      </c>
      <c r="I1187" s="7">
        <v>45866</v>
      </c>
      <c r="J1187" s="8">
        <v>150</v>
      </c>
      <c r="K1187" s="7">
        <v>45870</v>
      </c>
      <c r="L1187" s="5"/>
      <c r="P1187" s="23"/>
    </row>
    <row r="1188" spans="1:16" ht="14.4" customHeight="1" x14ac:dyDescent="0.3">
      <c r="A1188" s="5">
        <v>1197</v>
      </c>
      <c r="B1188" s="5" t="s">
        <v>2551</v>
      </c>
      <c r="C1188" s="5" t="s">
        <v>2552</v>
      </c>
      <c r="D1188" s="5" t="s">
        <v>2553</v>
      </c>
      <c r="E1188" s="5" t="s">
        <v>546</v>
      </c>
      <c r="F1188" s="5">
        <v>57199532</v>
      </c>
      <c r="G1188" s="5" t="s">
        <v>16</v>
      </c>
      <c r="H1188" s="7">
        <v>45865</v>
      </c>
      <c r="I1188" s="7">
        <v>45866</v>
      </c>
      <c r="J1188" s="8">
        <v>150</v>
      </c>
      <c r="K1188" s="7">
        <v>45870</v>
      </c>
      <c r="L1188" s="5"/>
      <c r="P1188" s="23"/>
    </row>
    <row r="1189" spans="1:16" ht="14.4" customHeight="1" x14ac:dyDescent="0.3">
      <c r="A1189" s="5">
        <v>1198</v>
      </c>
      <c r="B1189" s="5" t="s">
        <v>713</v>
      </c>
      <c r="C1189" s="5" t="s">
        <v>2554</v>
      </c>
      <c r="D1189" s="5" t="s">
        <v>2555</v>
      </c>
      <c r="E1189" s="5" t="s">
        <v>1440</v>
      </c>
      <c r="F1189" s="5">
        <v>59864950</v>
      </c>
      <c r="G1189" s="5" t="s">
        <v>16</v>
      </c>
      <c r="H1189" s="7">
        <v>45865</v>
      </c>
      <c r="I1189" s="7">
        <v>45866</v>
      </c>
      <c r="J1189" s="8">
        <v>150</v>
      </c>
      <c r="K1189" s="7">
        <v>45870</v>
      </c>
      <c r="L1189" s="5"/>
      <c r="P1189" s="23"/>
    </row>
    <row r="1190" spans="1:16" ht="14.4" customHeight="1" x14ac:dyDescent="0.3">
      <c r="A1190" s="5">
        <v>1199</v>
      </c>
      <c r="B1190" s="5" t="s">
        <v>2556</v>
      </c>
      <c r="C1190" s="5" t="s">
        <v>2557</v>
      </c>
      <c r="D1190" s="5" t="s">
        <v>201</v>
      </c>
      <c r="E1190" s="5" t="s">
        <v>201</v>
      </c>
      <c r="F1190" s="5">
        <v>55042609</v>
      </c>
      <c r="G1190" s="5" t="s">
        <v>16</v>
      </c>
      <c r="H1190" s="7">
        <v>45865</v>
      </c>
      <c r="I1190" s="7">
        <v>45866</v>
      </c>
      <c r="J1190" s="8">
        <v>150</v>
      </c>
      <c r="K1190" s="7">
        <v>45870</v>
      </c>
      <c r="L1190" s="5"/>
      <c r="P1190" s="23"/>
    </row>
    <row r="1191" spans="1:16" ht="14.4" customHeight="1" x14ac:dyDescent="0.3">
      <c r="A1191" s="5">
        <v>1200</v>
      </c>
      <c r="B1191" s="5" t="s">
        <v>2558</v>
      </c>
      <c r="C1191" s="5" t="s">
        <v>2559</v>
      </c>
      <c r="D1191" s="5" t="s">
        <v>2560</v>
      </c>
      <c r="E1191" s="5" t="s">
        <v>84</v>
      </c>
      <c r="F1191" s="5">
        <v>58079670</v>
      </c>
      <c r="G1191" s="5" t="s">
        <v>16</v>
      </c>
      <c r="H1191" s="7">
        <v>45865</v>
      </c>
      <c r="I1191" s="7">
        <v>45866</v>
      </c>
      <c r="J1191" s="8">
        <v>150</v>
      </c>
      <c r="K1191" s="7">
        <v>45870</v>
      </c>
      <c r="L1191" s="5"/>
      <c r="P1191" s="23"/>
    </row>
    <row r="1192" spans="1:16" ht="14.4" customHeight="1" x14ac:dyDescent="0.3">
      <c r="A1192" s="5">
        <v>1201</v>
      </c>
      <c r="B1192" s="5" t="s">
        <v>2561</v>
      </c>
      <c r="C1192" s="5" t="s">
        <v>2562</v>
      </c>
      <c r="D1192" s="5" t="s">
        <v>226</v>
      </c>
      <c r="E1192" s="5" t="s">
        <v>226</v>
      </c>
      <c r="F1192" s="5">
        <v>58052187</v>
      </c>
      <c r="G1192" s="5" t="s">
        <v>16</v>
      </c>
      <c r="H1192" s="7">
        <v>45865</v>
      </c>
      <c r="I1192" s="7">
        <v>45866</v>
      </c>
      <c r="J1192" s="8">
        <v>150</v>
      </c>
      <c r="K1192" s="7">
        <v>45870</v>
      </c>
      <c r="L1192" s="5"/>
      <c r="P1192" s="23"/>
    </row>
    <row r="1193" spans="1:16" ht="14.4" customHeight="1" x14ac:dyDescent="0.3">
      <c r="A1193" s="5">
        <v>1202</v>
      </c>
      <c r="B1193" s="5" t="s">
        <v>2563</v>
      </c>
      <c r="C1193" s="5" t="s">
        <v>2564</v>
      </c>
      <c r="D1193" s="5" t="s">
        <v>2565</v>
      </c>
      <c r="E1193" s="5" t="s">
        <v>137</v>
      </c>
      <c r="F1193" s="5">
        <v>59702528</v>
      </c>
      <c r="G1193" s="5" t="s">
        <v>16</v>
      </c>
      <c r="H1193" s="7">
        <v>45865</v>
      </c>
      <c r="I1193" s="7">
        <v>45866</v>
      </c>
      <c r="J1193" s="8">
        <v>150</v>
      </c>
      <c r="K1193" s="7">
        <v>45870</v>
      </c>
      <c r="L1193" s="5"/>
      <c r="P1193" s="23"/>
    </row>
    <row r="1194" spans="1:16" ht="14.4" customHeight="1" x14ac:dyDescent="0.3">
      <c r="A1194" s="5">
        <v>1203</v>
      </c>
      <c r="B1194" s="29" t="s">
        <v>996</v>
      </c>
      <c r="C1194" s="29" t="s">
        <v>2566</v>
      </c>
      <c r="D1194" s="29" t="s">
        <v>998</v>
      </c>
      <c r="E1194" s="29" t="s">
        <v>998</v>
      </c>
      <c r="F1194" s="29">
        <v>58213691</v>
      </c>
      <c r="G1194" s="29" t="s">
        <v>16</v>
      </c>
      <c r="H1194" s="11">
        <v>45865</v>
      </c>
      <c r="I1194" s="11">
        <v>45866</v>
      </c>
      <c r="J1194" s="8">
        <v>150</v>
      </c>
      <c r="K1194" s="7">
        <v>45870</v>
      </c>
      <c r="L1194" s="29"/>
      <c r="P1194" s="23"/>
    </row>
    <row r="1195" spans="1:16" ht="14.4" customHeight="1" x14ac:dyDescent="0.3">
      <c r="A1195" s="5">
        <v>1204</v>
      </c>
      <c r="B1195" s="5" t="s">
        <v>2567</v>
      </c>
      <c r="C1195" s="5" t="s">
        <v>153</v>
      </c>
      <c r="D1195" s="5" t="s">
        <v>2568</v>
      </c>
      <c r="E1195" s="5" t="s">
        <v>785</v>
      </c>
      <c r="F1195" s="5">
        <v>59859852</v>
      </c>
      <c r="G1195" s="5" t="s">
        <v>16</v>
      </c>
      <c r="H1195" s="7">
        <v>45865</v>
      </c>
      <c r="I1195" s="7">
        <v>45866</v>
      </c>
      <c r="J1195" s="8">
        <v>150</v>
      </c>
      <c r="K1195" s="7">
        <v>45870</v>
      </c>
      <c r="L1195" s="5"/>
      <c r="M1195" s="5"/>
      <c r="P1195" s="23"/>
    </row>
    <row r="1196" spans="1:16" ht="14.4" customHeight="1" x14ac:dyDescent="0.3">
      <c r="A1196" s="5">
        <v>1205</v>
      </c>
      <c r="B1196" s="5" t="s">
        <v>2569</v>
      </c>
      <c r="C1196" s="5" t="s">
        <v>2570</v>
      </c>
      <c r="D1196" s="5" t="s">
        <v>2560</v>
      </c>
      <c r="E1196" s="5" t="s">
        <v>84</v>
      </c>
      <c r="F1196" s="5">
        <v>59448908</v>
      </c>
      <c r="G1196" s="5" t="s">
        <v>16</v>
      </c>
      <c r="H1196" s="7">
        <v>45865</v>
      </c>
      <c r="I1196" s="7">
        <v>45866</v>
      </c>
      <c r="J1196" s="8">
        <v>150</v>
      </c>
      <c r="K1196" s="7">
        <v>45870</v>
      </c>
      <c r="L1196" s="5"/>
      <c r="M1196" s="5"/>
      <c r="P1196" s="23"/>
    </row>
    <row r="1197" spans="1:16" ht="14.4" customHeight="1" x14ac:dyDescent="0.3">
      <c r="A1197" s="5">
        <v>1206</v>
      </c>
      <c r="B1197" s="5" t="s">
        <v>2572</v>
      </c>
      <c r="C1197" s="5" t="s">
        <v>2573</v>
      </c>
      <c r="D1197" s="5" t="s">
        <v>2574</v>
      </c>
      <c r="E1197" s="5" t="s">
        <v>1279</v>
      </c>
      <c r="F1197" s="5">
        <v>57912230</v>
      </c>
      <c r="G1197" s="5" t="s">
        <v>16</v>
      </c>
      <c r="H1197" s="7">
        <v>45865</v>
      </c>
      <c r="I1197" s="7">
        <v>45866</v>
      </c>
      <c r="J1197" s="8">
        <v>150</v>
      </c>
      <c r="K1197" s="7">
        <v>45870</v>
      </c>
      <c r="L1197" s="5"/>
      <c r="M1197" s="5"/>
      <c r="P1197" s="23"/>
    </row>
    <row r="1198" spans="1:16" ht="14.4" customHeight="1" x14ac:dyDescent="0.3">
      <c r="A1198" s="5">
        <v>1207</v>
      </c>
      <c r="B1198" s="5" t="s">
        <v>2575</v>
      </c>
      <c r="C1198" s="5" t="s">
        <v>2576</v>
      </c>
      <c r="D1198" s="5" t="s">
        <v>1739</v>
      </c>
      <c r="E1198" s="5" t="s">
        <v>1739</v>
      </c>
      <c r="F1198" s="5">
        <v>57926382</v>
      </c>
      <c r="G1198" s="5" t="s">
        <v>16</v>
      </c>
      <c r="H1198" s="7">
        <v>45865</v>
      </c>
      <c r="I1198" s="7">
        <v>45866</v>
      </c>
      <c r="J1198" s="8">
        <v>150</v>
      </c>
      <c r="K1198" s="7">
        <v>45870</v>
      </c>
      <c r="L1198" s="5"/>
      <c r="M1198" s="5"/>
      <c r="N1198" s="18"/>
      <c r="P1198" s="23"/>
    </row>
    <row r="1199" spans="1:16" ht="14.4" customHeight="1" x14ac:dyDescent="0.3">
      <c r="A1199" s="5">
        <v>1208</v>
      </c>
      <c r="B1199" s="5" t="s">
        <v>2577</v>
      </c>
      <c r="C1199" s="5" t="s">
        <v>1683</v>
      </c>
      <c r="D1199" s="5" t="s">
        <v>2658</v>
      </c>
      <c r="E1199" s="5" t="s">
        <v>804</v>
      </c>
      <c r="F1199" s="5">
        <v>57855458</v>
      </c>
      <c r="G1199" s="5" t="s">
        <v>16</v>
      </c>
      <c r="H1199" s="7">
        <v>45865</v>
      </c>
      <c r="I1199" s="7">
        <v>45866</v>
      </c>
      <c r="J1199" s="8">
        <v>150</v>
      </c>
      <c r="K1199" s="7">
        <v>45870</v>
      </c>
      <c r="L1199" s="5"/>
      <c r="M1199" s="5"/>
      <c r="N1199" s="18"/>
      <c r="P1199" s="23"/>
    </row>
    <row r="1200" spans="1:16" ht="14.4" customHeight="1" x14ac:dyDescent="0.3">
      <c r="A1200" s="5">
        <v>1209</v>
      </c>
      <c r="B1200" s="5" t="s">
        <v>2578</v>
      </c>
      <c r="C1200" s="5" t="s">
        <v>1683</v>
      </c>
      <c r="D1200" s="5" t="s">
        <v>123</v>
      </c>
      <c r="E1200" s="5" t="s">
        <v>1279</v>
      </c>
      <c r="F1200" s="5">
        <v>57068578</v>
      </c>
      <c r="G1200" s="5" t="s">
        <v>16</v>
      </c>
      <c r="H1200" s="7">
        <v>45865</v>
      </c>
      <c r="I1200" s="7">
        <v>45866</v>
      </c>
      <c r="J1200" s="8">
        <v>150</v>
      </c>
      <c r="K1200" s="7">
        <v>45870</v>
      </c>
      <c r="L1200" s="5"/>
      <c r="M1200" s="5"/>
      <c r="N1200" s="18"/>
      <c r="P1200" s="23"/>
    </row>
    <row r="1201" spans="1:16" ht="14.4" customHeight="1" x14ac:dyDescent="0.3">
      <c r="A1201" s="5">
        <v>1210</v>
      </c>
      <c r="B1201" s="5" t="s">
        <v>2579</v>
      </c>
      <c r="C1201" s="5" t="s">
        <v>2580</v>
      </c>
      <c r="D1201" s="5" t="s">
        <v>2581</v>
      </c>
      <c r="E1201" s="5" t="s">
        <v>785</v>
      </c>
      <c r="F1201" s="5">
        <v>59133753</v>
      </c>
      <c r="G1201" s="5" t="s">
        <v>16</v>
      </c>
      <c r="H1201" s="7">
        <v>45865</v>
      </c>
      <c r="I1201" s="7">
        <v>45866</v>
      </c>
      <c r="J1201" s="8">
        <v>150</v>
      </c>
      <c r="K1201" s="7">
        <v>45870</v>
      </c>
      <c r="L1201" s="5"/>
      <c r="M1201" s="5"/>
      <c r="N1201" s="18"/>
      <c r="P1201" s="23"/>
    </row>
    <row r="1202" spans="1:16" ht="14.4" customHeight="1" x14ac:dyDescent="0.3">
      <c r="A1202" s="5">
        <v>1211</v>
      </c>
      <c r="B1202" s="5" t="s">
        <v>2582</v>
      </c>
      <c r="C1202" s="5" t="s">
        <v>226</v>
      </c>
      <c r="D1202" s="5" t="s">
        <v>2583</v>
      </c>
      <c r="E1202" s="5" t="s">
        <v>226</v>
      </c>
      <c r="F1202" s="5">
        <v>59116723</v>
      </c>
      <c r="G1202" s="5" t="s">
        <v>16</v>
      </c>
      <c r="H1202" s="7">
        <v>45865</v>
      </c>
      <c r="I1202" s="7">
        <v>45866</v>
      </c>
      <c r="J1202" s="8">
        <v>150</v>
      </c>
      <c r="K1202" s="7">
        <v>45870</v>
      </c>
      <c r="L1202" s="5"/>
      <c r="M1202" s="5"/>
      <c r="N1202" s="18"/>
      <c r="P1202" s="23"/>
    </row>
    <row r="1203" spans="1:16" ht="14.4" customHeight="1" x14ac:dyDescent="0.3">
      <c r="A1203" s="5">
        <v>1212</v>
      </c>
      <c r="B1203" s="5" t="s">
        <v>2584</v>
      </c>
      <c r="C1203" s="5" t="s">
        <v>2585</v>
      </c>
      <c r="D1203" s="5" t="s">
        <v>268</v>
      </c>
      <c r="E1203" s="5" t="s">
        <v>268</v>
      </c>
      <c r="F1203" s="5">
        <v>57629710</v>
      </c>
      <c r="G1203" s="5" t="s">
        <v>16</v>
      </c>
      <c r="H1203" s="7">
        <v>45865</v>
      </c>
      <c r="I1203" s="7">
        <v>45866</v>
      </c>
      <c r="J1203" s="8">
        <v>150</v>
      </c>
      <c r="K1203" s="7">
        <v>45870</v>
      </c>
      <c r="L1203" s="5"/>
      <c r="M1203" s="5"/>
      <c r="N1203" s="18"/>
      <c r="P1203" s="23"/>
    </row>
    <row r="1204" spans="1:16" ht="14.4" customHeight="1" x14ac:dyDescent="0.3">
      <c r="A1204" s="5">
        <v>1213</v>
      </c>
      <c r="B1204" s="5" t="s">
        <v>2586</v>
      </c>
      <c r="C1204" s="5" t="s">
        <v>1795</v>
      </c>
      <c r="D1204" s="5" t="s">
        <v>2587</v>
      </c>
      <c r="E1204" s="5" t="s">
        <v>2940</v>
      </c>
      <c r="F1204" s="5">
        <v>59256871</v>
      </c>
      <c r="G1204" s="5" t="s">
        <v>16</v>
      </c>
      <c r="H1204" s="7">
        <v>45865</v>
      </c>
      <c r="I1204" s="7">
        <v>45866</v>
      </c>
      <c r="J1204" s="8">
        <v>150</v>
      </c>
      <c r="K1204" s="7">
        <v>45870</v>
      </c>
      <c r="L1204" s="5"/>
      <c r="M1204" s="5"/>
      <c r="N1204" s="18"/>
      <c r="P1204" s="23"/>
    </row>
    <row r="1205" spans="1:16" ht="14.4" customHeight="1" x14ac:dyDescent="0.3">
      <c r="A1205" s="5">
        <v>1214</v>
      </c>
      <c r="B1205" s="5" t="s">
        <v>2588</v>
      </c>
      <c r="C1205" s="5" t="s">
        <v>2589</v>
      </c>
      <c r="D1205" s="5" t="s">
        <v>2590</v>
      </c>
      <c r="E1205" s="5" t="s">
        <v>546</v>
      </c>
      <c r="F1205" s="5">
        <v>59084577</v>
      </c>
      <c r="G1205" s="5" t="s">
        <v>16</v>
      </c>
      <c r="H1205" s="7">
        <v>45865</v>
      </c>
      <c r="I1205" s="7">
        <v>45866</v>
      </c>
      <c r="J1205" s="8">
        <v>150</v>
      </c>
      <c r="K1205" s="7">
        <v>45870</v>
      </c>
      <c r="L1205" s="5"/>
      <c r="M1205" s="5"/>
      <c r="N1205" s="18"/>
      <c r="P1205" s="23"/>
    </row>
    <row r="1206" spans="1:16" ht="14.4" customHeight="1" x14ac:dyDescent="0.3">
      <c r="A1206" s="5">
        <v>1215</v>
      </c>
      <c r="B1206" s="5" t="s">
        <v>2591</v>
      </c>
      <c r="C1206" s="5" t="s">
        <v>2592</v>
      </c>
      <c r="D1206" s="5" t="s">
        <v>2593</v>
      </c>
      <c r="E1206" s="5" t="s">
        <v>223</v>
      </c>
      <c r="F1206" s="5">
        <v>57069192</v>
      </c>
      <c r="G1206" s="5" t="s">
        <v>16</v>
      </c>
      <c r="H1206" s="7">
        <v>45865</v>
      </c>
      <c r="I1206" s="7">
        <v>45866</v>
      </c>
      <c r="J1206" s="8">
        <v>150</v>
      </c>
      <c r="K1206" s="7">
        <v>45870</v>
      </c>
      <c r="L1206" s="5"/>
      <c r="M1206" s="5" t="s">
        <v>2571</v>
      </c>
      <c r="N1206" s="18"/>
      <c r="P1206" s="23"/>
    </row>
    <row r="1207" spans="1:16" ht="14.4" customHeight="1" x14ac:dyDescent="0.3">
      <c r="A1207" s="5">
        <v>1216</v>
      </c>
      <c r="B1207" s="5" t="s">
        <v>2594</v>
      </c>
      <c r="C1207" s="5" t="s">
        <v>2595</v>
      </c>
      <c r="D1207" s="5" t="s">
        <v>2596</v>
      </c>
      <c r="E1207" s="5" t="s">
        <v>475</v>
      </c>
      <c r="F1207" s="5">
        <v>59150385</v>
      </c>
      <c r="G1207" s="5" t="s">
        <v>16</v>
      </c>
      <c r="H1207" s="7">
        <v>45865</v>
      </c>
      <c r="I1207" s="7">
        <v>45866</v>
      </c>
      <c r="J1207" s="8">
        <v>150</v>
      </c>
      <c r="K1207" s="7">
        <v>45870</v>
      </c>
      <c r="L1207" s="5"/>
      <c r="M1207" s="5"/>
      <c r="N1207" s="18"/>
      <c r="P1207" s="23"/>
    </row>
    <row r="1208" spans="1:16" ht="14.4" customHeight="1" x14ac:dyDescent="0.3">
      <c r="A1208" s="5">
        <v>1217</v>
      </c>
      <c r="B1208" s="5" t="s">
        <v>2600</v>
      </c>
      <c r="C1208" s="5" t="s">
        <v>2616</v>
      </c>
      <c r="D1208" s="5" t="s">
        <v>2617</v>
      </c>
      <c r="E1208" s="5" t="s">
        <v>2617</v>
      </c>
      <c r="F1208" s="5">
        <v>54906226</v>
      </c>
      <c r="G1208" s="5" t="s">
        <v>16</v>
      </c>
      <c r="H1208" s="7">
        <v>45865</v>
      </c>
      <c r="I1208" s="7">
        <v>45866</v>
      </c>
      <c r="J1208" s="8">
        <v>150</v>
      </c>
      <c r="K1208" s="7">
        <v>45870</v>
      </c>
      <c r="L1208" s="5"/>
      <c r="M1208" s="5"/>
      <c r="N1208" s="18"/>
      <c r="P1208" s="23"/>
    </row>
    <row r="1209" spans="1:16" ht="14.4" customHeight="1" x14ac:dyDescent="0.3">
      <c r="A1209" s="5">
        <v>1218</v>
      </c>
      <c r="B1209" s="5" t="s">
        <v>1390</v>
      </c>
      <c r="C1209" s="5" t="s">
        <v>1683</v>
      </c>
      <c r="D1209" s="5" t="s">
        <v>281</v>
      </c>
      <c r="E1209" s="5" t="s">
        <v>368</v>
      </c>
      <c r="F1209" s="5">
        <v>57848823</v>
      </c>
      <c r="G1209" s="5" t="s">
        <v>16</v>
      </c>
      <c r="H1209" s="7">
        <v>45865</v>
      </c>
      <c r="I1209" s="7">
        <v>45866</v>
      </c>
      <c r="J1209" s="8">
        <v>150</v>
      </c>
      <c r="K1209" s="7">
        <v>45870</v>
      </c>
      <c r="L1209" s="5"/>
      <c r="M1209" s="5"/>
      <c r="N1209" s="18"/>
      <c r="P1209" s="23"/>
    </row>
    <row r="1210" spans="1:16" ht="14.4" customHeight="1" x14ac:dyDescent="0.3">
      <c r="A1210" s="5">
        <v>1219</v>
      </c>
      <c r="B1210" s="5" t="s">
        <v>2602</v>
      </c>
      <c r="C1210" s="5" t="s">
        <v>2603</v>
      </c>
      <c r="D1210" s="5" t="s">
        <v>35</v>
      </c>
      <c r="E1210" s="5" t="s">
        <v>1170</v>
      </c>
      <c r="F1210" s="5">
        <v>57565575</v>
      </c>
      <c r="G1210" s="5" t="s">
        <v>16</v>
      </c>
      <c r="H1210" s="7">
        <v>45865</v>
      </c>
      <c r="I1210" s="7">
        <v>45866</v>
      </c>
      <c r="J1210" s="8">
        <v>150</v>
      </c>
      <c r="K1210" s="7">
        <v>45870</v>
      </c>
      <c r="L1210" s="5"/>
      <c r="M1210" s="5"/>
      <c r="N1210" s="18"/>
      <c r="P1210" s="23"/>
    </row>
    <row r="1211" spans="1:16" ht="14.4" customHeight="1" x14ac:dyDescent="0.3">
      <c r="A1211" s="5">
        <v>1220</v>
      </c>
      <c r="B1211" s="5" t="s">
        <v>2604</v>
      </c>
      <c r="C1211" s="5" t="s">
        <v>2605</v>
      </c>
      <c r="D1211" s="5" t="s">
        <v>546</v>
      </c>
      <c r="E1211" s="5" t="s">
        <v>546</v>
      </c>
      <c r="F1211" s="5">
        <v>58810707</v>
      </c>
      <c r="G1211" s="5" t="s">
        <v>1024</v>
      </c>
      <c r="H1211" s="7">
        <v>45865</v>
      </c>
      <c r="I1211" s="7">
        <v>45866</v>
      </c>
      <c r="J1211" s="8">
        <v>150</v>
      </c>
      <c r="K1211" s="7">
        <v>45870</v>
      </c>
      <c r="L1211" s="5">
        <v>3575</v>
      </c>
      <c r="M1211" s="5"/>
      <c r="N1211" s="18"/>
      <c r="P1211" s="23"/>
    </row>
    <row r="1212" spans="1:16" ht="14.4" customHeight="1" x14ac:dyDescent="0.3">
      <c r="A1212" s="5">
        <v>1221</v>
      </c>
      <c r="B1212" s="7" t="s">
        <v>949</v>
      </c>
      <c r="C1212" s="7" t="s">
        <v>1354</v>
      </c>
      <c r="D1212" s="5" t="s">
        <v>68</v>
      </c>
      <c r="E1212" s="5" t="s">
        <v>696</v>
      </c>
      <c r="F1212" s="6">
        <v>59450164</v>
      </c>
      <c r="G1212" s="5" t="s">
        <v>1024</v>
      </c>
      <c r="H1212" s="7">
        <v>45865</v>
      </c>
      <c r="I1212" s="7">
        <v>45866</v>
      </c>
      <c r="J1212" s="8">
        <v>150</v>
      </c>
      <c r="K1212" s="7">
        <v>45870</v>
      </c>
      <c r="L1212" s="5">
        <v>6100</v>
      </c>
      <c r="M1212" s="5"/>
      <c r="N1212" s="18"/>
      <c r="P1212" s="23"/>
    </row>
    <row r="1213" spans="1:16" ht="14.4" customHeight="1" x14ac:dyDescent="0.3">
      <c r="A1213" s="5">
        <v>1222</v>
      </c>
      <c r="B1213" s="5" t="s">
        <v>342</v>
      </c>
      <c r="C1213" s="5" t="s">
        <v>343</v>
      </c>
      <c r="D1213" s="5" t="s">
        <v>30</v>
      </c>
      <c r="E1213" s="5" t="s">
        <v>344</v>
      </c>
      <c r="F1213" s="5">
        <v>52526373</v>
      </c>
      <c r="G1213" s="5" t="s">
        <v>1024</v>
      </c>
      <c r="H1213" s="7">
        <v>45865</v>
      </c>
      <c r="I1213" s="7">
        <v>45866</v>
      </c>
      <c r="J1213" s="8">
        <v>150</v>
      </c>
      <c r="K1213" s="7">
        <v>45870</v>
      </c>
      <c r="L1213" s="5">
        <v>6000</v>
      </c>
      <c r="M1213" s="5"/>
      <c r="N1213" s="18"/>
      <c r="P1213" s="23"/>
    </row>
    <row r="1214" spans="1:16" ht="14.4" customHeight="1" x14ac:dyDescent="0.3">
      <c r="A1214" s="5">
        <v>1223</v>
      </c>
      <c r="B1214" s="5" t="s">
        <v>1319</v>
      </c>
      <c r="C1214" s="5" t="s">
        <v>1321</v>
      </c>
      <c r="D1214" s="5" t="s">
        <v>1322</v>
      </c>
      <c r="E1214" s="5" t="s">
        <v>1322</v>
      </c>
      <c r="F1214" s="5">
        <v>54955604</v>
      </c>
      <c r="G1214" s="5" t="s">
        <v>1024</v>
      </c>
      <c r="H1214" s="7">
        <v>45865</v>
      </c>
      <c r="I1214" s="7">
        <v>45866</v>
      </c>
      <c r="J1214" s="8">
        <v>150</v>
      </c>
      <c r="K1214" s="7">
        <v>45870</v>
      </c>
      <c r="L1214" s="5">
        <v>3000</v>
      </c>
      <c r="M1214" s="5"/>
      <c r="N1214" s="18"/>
      <c r="P1214" s="23"/>
    </row>
    <row r="1215" spans="1:16" ht="14.4" customHeight="1" x14ac:dyDescent="0.3">
      <c r="A1215" s="5">
        <v>1224</v>
      </c>
      <c r="B1215" s="5" t="s">
        <v>2611</v>
      </c>
      <c r="C1215" s="5" t="s">
        <v>137</v>
      </c>
      <c r="D1215" s="5" t="s">
        <v>137</v>
      </c>
      <c r="E1215" s="5" t="s">
        <v>137</v>
      </c>
      <c r="F1215" s="5">
        <v>57771177</v>
      </c>
      <c r="G1215" s="5" t="s">
        <v>2607</v>
      </c>
      <c r="H1215" s="7">
        <v>45866</v>
      </c>
      <c r="I1215" s="7">
        <v>45866</v>
      </c>
      <c r="J1215" s="8">
        <v>150</v>
      </c>
      <c r="K1215" s="7">
        <v>45870</v>
      </c>
      <c r="L1215" s="5">
        <v>950</v>
      </c>
      <c r="M1215" s="5"/>
      <c r="N1215" s="18"/>
      <c r="P1215" s="23"/>
    </row>
    <row r="1216" spans="1:16" ht="14.4" customHeight="1" x14ac:dyDescent="0.3">
      <c r="A1216" s="5">
        <v>1225</v>
      </c>
      <c r="B1216" s="5" t="s">
        <v>2612</v>
      </c>
      <c r="C1216" s="5" t="s">
        <v>634</v>
      </c>
      <c r="D1216" s="5" t="s">
        <v>634</v>
      </c>
      <c r="E1216" s="5" t="s">
        <v>634</v>
      </c>
      <c r="F1216" s="5">
        <v>59235763</v>
      </c>
      <c r="G1216" s="5" t="s">
        <v>2607</v>
      </c>
      <c r="H1216" s="7">
        <v>45866</v>
      </c>
      <c r="I1216" s="7">
        <v>45866</v>
      </c>
      <c r="J1216" s="8">
        <v>150</v>
      </c>
      <c r="K1216" s="7">
        <v>45870</v>
      </c>
      <c r="L1216" s="5">
        <v>950</v>
      </c>
      <c r="M1216" s="5"/>
      <c r="N1216" s="18"/>
      <c r="P1216" s="23"/>
    </row>
    <row r="1217" spans="1:16" ht="14.4" customHeight="1" x14ac:dyDescent="0.3">
      <c r="A1217" s="5">
        <v>1226</v>
      </c>
      <c r="B1217" s="5" t="s">
        <v>2614</v>
      </c>
      <c r="C1217" s="5" t="s">
        <v>2619</v>
      </c>
      <c r="D1217" s="5" t="s">
        <v>2619</v>
      </c>
      <c r="E1217" s="5" t="s">
        <v>2619</v>
      </c>
      <c r="F1217" s="5">
        <v>58157818</v>
      </c>
      <c r="G1217" s="5" t="s">
        <v>2607</v>
      </c>
      <c r="H1217" s="7">
        <v>45866</v>
      </c>
      <c r="I1217" s="7">
        <v>45866</v>
      </c>
      <c r="J1217" s="8">
        <v>150</v>
      </c>
      <c r="K1217" s="7">
        <v>45870</v>
      </c>
      <c r="L1217" s="5">
        <v>950</v>
      </c>
      <c r="M1217" s="5"/>
      <c r="N1217" s="18"/>
      <c r="P1217" s="23"/>
    </row>
    <row r="1218" spans="1:16" ht="14.4" customHeight="1" x14ac:dyDescent="0.3">
      <c r="A1218" s="5">
        <v>1227</v>
      </c>
      <c r="B1218" s="5" t="s">
        <v>2615</v>
      </c>
      <c r="C1218" s="5" t="s">
        <v>35</v>
      </c>
      <c r="D1218" s="5" t="s">
        <v>35</v>
      </c>
      <c r="E1218" s="5" t="s">
        <v>1170</v>
      </c>
      <c r="F1218" s="5">
        <v>57097181</v>
      </c>
      <c r="G1218" s="5" t="s">
        <v>2607</v>
      </c>
      <c r="H1218" s="7">
        <v>45866</v>
      </c>
      <c r="I1218" s="7">
        <v>45866</v>
      </c>
      <c r="J1218" s="8">
        <v>150</v>
      </c>
      <c r="K1218" s="7">
        <v>45870</v>
      </c>
      <c r="L1218" s="5">
        <v>1190</v>
      </c>
      <c r="M1218" s="5"/>
      <c r="N1218" s="18"/>
      <c r="P1218" s="23"/>
    </row>
    <row r="1219" spans="1:16" ht="14.4" customHeight="1" x14ac:dyDescent="0.3">
      <c r="A1219" s="5">
        <v>1228</v>
      </c>
      <c r="B1219" s="5" t="s">
        <v>2597</v>
      </c>
      <c r="C1219" s="5" t="s">
        <v>2598</v>
      </c>
      <c r="D1219" s="5" t="s">
        <v>2599</v>
      </c>
      <c r="E1219" s="5" t="s">
        <v>63</v>
      </c>
      <c r="F1219" s="5">
        <v>58659252</v>
      </c>
      <c r="G1219" s="5" t="s">
        <v>16</v>
      </c>
      <c r="H1219" s="7">
        <v>45865</v>
      </c>
      <c r="I1219" s="7">
        <v>45868</v>
      </c>
      <c r="J1219" s="8">
        <v>150</v>
      </c>
      <c r="K1219" s="7">
        <v>45870</v>
      </c>
      <c r="L1219" s="5"/>
      <c r="M1219" s="5"/>
      <c r="N1219" s="18"/>
      <c r="P1219" s="23"/>
    </row>
    <row r="1220" spans="1:16" ht="14.4" customHeight="1" x14ac:dyDescent="0.3">
      <c r="A1220" s="5">
        <v>1229</v>
      </c>
      <c r="B1220" s="5" t="s">
        <v>2606</v>
      </c>
      <c r="C1220" s="5" t="s">
        <v>2609</v>
      </c>
      <c r="D1220" s="5" t="s">
        <v>144</v>
      </c>
      <c r="E1220" s="5" t="s">
        <v>144</v>
      </c>
      <c r="F1220" s="5">
        <v>59209256</v>
      </c>
      <c r="G1220" s="5" t="s">
        <v>963</v>
      </c>
      <c r="H1220" s="7">
        <v>45866</v>
      </c>
      <c r="I1220" s="7">
        <v>45869</v>
      </c>
      <c r="J1220" s="8">
        <v>150</v>
      </c>
      <c r="K1220" s="7">
        <v>45869</v>
      </c>
      <c r="L1220" s="5">
        <v>2750</v>
      </c>
      <c r="M1220" s="5" t="s">
        <v>2601</v>
      </c>
      <c r="N1220" s="18"/>
      <c r="P1220" s="23"/>
    </row>
    <row r="1221" spans="1:16" ht="14.4" customHeight="1" x14ac:dyDescent="0.3">
      <c r="A1221" s="5">
        <v>1230</v>
      </c>
      <c r="B1221" s="5" t="s">
        <v>2610</v>
      </c>
      <c r="C1221" s="5" t="s">
        <v>2618</v>
      </c>
      <c r="D1221" s="5" t="s">
        <v>19</v>
      </c>
      <c r="E1221" s="5" t="s">
        <v>19</v>
      </c>
      <c r="F1221" s="5">
        <v>59262137</v>
      </c>
      <c r="G1221" s="5" t="s">
        <v>963</v>
      </c>
      <c r="H1221" s="7">
        <v>45866</v>
      </c>
      <c r="I1221" s="7">
        <v>45869</v>
      </c>
      <c r="J1221" s="8">
        <v>150</v>
      </c>
      <c r="K1221" s="7">
        <v>45870</v>
      </c>
      <c r="L1221" s="5">
        <v>1625</v>
      </c>
      <c r="M1221" s="5"/>
      <c r="N1221" s="18"/>
      <c r="P1221" s="23"/>
    </row>
    <row r="1222" spans="1:16" ht="14.4" customHeight="1" x14ac:dyDescent="0.3">
      <c r="A1222" s="5">
        <v>1232</v>
      </c>
      <c r="B1222" s="5" t="s">
        <v>2623</v>
      </c>
      <c r="C1222" s="5" t="s">
        <v>501</v>
      </c>
      <c r="D1222" s="5" t="s">
        <v>501</v>
      </c>
      <c r="E1222" s="5" t="s">
        <v>501</v>
      </c>
      <c r="F1222" s="5">
        <v>57698716</v>
      </c>
      <c r="G1222" s="5" t="s">
        <v>1146</v>
      </c>
      <c r="H1222" s="7">
        <v>45869</v>
      </c>
      <c r="I1222" s="7">
        <v>45869</v>
      </c>
      <c r="J1222" s="8">
        <v>150</v>
      </c>
      <c r="K1222" s="7">
        <v>45870</v>
      </c>
      <c r="L1222" s="5">
        <v>500</v>
      </c>
      <c r="M1222" s="5"/>
      <c r="N1222" s="18"/>
      <c r="P1222" s="23"/>
    </row>
    <row r="1223" spans="1:16" ht="14.4" customHeight="1" x14ac:dyDescent="0.3">
      <c r="A1223" s="5">
        <v>1233</v>
      </c>
      <c r="B1223" s="5" t="s">
        <v>2624</v>
      </c>
      <c r="C1223" s="5" t="s">
        <v>2625</v>
      </c>
      <c r="D1223" s="5" t="s">
        <v>84</v>
      </c>
      <c r="E1223" s="5" t="s">
        <v>84</v>
      </c>
      <c r="F1223" s="5">
        <v>57222051</v>
      </c>
      <c r="G1223" s="5" t="s">
        <v>1146</v>
      </c>
      <c r="H1223" s="7">
        <v>45869</v>
      </c>
      <c r="I1223" s="7">
        <v>45869</v>
      </c>
      <c r="J1223" s="8">
        <v>150</v>
      </c>
      <c r="K1223" s="7">
        <v>45870</v>
      </c>
      <c r="L1223" s="5">
        <v>850</v>
      </c>
      <c r="N1223" s="18"/>
      <c r="P1223" s="23"/>
    </row>
    <row r="1224" spans="1:16" ht="14.4" customHeight="1" x14ac:dyDescent="0.3">
      <c r="A1224" s="5">
        <v>1234</v>
      </c>
      <c r="B1224" s="5" t="s">
        <v>2626</v>
      </c>
      <c r="C1224" s="5" t="s">
        <v>2627</v>
      </c>
      <c r="D1224" s="5" t="s">
        <v>77</v>
      </c>
      <c r="E1224" s="5" t="s">
        <v>77</v>
      </c>
      <c r="F1224" s="5">
        <v>57733603</v>
      </c>
      <c r="G1224" s="5" t="s">
        <v>1024</v>
      </c>
      <c r="H1224" s="7">
        <v>45868</v>
      </c>
      <c r="I1224" s="7">
        <v>45869</v>
      </c>
      <c r="J1224" s="8">
        <v>150</v>
      </c>
      <c r="K1224" s="7">
        <v>45870</v>
      </c>
      <c r="L1224" s="5" t="s">
        <v>977</v>
      </c>
      <c r="M1224" s="5"/>
      <c r="N1224" s="18"/>
      <c r="P1224" s="23"/>
    </row>
    <row r="1225" spans="1:16" ht="14.4" customHeight="1" x14ac:dyDescent="0.3">
      <c r="A1225" s="5">
        <v>1235</v>
      </c>
      <c r="B1225" s="5" t="s">
        <v>2630</v>
      </c>
      <c r="C1225" s="5" t="s">
        <v>2628</v>
      </c>
      <c r="D1225" s="5" t="s">
        <v>2629</v>
      </c>
      <c r="E1225" s="5" t="s">
        <v>158</v>
      </c>
      <c r="F1225" s="5">
        <v>58122636</v>
      </c>
      <c r="G1225" s="5" t="s">
        <v>1024</v>
      </c>
      <c r="H1225" s="7">
        <v>45868</v>
      </c>
      <c r="I1225" s="7">
        <v>45869</v>
      </c>
      <c r="J1225" s="8">
        <v>150</v>
      </c>
      <c r="K1225" s="7">
        <v>45870</v>
      </c>
      <c r="L1225" s="5" t="s">
        <v>1156</v>
      </c>
      <c r="M1225" s="5"/>
      <c r="N1225" s="18"/>
      <c r="P1225" s="23"/>
    </row>
    <row r="1226" spans="1:16" ht="14.4" customHeight="1" x14ac:dyDescent="0.3">
      <c r="A1226" s="5">
        <v>1237</v>
      </c>
      <c r="B1226" s="5" t="s">
        <v>114</v>
      </c>
      <c r="C1226" s="5" t="s">
        <v>2653</v>
      </c>
      <c r="D1226" s="5" t="s">
        <v>117</v>
      </c>
      <c r="E1226" s="5" t="s">
        <v>117</v>
      </c>
      <c r="F1226" s="5">
        <v>54920520</v>
      </c>
      <c r="G1226" s="5" t="s">
        <v>16</v>
      </c>
      <c r="H1226" s="7">
        <v>45868</v>
      </c>
      <c r="I1226" s="7">
        <v>45869</v>
      </c>
      <c r="J1226" s="8">
        <v>150</v>
      </c>
      <c r="K1226" s="7">
        <v>45870</v>
      </c>
      <c r="L1226" s="5"/>
      <c r="M1226" s="5"/>
      <c r="N1226" s="18"/>
      <c r="P1226" s="23"/>
    </row>
    <row r="1227" spans="1:16" ht="14.4" customHeight="1" x14ac:dyDescent="0.3">
      <c r="A1227" s="5">
        <v>1238</v>
      </c>
      <c r="B1227" s="5" t="s">
        <v>2634</v>
      </c>
      <c r="C1227" s="5" t="s">
        <v>2654</v>
      </c>
      <c r="D1227" s="5" t="s">
        <v>262</v>
      </c>
      <c r="E1227" s="5" t="s">
        <v>262</v>
      </c>
      <c r="F1227" s="5">
        <v>58577627</v>
      </c>
      <c r="G1227" s="5" t="s">
        <v>16</v>
      </c>
      <c r="H1227" s="7">
        <v>45868</v>
      </c>
      <c r="I1227" s="7">
        <v>45869</v>
      </c>
      <c r="J1227" s="8">
        <v>150</v>
      </c>
      <c r="K1227" s="7">
        <v>45870</v>
      </c>
      <c r="L1227" s="5"/>
      <c r="M1227" s="5" t="s">
        <v>2608</v>
      </c>
      <c r="N1227" s="18"/>
      <c r="P1227" s="23"/>
    </row>
    <row r="1228" spans="1:16" ht="14.4" customHeight="1" x14ac:dyDescent="0.3">
      <c r="A1228" s="5">
        <v>1239</v>
      </c>
      <c r="B1228" s="5" t="s">
        <v>2635</v>
      </c>
      <c r="C1228" s="5" t="s">
        <v>2656</v>
      </c>
      <c r="D1228" s="5" t="s">
        <v>49</v>
      </c>
      <c r="E1228" s="5" t="s">
        <v>49</v>
      </c>
      <c r="F1228" s="5" t="s">
        <v>2648</v>
      </c>
      <c r="G1228" s="5" t="s">
        <v>16</v>
      </c>
      <c r="H1228" s="7">
        <v>45868</v>
      </c>
      <c r="I1228" s="7">
        <v>45869</v>
      </c>
      <c r="J1228" s="8">
        <v>150</v>
      </c>
      <c r="K1228" s="7">
        <v>45870</v>
      </c>
      <c r="L1228" s="5"/>
      <c r="M1228" s="5"/>
      <c r="N1228" s="18"/>
      <c r="P1228" s="23"/>
    </row>
    <row r="1229" spans="1:16" ht="14.4" customHeight="1" x14ac:dyDescent="0.3">
      <c r="A1229" s="5">
        <v>1240</v>
      </c>
      <c r="B1229" s="5" t="s">
        <v>398</v>
      </c>
      <c r="C1229" s="5" t="s">
        <v>2655</v>
      </c>
      <c r="D1229" s="5" t="s">
        <v>262</v>
      </c>
      <c r="E1229" s="5" t="s">
        <v>262</v>
      </c>
      <c r="F1229" s="5">
        <v>57067565</v>
      </c>
      <c r="G1229" s="5" t="s">
        <v>16</v>
      </c>
      <c r="H1229" s="7">
        <v>45868</v>
      </c>
      <c r="I1229" s="7">
        <v>45869</v>
      </c>
      <c r="J1229" s="8">
        <v>150</v>
      </c>
      <c r="K1229" s="7">
        <v>45870</v>
      </c>
      <c r="L1229" s="5"/>
      <c r="M1229" s="5"/>
      <c r="N1229" s="18"/>
      <c r="P1229" s="23"/>
    </row>
    <row r="1230" spans="1:16" ht="14.4" customHeight="1" x14ac:dyDescent="0.3">
      <c r="A1230" s="5">
        <v>1242</v>
      </c>
      <c r="B1230" s="5" t="s">
        <v>915</v>
      </c>
      <c r="C1230" s="5" t="s">
        <v>2443</v>
      </c>
      <c r="D1230" s="5" t="s">
        <v>84</v>
      </c>
      <c r="E1230" s="5" t="s">
        <v>84</v>
      </c>
      <c r="F1230" s="5">
        <v>57081703</v>
      </c>
      <c r="G1230" s="5" t="s">
        <v>16</v>
      </c>
      <c r="H1230" s="7">
        <v>45868</v>
      </c>
      <c r="I1230" s="7">
        <v>45869</v>
      </c>
      <c r="J1230" s="8">
        <v>150</v>
      </c>
      <c r="K1230" s="7">
        <v>45870</v>
      </c>
      <c r="L1230" s="5"/>
      <c r="M1230" s="5" t="s">
        <v>2686</v>
      </c>
      <c r="N1230" s="18"/>
      <c r="P1230" s="23"/>
    </row>
    <row r="1231" spans="1:16" ht="14.4" customHeight="1" x14ac:dyDescent="0.3">
      <c r="A1231" s="5">
        <v>1243</v>
      </c>
      <c r="B1231" s="5" t="s">
        <v>2639</v>
      </c>
      <c r="C1231" s="5" t="s">
        <v>1400</v>
      </c>
      <c r="D1231" s="5" t="s">
        <v>74</v>
      </c>
      <c r="E1231" s="5" t="s">
        <v>74</v>
      </c>
      <c r="F1231" s="5">
        <v>58139815</v>
      </c>
      <c r="G1231" s="5" t="s">
        <v>16</v>
      </c>
      <c r="H1231" s="7">
        <v>45868</v>
      </c>
      <c r="I1231" s="7">
        <v>45869</v>
      </c>
      <c r="J1231" s="8">
        <v>150</v>
      </c>
      <c r="K1231" s="7">
        <v>45870</v>
      </c>
      <c r="L1231" s="5"/>
      <c r="M1231" s="5"/>
      <c r="N1231" s="18"/>
      <c r="P1231" s="23"/>
    </row>
    <row r="1232" spans="1:16" ht="14.4" customHeight="1" x14ac:dyDescent="0.3">
      <c r="A1232" s="5">
        <v>1244</v>
      </c>
      <c r="B1232" s="5" t="s">
        <v>1038</v>
      </c>
      <c r="C1232" s="5" t="s">
        <v>2652</v>
      </c>
      <c r="D1232" s="5" t="s">
        <v>1040</v>
      </c>
      <c r="E1232" s="5" t="s">
        <v>1097</v>
      </c>
      <c r="F1232" s="5">
        <v>57925275</v>
      </c>
      <c r="G1232" s="5" t="s">
        <v>16</v>
      </c>
      <c r="H1232" s="7">
        <v>45868</v>
      </c>
      <c r="I1232" s="7">
        <v>45869</v>
      </c>
      <c r="J1232" s="8">
        <v>150</v>
      </c>
      <c r="K1232" s="7">
        <v>45870</v>
      </c>
      <c r="L1232" s="5"/>
      <c r="M1232" s="5"/>
      <c r="N1232" s="18"/>
      <c r="P1232" s="23"/>
    </row>
    <row r="1233" spans="1:16" ht="14.4" customHeight="1" x14ac:dyDescent="0.3">
      <c r="A1233" s="5">
        <v>1245</v>
      </c>
      <c r="B1233" s="5" t="s">
        <v>2025</v>
      </c>
      <c r="C1233" s="5" t="s">
        <v>2651</v>
      </c>
      <c r="D1233" s="5" t="s">
        <v>402</v>
      </c>
      <c r="E1233" s="5" t="s">
        <v>402</v>
      </c>
      <c r="F1233" s="5">
        <v>54949025</v>
      </c>
      <c r="G1233" s="5" t="s">
        <v>16</v>
      </c>
      <c r="H1233" s="7">
        <v>45868</v>
      </c>
      <c r="I1233" s="7">
        <v>45869</v>
      </c>
      <c r="J1233" s="8">
        <v>150</v>
      </c>
      <c r="K1233" s="7">
        <v>45870</v>
      </c>
      <c r="L1233" s="5"/>
      <c r="M1233" s="5"/>
      <c r="P1233" s="23"/>
    </row>
    <row r="1234" spans="1:16" ht="14.4" customHeight="1" x14ac:dyDescent="0.3">
      <c r="A1234" s="5">
        <v>1246</v>
      </c>
      <c r="B1234" s="5" t="s">
        <v>2640</v>
      </c>
      <c r="C1234" s="5" t="s">
        <v>2641</v>
      </c>
      <c r="D1234" s="5" t="s">
        <v>696</v>
      </c>
      <c r="E1234" s="5" t="s">
        <v>696</v>
      </c>
      <c r="F1234" s="5">
        <v>52596892</v>
      </c>
      <c r="G1234" s="5" t="s">
        <v>16</v>
      </c>
      <c r="H1234" s="7">
        <v>45868</v>
      </c>
      <c r="I1234" s="7">
        <v>45869</v>
      </c>
      <c r="J1234" s="8">
        <v>150</v>
      </c>
      <c r="K1234" s="7">
        <v>45870</v>
      </c>
      <c r="L1234" s="5"/>
      <c r="M1234" s="5"/>
      <c r="P1234" s="23"/>
    </row>
    <row r="1235" spans="1:16" ht="14.4" customHeight="1" x14ac:dyDescent="0.3">
      <c r="A1235" s="5">
        <v>1247</v>
      </c>
      <c r="B1235" s="5" t="s">
        <v>2642</v>
      </c>
      <c r="C1235" s="5" t="s">
        <v>2643</v>
      </c>
      <c r="D1235" s="5" t="s">
        <v>2643</v>
      </c>
      <c r="E1235" s="5" t="s">
        <v>2643</v>
      </c>
      <c r="F1235" s="5">
        <v>55024122</v>
      </c>
      <c r="G1235" s="5" t="s">
        <v>16</v>
      </c>
      <c r="H1235" s="7">
        <v>45868</v>
      </c>
      <c r="I1235" s="7">
        <v>45869</v>
      </c>
      <c r="J1235" s="8">
        <v>150</v>
      </c>
      <c r="K1235" s="7">
        <v>45870</v>
      </c>
      <c r="L1235" s="5"/>
      <c r="M1235" s="5"/>
      <c r="P1235" s="23"/>
    </row>
    <row r="1236" spans="1:16" ht="14.4" customHeight="1" x14ac:dyDescent="0.3">
      <c r="A1236" s="5">
        <v>1248</v>
      </c>
      <c r="B1236" s="5" t="s">
        <v>2649</v>
      </c>
      <c r="C1236" s="5" t="s">
        <v>200</v>
      </c>
      <c r="D1236" s="5" t="s">
        <v>201</v>
      </c>
      <c r="E1236" s="5" t="s">
        <v>201</v>
      </c>
      <c r="F1236" s="5">
        <v>54790996</v>
      </c>
      <c r="G1236" s="5" t="s">
        <v>16</v>
      </c>
      <c r="H1236" s="7">
        <v>45868</v>
      </c>
      <c r="I1236" s="7">
        <v>45869</v>
      </c>
      <c r="J1236" s="8">
        <v>150</v>
      </c>
      <c r="K1236" s="7">
        <v>45870</v>
      </c>
      <c r="L1236" s="5"/>
      <c r="M1236" s="5"/>
      <c r="P1236" s="23"/>
    </row>
    <row r="1237" spans="1:16" ht="14.4" customHeight="1" x14ac:dyDescent="0.3">
      <c r="A1237" s="5">
        <v>1249</v>
      </c>
      <c r="B1237" s="5" t="s">
        <v>1095</v>
      </c>
      <c r="C1237" s="5" t="s">
        <v>2046</v>
      </c>
      <c r="D1237" s="5" t="s">
        <v>1040</v>
      </c>
      <c r="E1237" s="5" t="s">
        <v>1097</v>
      </c>
      <c r="F1237" s="5">
        <v>55029138</v>
      </c>
      <c r="G1237" s="5" t="s">
        <v>16</v>
      </c>
      <c r="H1237" s="7">
        <v>45868</v>
      </c>
      <c r="I1237" s="7">
        <v>45869</v>
      </c>
      <c r="J1237" s="8">
        <v>150</v>
      </c>
      <c r="K1237" s="7">
        <v>45870</v>
      </c>
      <c r="L1237" s="5"/>
      <c r="P1237" s="23"/>
    </row>
    <row r="1238" spans="1:16" ht="14.4" customHeight="1" x14ac:dyDescent="0.3">
      <c r="A1238" s="5">
        <v>1250</v>
      </c>
      <c r="B1238" s="5" t="s">
        <v>2644</v>
      </c>
      <c r="C1238" s="5" t="s">
        <v>1614</v>
      </c>
      <c r="D1238" s="5" t="s">
        <v>720</v>
      </c>
      <c r="E1238" s="5" t="s">
        <v>77</v>
      </c>
      <c r="F1238" s="5">
        <v>57824254</v>
      </c>
      <c r="G1238" s="5" t="s">
        <v>16</v>
      </c>
      <c r="H1238" s="7">
        <v>45868</v>
      </c>
      <c r="I1238" s="7">
        <v>45869</v>
      </c>
      <c r="J1238" s="8">
        <v>150</v>
      </c>
      <c r="K1238" s="7">
        <v>45870</v>
      </c>
      <c r="L1238" s="5"/>
      <c r="M1238" s="5"/>
      <c r="N1238" s="18"/>
      <c r="P1238" s="23"/>
    </row>
    <row r="1239" spans="1:16" ht="14.4" customHeight="1" x14ac:dyDescent="0.3">
      <c r="A1239" s="5">
        <v>1251</v>
      </c>
      <c r="B1239" s="5" t="s">
        <v>2027</v>
      </c>
      <c r="C1239" s="5" t="s">
        <v>2058</v>
      </c>
      <c r="D1239" s="5" t="s">
        <v>659</v>
      </c>
      <c r="E1239" s="5" t="s">
        <v>659</v>
      </c>
      <c r="F1239" s="5">
        <v>59018427</v>
      </c>
      <c r="G1239" s="5" t="s">
        <v>16</v>
      </c>
      <c r="H1239" s="7">
        <v>45868</v>
      </c>
      <c r="I1239" s="7">
        <v>45869</v>
      </c>
      <c r="J1239" s="8">
        <v>150</v>
      </c>
      <c r="K1239" s="7">
        <v>45870</v>
      </c>
      <c r="L1239" s="5"/>
      <c r="M1239" s="5"/>
      <c r="N1239" s="18"/>
      <c r="P1239" s="23"/>
    </row>
    <row r="1240" spans="1:16" ht="14.4" customHeight="1" x14ac:dyDescent="0.3">
      <c r="A1240" s="5">
        <v>1252</v>
      </c>
      <c r="B1240" s="5" t="s">
        <v>2645</v>
      </c>
      <c r="C1240" s="5" t="s">
        <v>2650</v>
      </c>
      <c r="D1240" s="5" t="s">
        <v>797</v>
      </c>
      <c r="E1240" s="5" t="s">
        <v>797</v>
      </c>
      <c r="F1240" s="5">
        <v>58270596</v>
      </c>
      <c r="G1240" s="5" t="s">
        <v>16</v>
      </c>
      <c r="H1240" s="7">
        <v>45868</v>
      </c>
      <c r="I1240" s="7">
        <v>45869</v>
      </c>
      <c r="J1240" s="8">
        <v>150</v>
      </c>
      <c r="K1240" s="7">
        <v>45870</v>
      </c>
      <c r="L1240" s="5"/>
      <c r="M1240" s="5"/>
      <c r="N1240" s="18"/>
      <c r="P1240" s="23"/>
    </row>
    <row r="1241" spans="1:16" ht="14.4" customHeight="1" x14ac:dyDescent="0.3">
      <c r="A1241" s="5">
        <v>1253</v>
      </c>
      <c r="B1241" s="5" t="s">
        <v>486</v>
      </c>
      <c r="C1241" s="5" t="s">
        <v>2646</v>
      </c>
      <c r="D1241" s="5" t="s">
        <v>2647</v>
      </c>
      <c r="E1241" s="5" t="s">
        <v>2647</v>
      </c>
      <c r="F1241" s="5">
        <v>59779756</v>
      </c>
      <c r="G1241" s="5" t="s">
        <v>16</v>
      </c>
      <c r="H1241" s="7">
        <v>45868</v>
      </c>
      <c r="I1241" s="7">
        <v>45869</v>
      </c>
      <c r="J1241" s="8">
        <v>150</v>
      </c>
      <c r="K1241" s="7">
        <v>45870</v>
      </c>
      <c r="L1241" s="5"/>
      <c r="M1241" s="5"/>
      <c r="N1241" s="18"/>
      <c r="P1241" s="23"/>
    </row>
    <row r="1242" spans="1:16" ht="14.4" customHeight="1" x14ac:dyDescent="0.3">
      <c r="A1242" s="5">
        <v>1254</v>
      </c>
      <c r="B1242" s="5" t="s">
        <v>2668</v>
      </c>
      <c r="C1242" s="5" t="s">
        <v>2664</v>
      </c>
      <c r="D1242" s="5" t="s">
        <v>2664</v>
      </c>
      <c r="E1242" s="5" t="s">
        <v>1797</v>
      </c>
      <c r="F1242" s="5">
        <v>57886638</v>
      </c>
      <c r="G1242" s="5" t="s">
        <v>2607</v>
      </c>
      <c r="H1242" s="7">
        <v>45869</v>
      </c>
      <c r="I1242" s="7">
        <v>45869</v>
      </c>
      <c r="J1242" s="8">
        <v>150</v>
      </c>
      <c r="K1242" s="7">
        <v>45870</v>
      </c>
      <c r="L1242" s="5" t="s">
        <v>2659</v>
      </c>
      <c r="N1242" s="18"/>
      <c r="P1242" s="23"/>
    </row>
    <row r="1243" spans="1:16" ht="14.4" customHeight="1" x14ac:dyDescent="0.3">
      <c r="A1243" s="5">
        <v>1257</v>
      </c>
      <c r="B1243" s="5" t="s">
        <v>2671</v>
      </c>
      <c r="C1243" s="5" t="s">
        <v>2667</v>
      </c>
      <c r="D1243" s="5" t="s">
        <v>2667</v>
      </c>
      <c r="E1243" s="5" t="s">
        <v>2667</v>
      </c>
      <c r="F1243" s="5">
        <v>57669478</v>
      </c>
      <c r="G1243" s="5" t="s">
        <v>2607</v>
      </c>
      <c r="H1243" s="7">
        <v>45869</v>
      </c>
      <c r="I1243" s="7">
        <v>45869</v>
      </c>
      <c r="J1243" s="8">
        <v>150</v>
      </c>
      <c r="K1243" s="7">
        <v>45870</v>
      </c>
      <c r="L1243" s="5" t="s">
        <v>2662</v>
      </c>
      <c r="N1243" s="18"/>
      <c r="P1243" s="23"/>
    </row>
    <row r="1244" spans="1:16" ht="14.4" customHeight="1" x14ac:dyDescent="0.3">
      <c r="A1244" s="5">
        <v>1258</v>
      </c>
      <c r="B1244" s="5" t="s">
        <v>2672</v>
      </c>
      <c r="C1244" s="5" t="s">
        <v>1279</v>
      </c>
      <c r="D1244" s="5" t="s">
        <v>1279</v>
      </c>
      <c r="E1244" s="5" t="s">
        <v>1279</v>
      </c>
      <c r="F1244" s="5">
        <v>57479555</v>
      </c>
      <c r="G1244" s="5" t="s">
        <v>2607</v>
      </c>
      <c r="H1244" s="7">
        <v>45869</v>
      </c>
      <c r="I1244" s="7">
        <v>45869</v>
      </c>
      <c r="J1244" s="8">
        <v>150</v>
      </c>
      <c r="K1244" s="7">
        <v>45870</v>
      </c>
      <c r="L1244" s="5" t="s">
        <v>2659</v>
      </c>
      <c r="M1244" s="5"/>
      <c r="N1244" s="18"/>
      <c r="P1244" s="23"/>
    </row>
    <row r="1245" spans="1:16" ht="14.4" customHeight="1" x14ac:dyDescent="0.3">
      <c r="A1245" s="5">
        <v>1259</v>
      </c>
      <c r="B1245" s="5" t="s">
        <v>2673</v>
      </c>
      <c r="C1245" s="5" t="s">
        <v>623</v>
      </c>
      <c r="D1245" s="5" t="s">
        <v>623</v>
      </c>
      <c r="E1245" s="5" t="s">
        <v>623</v>
      </c>
      <c r="F1245" s="5">
        <v>58281789</v>
      </c>
      <c r="G1245" s="5" t="s">
        <v>2607</v>
      </c>
      <c r="H1245" s="7">
        <v>45869</v>
      </c>
      <c r="I1245" s="7">
        <v>45869</v>
      </c>
      <c r="J1245" s="8">
        <v>150</v>
      </c>
      <c r="K1245" s="7">
        <v>45870</v>
      </c>
      <c r="L1245" s="5" t="s">
        <v>2663</v>
      </c>
      <c r="M1245" s="5"/>
      <c r="P1245" s="23"/>
    </row>
    <row r="1246" spans="1:16" ht="14.4" customHeight="1" x14ac:dyDescent="0.3">
      <c r="A1246" s="5">
        <v>1260</v>
      </c>
      <c r="B1246" s="5" t="s">
        <v>2674</v>
      </c>
      <c r="C1246" s="5" t="s">
        <v>1224</v>
      </c>
      <c r="D1246" s="5" t="s">
        <v>84</v>
      </c>
      <c r="E1246" s="5" t="s">
        <v>84</v>
      </c>
      <c r="F1246" s="5">
        <v>57794769</v>
      </c>
      <c r="G1246" s="5" t="s">
        <v>1024</v>
      </c>
      <c r="H1246" s="7">
        <v>45868</v>
      </c>
      <c r="I1246" s="7">
        <v>45869</v>
      </c>
      <c r="J1246" s="8">
        <v>150</v>
      </c>
      <c r="K1246" s="7">
        <v>45870</v>
      </c>
      <c r="L1246" s="5" t="s">
        <v>2675</v>
      </c>
      <c r="M1246" s="5"/>
      <c r="N1246" s="18"/>
      <c r="P1246" s="23"/>
    </row>
    <row r="1247" spans="1:16" ht="14.4" customHeight="1" x14ac:dyDescent="0.3">
      <c r="A1247" s="5">
        <v>1265</v>
      </c>
      <c r="B1247" s="5" t="s">
        <v>2682</v>
      </c>
      <c r="C1247" s="5" t="s">
        <v>2683</v>
      </c>
      <c r="D1247" s="5" t="s">
        <v>84</v>
      </c>
      <c r="E1247" s="5" t="s">
        <v>84</v>
      </c>
      <c r="F1247" s="5">
        <v>52503432</v>
      </c>
      <c r="G1247" s="5" t="s">
        <v>1016</v>
      </c>
      <c r="H1247" s="7">
        <v>45869</v>
      </c>
      <c r="I1247" s="7">
        <v>45869</v>
      </c>
      <c r="J1247" s="8">
        <v>150</v>
      </c>
      <c r="K1247" s="7">
        <v>45870</v>
      </c>
      <c r="L1247" s="5" t="s">
        <v>2685</v>
      </c>
      <c r="M1247" s="5"/>
      <c r="P1247" s="23"/>
    </row>
    <row r="1248" spans="1:16" ht="14.4" customHeight="1" x14ac:dyDescent="0.3">
      <c r="A1248" s="5">
        <v>1236</v>
      </c>
      <c r="B1248" s="5" t="s">
        <v>2632</v>
      </c>
      <c r="C1248" s="5" t="s">
        <v>2631</v>
      </c>
      <c r="D1248" s="5" t="s">
        <v>2633</v>
      </c>
      <c r="E1248" s="5" t="s">
        <v>49</v>
      </c>
      <c r="F1248" s="5">
        <v>59165741</v>
      </c>
      <c r="G1248" s="5" t="s">
        <v>963</v>
      </c>
      <c r="H1248" s="7">
        <v>45869</v>
      </c>
      <c r="I1248" s="7">
        <v>45873</v>
      </c>
      <c r="J1248" s="8">
        <v>150</v>
      </c>
      <c r="K1248" s="7">
        <v>45903</v>
      </c>
      <c r="L1248" s="5" t="s">
        <v>2676</v>
      </c>
      <c r="M1248" s="5"/>
      <c r="P1248" s="23"/>
    </row>
    <row r="1249" spans="1:16" ht="14.4" customHeight="1" x14ac:dyDescent="0.3">
      <c r="A1249" s="5">
        <v>1267</v>
      </c>
      <c r="B1249" s="5" t="s">
        <v>271</v>
      </c>
      <c r="C1249" s="5" t="s">
        <v>2727</v>
      </c>
      <c r="D1249" s="5" t="s">
        <v>69</v>
      </c>
      <c r="E1249" s="5" t="s">
        <v>69</v>
      </c>
      <c r="F1249" s="5">
        <v>54284660</v>
      </c>
      <c r="G1249" s="5" t="s">
        <v>16</v>
      </c>
      <c r="H1249" s="7">
        <v>45872</v>
      </c>
      <c r="I1249" s="7">
        <v>45873</v>
      </c>
      <c r="J1249" s="8">
        <v>150</v>
      </c>
      <c r="K1249" s="7">
        <v>45903</v>
      </c>
      <c r="L1249" s="5"/>
      <c r="M1249" s="5"/>
      <c r="P1249" s="23"/>
    </row>
    <row r="1250" spans="1:16" ht="14.4" customHeight="1" x14ac:dyDescent="0.3">
      <c r="A1250" s="5">
        <v>1269</v>
      </c>
      <c r="B1250" s="5" t="s">
        <v>2689</v>
      </c>
      <c r="C1250" s="5" t="s">
        <v>1125</v>
      </c>
      <c r="D1250" s="5" t="s">
        <v>204</v>
      </c>
      <c r="E1250" s="5" t="s">
        <v>204</v>
      </c>
      <c r="F1250" s="5">
        <v>59789739</v>
      </c>
      <c r="G1250" s="5" t="s">
        <v>16</v>
      </c>
      <c r="H1250" s="7">
        <v>45872</v>
      </c>
      <c r="I1250" s="7">
        <v>45873</v>
      </c>
      <c r="J1250" s="8">
        <v>150</v>
      </c>
      <c r="K1250" s="7">
        <v>45903</v>
      </c>
      <c r="L1250" s="5"/>
      <c r="M1250" s="5"/>
      <c r="P1250" s="23"/>
    </row>
    <row r="1251" spans="1:16" ht="14.4" customHeight="1" x14ac:dyDescent="0.3">
      <c r="A1251" s="5">
        <v>1271</v>
      </c>
      <c r="B1251" s="5" t="s">
        <v>2690</v>
      </c>
      <c r="C1251" s="5" t="s">
        <v>2691</v>
      </c>
      <c r="D1251" s="5" t="s">
        <v>2758</v>
      </c>
      <c r="E1251" s="5" t="s">
        <v>2942</v>
      </c>
      <c r="F1251" s="5">
        <v>59200530</v>
      </c>
      <c r="G1251" s="5" t="s">
        <v>16</v>
      </c>
      <c r="H1251" s="7">
        <v>45872</v>
      </c>
      <c r="I1251" s="7">
        <v>45873</v>
      </c>
      <c r="J1251" s="8">
        <v>150</v>
      </c>
      <c r="K1251" s="7">
        <v>45903</v>
      </c>
      <c r="L1251" s="5"/>
      <c r="M1251" s="5"/>
      <c r="P1251" s="23"/>
    </row>
    <row r="1252" spans="1:16" ht="14.4" customHeight="1" x14ac:dyDescent="0.3">
      <c r="A1252" s="5">
        <v>1273</v>
      </c>
      <c r="B1252" s="5" t="s">
        <v>2756</v>
      </c>
      <c r="C1252" s="5" t="s">
        <v>2728</v>
      </c>
      <c r="D1252" s="5" t="s">
        <v>155</v>
      </c>
      <c r="E1252" s="5" t="s">
        <v>155</v>
      </c>
      <c r="F1252" s="5">
        <v>57617158</v>
      </c>
      <c r="G1252" s="5" t="s">
        <v>16</v>
      </c>
      <c r="H1252" s="7">
        <v>45872</v>
      </c>
      <c r="I1252" s="7">
        <v>45873</v>
      </c>
      <c r="J1252" s="8">
        <v>150</v>
      </c>
      <c r="K1252" s="7">
        <v>45903</v>
      </c>
      <c r="L1252" s="5"/>
      <c r="M1252" s="5"/>
      <c r="P1252" s="23"/>
    </row>
    <row r="1253" spans="1:16" ht="14.4" customHeight="1" x14ac:dyDescent="0.3">
      <c r="A1253" s="5">
        <v>1278</v>
      </c>
      <c r="B1253" s="5" t="s">
        <v>2005</v>
      </c>
      <c r="C1253" s="5" t="s">
        <v>2040</v>
      </c>
      <c r="D1253" s="5" t="s">
        <v>1993</v>
      </c>
      <c r="E1253" s="5" t="s">
        <v>1993</v>
      </c>
      <c r="F1253" s="5">
        <v>58619536</v>
      </c>
      <c r="G1253" s="5" t="s">
        <v>16</v>
      </c>
      <c r="H1253" s="7">
        <v>45872</v>
      </c>
      <c r="I1253" s="7">
        <v>45873</v>
      </c>
      <c r="J1253" s="8">
        <v>150</v>
      </c>
      <c r="K1253" s="7">
        <v>45903</v>
      </c>
      <c r="L1253" s="5"/>
      <c r="M1253" s="5"/>
      <c r="P1253" s="23"/>
    </row>
    <row r="1254" spans="1:16" ht="14.4" customHeight="1" x14ac:dyDescent="0.3">
      <c r="A1254" s="5">
        <v>1283</v>
      </c>
      <c r="B1254" s="5" t="s">
        <v>2702</v>
      </c>
      <c r="C1254" s="5" t="s">
        <v>2736</v>
      </c>
      <c r="D1254" s="5" t="s">
        <v>226</v>
      </c>
      <c r="E1254" s="5" t="s">
        <v>226</v>
      </c>
      <c r="F1254" s="5">
        <v>57027022</v>
      </c>
      <c r="G1254" s="5" t="s">
        <v>16</v>
      </c>
      <c r="H1254" s="7">
        <v>45872</v>
      </c>
      <c r="I1254" s="7">
        <v>45873</v>
      </c>
      <c r="J1254" s="8">
        <v>150</v>
      </c>
      <c r="K1254" s="7">
        <v>45903</v>
      </c>
      <c r="L1254" s="5"/>
      <c r="M1254" s="5"/>
      <c r="P1254" s="23"/>
    </row>
    <row r="1255" spans="1:16" ht="14.4" customHeight="1" x14ac:dyDescent="0.3">
      <c r="A1255" s="5">
        <v>1284</v>
      </c>
      <c r="B1255" s="5" t="s">
        <v>624</v>
      </c>
      <c r="C1255" s="5" t="s">
        <v>2737</v>
      </c>
      <c r="D1255" s="5" t="s">
        <v>101</v>
      </c>
      <c r="E1255" s="5" t="s">
        <v>101</v>
      </c>
      <c r="F1255" s="5">
        <v>59895059</v>
      </c>
      <c r="G1255" s="5" t="s">
        <v>16</v>
      </c>
      <c r="H1255" s="7">
        <v>45872</v>
      </c>
      <c r="I1255" s="7">
        <v>45873</v>
      </c>
      <c r="J1255" s="8">
        <v>150</v>
      </c>
      <c r="K1255" s="7">
        <v>45903</v>
      </c>
      <c r="L1255" s="5"/>
      <c r="M1255" s="5"/>
      <c r="P1255" s="23"/>
    </row>
    <row r="1256" spans="1:16" ht="14.4" customHeight="1" x14ac:dyDescent="0.3">
      <c r="A1256" s="5">
        <v>1285</v>
      </c>
      <c r="B1256" s="5" t="s">
        <v>2703</v>
      </c>
      <c r="C1256" s="5" t="s">
        <v>2738</v>
      </c>
      <c r="D1256" s="5" t="s">
        <v>785</v>
      </c>
      <c r="E1256" s="5" t="s">
        <v>785</v>
      </c>
      <c r="F1256" s="5">
        <v>58313491</v>
      </c>
      <c r="G1256" s="5" t="s">
        <v>16</v>
      </c>
      <c r="H1256" s="7">
        <v>45872</v>
      </c>
      <c r="I1256" s="7">
        <v>45873</v>
      </c>
      <c r="J1256" s="8">
        <v>150</v>
      </c>
      <c r="K1256" s="7">
        <v>45903</v>
      </c>
      <c r="L1256" s="5"/>
      <c r="P1256" s="23"/>
    </row>
    <row r="1257" spans="1:16" ht="14.4" customHeight="1" x14ac:dyDescent="0.3">
      <c r="A1257" s="5">
        <v>1286</v>
      </c>
      <c r="B1257" s="5" t="s">
        <v>2704</v>
      </c>
      <c r="C1257" s="5" t="s">
        <v>2739</v>
      </c>
      <c r="D1257" s="5" t="s">
        <v>155</v>
      </c>
      <c r="E1257" s="5" t="s">
        <v>155</v>
      </c>
      <c r="F1257" s="5">
        <v>58171322</v>
      </c>
      <c r="G1257" s="5" t="s">
        <v>16</v>
      </c>
      <c r="H1257" s="7">
        <v>45872</v>
      </c>
      <c r="I1257" s="7">
        <v>45873</v>
      </c>
      <c r="J1257" s="8">
        <v>150</v>
      </c>
      <c r="K1257" s="7">
        <v>45903</v>
      </c>
      <c r="L1257" s="5"/>
      <c r="P1257" s="23"/>
    </row>
    <row r="1258" spans="1:16" ht="14.4" customHeight="1" x14ac:dyDescent="0.3">
      <c r="A1258" s="5">
        <v>1287</v>
      </c>
      <c r="B1258" s="5" t="s">
        <v>1481</v>
      </c>
      <c r="C1258" s="5" t="s">
        <v>2754</v>
      </c>
      <c r="D1258" s="5" t="s">
        <v>475</v>
      </c>
      <c r="E1258" s="5" t="s">
        <v>475</v>
      </c>
      <c r="F1258" s="5">
        <v>52529812</v>
      </c>
      <c r="G1258" s="5" t="s">
        <v>16</v>
      </c>
      <c r="H1258" s="7">
        <v>45872</v>
      </c>
      <c r="I1258" s="7">
        <v>45873</v>
      </c>
      <c r="J1258" s="8">
        <v>150</v>
      </c>
      <c r="K1258" s="7">
        <v>45903</v>
      </c>
      <c r="L1258" s="5"/>
      <c r="M1258" s="5"/>
      <c r="P1258" s="23"/>
    </row>
    <row r="1259" spans="1:16" ht="14.4" customHeight="1" x14ac:dyDescent="0.3">
      <c r="A1259" s="5">
        <v>1288</v>
      </c>
      <c r="B1259" s="5" t="s">
        <v>2705</v>
      </c>
      <c r="C1259" s="5" t="s">
        <v>2740</v>
      </c>
      <c r="D1259" s="5" t="s">
        <v>63</v>
      </c>
      <c r="E1259" s="5" t="s">
        <v>63</v>
      </c>
      <c r="F1259" s="5">
        <v>57916550</v>
      </c>
      <c r="G1259" s="5" t="s">
        <v>16</v>
      </c>
      <c r="H1259" s="7">
        <v>45872</v>
      </c>
      <c r="I1259" s="7">
        <v>45873</v>
      </c>
      <c r="J1259" s="8">
        <v>150</v>
      </c>
      <c r="K1259" s="7">
        <v>45903</v>
      </c>
      <c r="L1259" s="5"/>
      <c r="M1259" s="5"/>
      <c r="P1259" s="23"/>
    </row>
    <row r="1260" spans="1:16" ht="14.4" customHeight="1" x14ac:dyDescent="0.3">
      <c r="A1260" s="5">
        <v>1291</v>
      </c>
      <c r="B1260" s="5" t="s">
        <v>2707</v>
      </c>
      <c r="C1260" s="5" t="s">
        <v>2742</v>
      </c>
      <c r="D1260" s="5" t="s">
        <v>2943</v>
      </c>
      <c r="E1260" s="5" t="s">
        <v>2943</v>
      </c>
      <c r="F1260" s="5">
        <v>52705016</v>
      </c>
      <c r="G1260" s="5" t="s">
        <v>16</v>
      </c>
      <c r="H1260" s="7">
        <v>45872</v>
      </c>
      <c r="I1260" s="7">
        <v>45873</v>
      </c>
      <c r="J1260" s="8">
        <v>150</v>
      </c>
      <c r="K1260" s="7">
        <v>45903</v>
      </c>
      <c r="L1260" s="5"/>
      <c r="M1260" s="5"/>
      <c r="P1260" s="23"/>
    </row>
    <row r="1261" spans="1:16" ht="14.4" customHeight="1" x14ac:dyDescent="0.3">
      <c r="A1261" s="5">
        <v>1292</v>
      </c>
      <c r="B1261" s="5" t="s">
        <v>2708</v>
      </c>
      <c r="C1261" s="5" t="s">
        <v>2744</v>
      </c>
      <c r="D1261" s="5" t="s">
        <v>2743</v>
      </c>
      <c r="E1261" s="5" t="s">
        <v>2743</v>
      </c>
      <c r="F1261" s="5">
        <v>58412036</v>
      </c>
      <c r="G1261" s="5" t="s">
        <v>16</v>
      </c>
      <c r="H1261" s="7">
        <v>45872</v>
      </c>
      <c r="I1261" s="7">
        <v>45873</v>
      </c>
      <c r="J1261" s="8">
        <v>150</v>
      </c>
      <c r="K1261" s="7">
        <v>45903</v>
      </c>
      <c r="L1261" s="5"/>
      <c r="M1261" s="5"/>
      <c r="P1261" s="23"/>
    </row>
    <row r="1262" spans="1:16" ht="14.4" customHeight="1" x14ac:dyDescent="0.3">
      <c r="A1262" s="5">
        <v>1295</v>
      </c>
      <c r="B1262" s="5" t="s">
        <v>2709</v>
      </c>
      <c r="C1262" s="5" t="s">
        <v>2745</v>
      </c>
      <c r="D1262" s="5" t="s">
        <v>2710</v>
      </c>
      <c r="E1262" s="5" t="s">
        <v>2944</v>
      </c>
      <c r="F1262" s="5">
        <v>58207596</v>
      </c>
      <c r="G1262" s="5" t="s">
        <v>1024</v>
      </c>
      <c r="H1262" s="7">
        <v>45872</v>
      </c>
      <c r="I1262" s="7">
        <v>45873</v>
      </c>
      <c r="J1262" s="8">
        <v>150</v>
      </c>
      <c r="K1262" s="7">
        <v>45903</v>
      </c>
      <c r="L1262" s="5"/>
      <c r="M1262" s="5"/>
      <c r="P1262" s="23"/>
    </row>
    <row r="1263" spans="1:16" ht="14.4" customHeight="1" x14ac:dyDescent="0.3">
      <c r="A1263" s="5">
        <v>1298</v>
      </c>
      <c r="B1263" s="5" t="s">
        <v>2713</v>
      </c>
      <c r="C1263" s="5" t="s">
        <v>2751</v>
      </c>
      <c r="D1263" s="5" t="s">
        <v>696</v>
      </c>
      <c r="E1263" s="5" t="s">
        <v>696</v>
      </c>
      <c r="F1263" s="5">
        <v>58827049</v>
      </c>
      <c r="G1263" s="5" t="s">
        <v>1024</v>
      </c>
      <c r="H1263" s="7">
        <v>45872</v>
      </c>
      <c r="I1263" s="7">
        <v>45873</v>
      </c>
      <c r="J1263" s="8">
        <v>150</v>
      </c>
      <c r="K1263" s="7">
        <v>45903</v>
      </c>
      <c r="L1263" s="5"/>
      <c r="P1263" s="23"/>
    </row>
    <row r="1264" spans="1:16" ht="14.4" customHeight="1" x14ac:dyDescent="0.3">
      <c r="A1264" s="5">
        <v>1299</v>
      </c>
      <c r="B1264" s="5" t="s">
        <v>2714</v>
      </c>
      <c r="C1264" s="5" t="s">
        <v>2752</v>
      </c>
      <c r="D1264" s="5" t="s">
        <v>2715</v>
      </c>
      <c r="E1264" s="5" t="s">
        <v>2715</v>
      </c>
      <c r="F1264" s="5">
        <v>57604178</v>
      </c>
      <c r="G1264" s="5" t="s">
        <v>1024</v>
      </c>
      <c r="H1264" s="7">
        <v>45872</v>
      </c>
      <c r="I1264" s="7">
        <v>45873</v>
      </c>
      <c r="J1264" s="8">
        <v>150</v>
      </c>
      <c r="K1264" s="7">
        <v>45903</v>
      </c>
      <c r="L1264" s="5">
        <v>3100</v>
      </c>
      <c r="P1264" s="23"/>
    </row>
    <row r="1265" spans="1:16" ht="14.4" customHeight="1" x14ac:dyDescent="0.3">
      <c r="A1265" s="5">
        <v>1307</v>
      </c>
      <c r="B1265" s="5" t="s">
        <v>2723</v>
      </c>
      <c r="C1265" s="5" t="s">
        <v>2724</v>
      </c>
      <c r="D1265" s="5" t="s">
        <v>226</v>
      </c>
      <c r="E1265" s="5" t="s">
        <v>226</v>
      </c>
      <c r="F1265" s="5">
        <v>57564286</v>
      </c>
      <c r="G1265" s="5" t="s">
        <v>1146</v>
      </c>
      <c r="H1265" s="7">
        <v>45873</v>
      </c>
      <c r="I1265" s="7">
        <v>45873</v>
      </c>
      <c r="J1265" s="8">
        <v>150</v>
      </c>
      <c r="K1265" s="7">
        <v>45903</v>
      </c>
      <c r="L1265" s="5">
        <v>965</v>
      </c>
      <c r="P1265" s="23"/>
    </row>
    <row r="1266" spans="1:16" ht="14.4" customHeight="1" x14ac:dyDescent="0.3">
      <c r="A1266" s="5">
        <v>1241</v>
      </c>
      <c r="B1266" s="5" t="s">
        <v>2636</v>
      </c>
      <c r="C1266" s="5" t="s">
        <v>2637</v>
      </c>
      <c r="D1266" s="5" t="s">
        <v>2638</v>
      </c>
      <c r="E1266" s="5" t="s">
        <v>2638</v>
      </c>
      <c r="F1266" s="5">
        <v>59419397</v>
      </c>
      <c r="G1266" s="5" t="s">
        <v>16</v>
      </c>
      <c r="H1266" s="7">
        <v>45868</v>
      </c>
      <c r="I1266" s="7">
        <v>45874</v>
      </c>
      <c r="J1266" s="8">
        <v>150</v>
      </c>
      <c r="K1266" s="7">
        <v>45903</v>
      </c>
      <c r="L1266" s="5"/>
      <c r="M1266" s="5"/>
      <c r="P1266" s="23"/>
    </row>
    <row r="1267" spans="1:16" ht="14.4" customHeight="1" x14ac:dyDescent="0.3">
      <c r="A1267" s="5">
        <v>1256</v>
      </c>
      <c r="B1267" s="5" t="s">
        <v>2670</v>
      </c>
      <c r="C1267" s="5" t="s">
        <v>2666</v>
      </c>
      <c r="D1267" s="5" t="s">
        <v>2666</v>
      </c>
      <c r="E1267" s="5" t="s">
        <v>41</v>
      </c>
      <c r="F1267" s="5">
        <v>57014444</v>
      </c>
      <c r="G1267" s="5" t="s">
        <v>2607</v>
      </c>
      <c r="H1267" s="7">
        <v>45869</v>
      </c>
      <c r="I1267" s="7">
        <v>45874</v>
      </c>
      <c r="J1267" s="8">
        <v>150</v>
      </c>
      <c r="K1267" s="7">
        <v>45903</v>
      </c>
      <c r="L1267" s="5" t="s">
        <v>2661</v>
      </c>
      <c r="P1267" s="23"/>
    </row>
    <row r="1268" spans="1:16" ht="14.4" customHeight="1" x14ac:dyDescent="0.3">
      <c r="A1268" s="5">
        <v>1263</v>
      </c>
      <c r="B1268" s="5" t="s">
        <v>2680</v>
      </c>
      <c r="C1268" s="5" t="s">
        <v>1378</v>
      </c>
      <c r="D1268" s="5" t="s">
        <v>1378</v>
      </c>
      <c r="E1268" s="5" t="s">
        <v>1378</v>
      </c>
      <c r="F1268" s="5">
        <v>57274823</v>
      </c>
      <c r="G1268" s="5" t="s">
        <v>2607</v>
      </c>
      <c r="H1268" s="7">
        <v>45869</v>
      </c>
      <c r="I1268" s="7">
        <v>45874</v>
      </c>
      <c r="J1268" s="8">
        <v>150</v>
      </c>
      <c r="K1268" s="7">
        <v>45903</v>
      </c>
      <c r="L1268" s="5" t="s">
        <v>2660</v>
      </c>
      <c r="P1268" s="23"/>
    </row>
    <row r="1269" spans="1:16" ht="14.4" customHeight="1" x14ac:dyDescent="0.3">
      <c r="A1269" s="5">
        <v>1264</v>
      </c>
      <c r="B1269" s="5" t="s">
        <v>2681</v>
      </c>
      <c r="C1269" s="5" t="s">
        <v>2219</v>
      </c>
      <c r="D1269" s="5" t="s">
        <v>84</v>
      </c>
      <c r="E1269" s="5" t="s">
        <v>84</v>
      </c>
      <c r="F1269" s="5">
        <v>57380654</v>
      </c>
      <c r="G1269" s="5" t="s">
        <v>1016</v>
      </c>
      <c r="H1269" s="7">
        <v>45869</v>
      </c>
      <c r="I1269" s="7">
        <v>45874</v>
      </c>
      <c r="J1269" s="8">
        <v>150</v>
      </c>
      <c r="K1269" s="7">
        <v>45903</v>
      </c>
      <c r="L1269" s="5" t="s">
        <v>2684</v>
      </c>
      <c r="P1269" s="23"/>
    </row>
    <row r="1270" spans="1:16" ht="14.4" customHeight="1" x14ac:dyDescent="0.3">
      <c r="A1270" s="5">
        <v>1266</v>
      </c>
      <c r="B1270" s="5" t="s">
        <v>2687</v>
      </c>
      <c r="C1270" s="5" t="s">
        <v>2725</v>
      </c>
      <c r="D1270" s="5" t="s">
        <v>2665</v>
      </c>
      <c r="E1270" s="5" t="s">
        <v>2665</v>
      </c>
      <c r="F1270" s="5">
        <v>59186330</v>
      </c>
      <c r="G1270" s="5" t="s">
        <v>16</v>
      </c>
      <c r="H1270" s="7">
        <v>45872</v>
      </c>
      <c r="I1270" s="7">
        <v>45874</v>
      </c>
      <c r="J1270" s="8">
        <v>150</v>
      </c>
      <c r="K1270" s="7">
        <v>45903</v>
      </c>
      <c r="L1270" s="5"/>
      <c r="P1270" s="23"/>
    </row>
    <row r="1271" spans="1:16" ht="14.4" customHeight="1" x14ac:dyDescent="0.3">
      <c r="A1271" s="5">
        <v>1268</v>
      </c>
      <c r="B1271" s="5" t="s">
        <v>2688</v>
      </c>
      <c r="C1271" s="5" t="s">
        <v>2757</v>
      </c>
      <c r="D1271" s="5" t="s">
        <v>1757</v>
      </c>
      <c r="E1271" s="5" t="s">
        <v>1757</v>
      </c>
      <c r="F1271" s="5">
        <v>54912470</v>
      </c>
      <c r="G1271" s="5" t="s">
        <v>16</v>
      </c>
      <c r="H1271" s="7">
        <v>45872</v>
      </c>
      <c r="I1271" s="7">
        <v>45874</v>
      </c>
      <c r="J1271" s="8">
        <v>150</v>
      </c>
      <c r="K1271" s="7">
        <v>45903</v>
      </c>
      <c r="L1271" s="5"/>
      <c r="P1271" s="23"/>
    </row>
    <row r="1272" spans="1:16" ht="14.4" customHeight="1" x14ac:dyDescent="0.3">
      <c r="A1272" s="5">
        <v>1270</v>
      </c>
      <c r="B1272" s="5" t="s">
        <v>480</v>
      </c>
      <c r="C1272" s="5" t="s">
        <v>2726</v>
      </c>
      <c r="D1272" s="5" t="s">
        <v>144</v>
      </c>
      <c r="E1272" s="5" t="s">
        <v>144</v>
      </c>
      <c r="F1272" s="5">
        <v>57643513</v>
      </c>
      <c r="G1272" s="5" t="s">
        <v>16</v>
      </c>
      <c r="H1272" s="7">
        <v>45872</v>
      </c>
      <c r="I1272" s="7">
        <v>45874</v>
      </c>
      <c r="J1272" s="8">
        <v>150</v>
      </c>
      <c r="K1272" s="7">
        <v>45903</v>
      </c>
      <c r="L1272" s="5"/>
      <c r="P1272" s="23"/>
    </row>
    <row r="1273" spans="1:16" ht="14.4" customHeight="1" x14ac:dyDescent="0.3">
      <c r="A1273" s="5">
        <v>1272</v>
      </c>
      <c r="B1273" s="5" t="s">
        <v>2644</v>
      </c>
      <c r="C1273" s="5" t="s">
        <v>1614</v>
      </c>
      <c r="D1273" s="5" t="s">
        <v>700</v>
      </c>
      <c r="E1273" s="5" t="s">
        <v>77</v>
      </c>
      <c r="F1273" s="5">
        <v>57824254</v>
      </c>
      <c r="G1273" s="5" t="s">
        <v>16</v>
      </c>
      <c r="H1273" s="7">
        <v>45872</v>
      </c>
      <c r="I1273" s="7">
        <v>45874</v>
      </c>
      <c r="J1273" s="8">
        <v>150</v>
      </c>
      <c r="K1273" s="7">
        <v>45903</v>
      </c>
      <c r="L1273" s="5"/>
      <c r="P1273" s="23"/>
    </row>
    <row r="1274" spans="1:16" ht="14.4" customHeight="1" x14ac:dyDescent="0.3">
      <c r="A1274" s="5">
        <v>1274</v>
      </c>
      <c r="B1274" s="5" t="s">
        <v>2692</v>
      </c>
      <c r="C1274" s="5" t="s">
        <v>2729</v>
      </c>
      <c r="D1274" s="5" t="s">
        <v>2693</v>
      </c>
      <c r="E1274" s="5" t="s">
        <v>491</v>
      </c>
      <c r="F1274" s="5">
        <v>59271243</v>
      </c>
      <c r="G1274" s="5" t="s">
        <v>16</v>
      </c>
      <c r="H1274" s="7">
        <v>45872</v>
      </c>
      <c r="I1274" s="7">
        <v>45874</v>
      </c>
      <c r="J1274" s="8">
        <v>150</v>
      </c>
      <c r="K1274" s="7">
        <v>45903</v>
      </c>
      <c r="L1274" s="5"/>
      <c r="P1274" s="23"/>
    </row>
    <row r="1275" spans="1:16" ht="14.4" customHeight="1" x14ac:dyDescent="0.3">
      <c r="A1275" s="5">
        <v>1275</v>
      </c>
      <c r="B1275" s="5" t="s">
        <v>2694</v>
      </c>
      <c r="C1275" s="5" t="s">
        <v>2730</v>
      </c>
      <c r="D1275" s="5" t="s">
        <v>84</v>
      </c>
      <c r="E1275" s="5" t="s">
        <v>84</v>
      </c>
      <c r="F1275" s="5">
        <v>57996202</v>
      </c>
      <c r="G1275" s="5" t="s">
        <v>16</v>
      </c>
      <c r="H1275" s="7">
        <v>45872</v>
      </c>
      <c r="I1275" s="7">
        <v>45874</v>
      </c>
      <c r="J1275" s="8">
        <v>150</v>
      </c>
      <c r="K1275" s="7">
        <v>45903</v>
      </c>
      <c r="L1275" s="5"/>
      <c r="P1275" s="23"/>
    </row>
    <row r="1276" spans="1:16" ht="14.4" customHeight="1" x14ac:dyDescent="0.3">
      <c r="A1276" s="5">
        <v>1276</v>
      </c>
      <c r="B1276" s="5" t="s">
        <v>2239</v>
      </c>
      <c r="C1276" s="5" t="s">
        <v>2731</v>
      </c>
      <c r="D1276" s="5" t="s">
        <v>276</v>
      </c>
      <c r="E1276" s="5" t="s">
        <v>276</v>
      </c>
      <c r="F1276" s="5">
        <v>58409137</v>
      </c>
      <c r="G1276" s="5" t="s">
        <v>16</v>
      </c>
      <c r="H1276" s="7">
        <v>45872</v>
      </c>
      <c r="I1276" s="7">
        <v>45874</v>
      </c>
      <c r="J1276" s="8">
        <v>150</v>
      </c>
      <c r="K1276" s="7">
        <v>45903</v>
      </c>
      <c r="L1276" s="5"/>
      <c r="P1276" s="23"/>
    </row>
    <row r="1277" spans="1:16" ht="14.4" customHeight="1" x14ac:dyDescent="0.3">
      <c r="A1277" s="5">
        <v>1277</v>
      </c>
      <c r="B1277" s="5" t="s">
        <v>206</v>
      </c>
      <c r="C1277" s="5" t="s">
        <v>2732</v>
      </c>
      <c r="D1277" s="5" t="s">
        <v>501</v>
      </c>
      <c r="E1277" s="5" t="s">
        <v>501</v>
      </c>
      <c r="F1277" s="5">
        <v>57265037</v>
      </c>
      <c r="G1277" s="5" t="s">
        <v>16</v>
      </c>
      <c r="H1277" s="7">
        <v>45872</v>
      </c>
      <c r="I1277" s="7">
        <v>45874</v>
      </c>
      <c r="J1277" s="8">
        <v>150</v>
      </c>
      <c r="K1277" s="7">
        <v>45903</v>
      </c>
      <c r="L1277" s="5"/>
      <c r="P1277" s="23"/>
    </row>
    <row r="1278" spans="1:16" ht="14.4" customHeight="1" x14ac:dyDescent="0.3">
      <c r="A1278" s="5">
        <v>1279</v>
      </c>
      <c r="B1278" s="5" t="s">
        <v>2695</v>
      </c>
      <c r="C1278" s="5" t="s">
        <v>2755</v>
      </c>
      <c r="D1278" s="5" t="s">
        <v>2696</v>
      </c>
      <c r="E1278" s="5" t="s">
        <v>223</v>
      </c>
      <c r="F1278" s="5">
        <v>59601911</v>
      </c>
      <c r="G1278" s="5" t="s">
        <v>16</v>
      </c>
      <c r="H1278" s="7">
        <v>45872</v>
      </c>
      <c r="I1278" s="7">
        <v>45874</v>
      </c>
      <c r="J1278" s="8">
        <v>150</v>
      </c>
      <c r="K1278" s="7">
        <v>45903</v>
      </c>
      <c r="L1278" s="5"/>
      <c r="P1278" s="23"/>
    </row>
    <row r="1279" spans="1:16" ht="14.4" customHeight="1" x14ac:dyDescent="0.3">
      <c r="A1279" s="5">
        <v>1280</v>
      </c>
      <c r="B1279" s="5" t="s">
        <v>2697</v>
      </c>
      <c r="C1279" s="5" t="s">
        <v>2733</v>
      </c>
      <c r="D1279" s="5" t="s">
        <v>276</v>
      </c>
      <c r="E1279" s="5" t="s">
        <v>276</v>
      </c>
      <c r="F1279" s="5">
        <v>55042488</v>
      </c>
      <c r="G1279" s="5" t="s">
        <v>16</v>
      </c>
      <c r="H1279" s="7">
        <v>45872</v>
      </c>
      <c r="I1279" s="7">
        <v>45874</v>
      </c>
      <c r="J1279" s="8">
        <v>150</v>
      </c>
      <c r="K1279" s="7">
        <v>45903</v>
      </c>
      <c r="L1279" s="5"/>
      <c r="P1279" s="23"/>
    </row>
    <row r="1280" spans="1:16" ht="14.4" customHeight="1" x14ac:dyDescent="0.3">
      <c r="A1280" s="5">
        <v>1281</v>
      </c>
      <c r="B1280" s="5" t="s">
        <v>2698</v>
      </c>
      <c r="C1280" s="5" t="s">
        <v>2734</v>
      </c>
      <c r="D1280" s="5" t="s">
        <v>2699</v>
      </c>
      <c r="E1280" s="5" t="s">
        <v>84</v>
      </c>
      <c r="F1280" s="5">
        <v>58381496</v>
      </c>
      <c r="G1280" s="5" t="s">
        <v>16</v>
      </c>
      <c r="H1280" s="7">
        <v>45872</v>
      </c>
      <c r="I1280" s="7">
        <v>45874</v>
      </c>
      <c r="J1280" s="8">
        <v>150</v>
      </c>
      <c r="K1280" s="7">
        <v>45903</v>
      </c>
      <c r="L1280" s="5"/>
      <c r="P1280" s="23"/>
    </row>
    <row r="1281" spans="1:16" ht="14.4" customHeight="1" x14ac:dyDescent="0.3">
      <c r="A1281" s="5">
        <v>1282</v>
      </c>
      <c r="B1281" s="5" t="s">
        <v>2700</v>
      </c>
      <c r="C1281" s="5" t="s">
        <v>2735</v>
      </c>
      <c r="D1281" s="5" t="s">
        <v>2701</v>
      </c>
      <c r="E1281" s="5" t="s">
        <v>2701</v>
      </c>
      <c r="F1281" s="5">
        <v>58231090</v>
      </c>
      <c r="G1281" s="5" t="s">
        <v>16</v>
      </c>
      <c r="H1281" s="7">
        <v>45872</v>
      </c>
      <c r="I1281" s="7">
        <v>45874</v>
      </c>
      <c r="J1281" s="8">
        <v>150</v>
      </c>
      <c r="K1281" s="7">
        <v>45903</v>
      </c>
      <c r="L1281" s="5"/>
      <c r="P1281" s="23"/>
    </row>
    <row r="1282" spans="1:16" ht="14.4" customHeight="1" x14ac:dyDescent="0.3">
      <c r="A1282" s="5">
        <v>1289</v>
      </c>
      <c r="B1282" s="5" t="s">
        <v>2706</v>
      </c>
      <c r="C1282" s="5" t="s">
        <v>2741</v>
      </c>
      <c r="D1282" s="5" t="s">
        <v>77</v>
      </c>
      <c r="E1282" s="5" t="s">
        <v>77</v>
      </c>
      <c r="F1282" s="5">
        <v>59052883</v>
      </c>
      <c r="G1282" s="5" t="s">
        <v>16</v>
      </c>
      <c r="H1282" s="7">
        <v>45872</v>
      </c>
      <c r="I1282" s="7">
        <v>45874</v>
      </c>
      <c r="J1282" s="8">
        <v>150</v>
      </c>
      <c r="K1282" s="7">
        <v>45903</v>
      </c>
      <c r="L1282" s="5"/>
      <c r="P1282" s="23"/>
    </row>
    <row r="1283" spans="1:16" ht="14.4" customHeight="1" x14ac:dyDescent="0.3">
      <c r="A1283" s="5">
        <v>1290</v>
      </c>
      <c r="B1283" s="5" t="s">
        <v>1592</v>
      </c>
      <c r="C1283" s="5" t="s">
        <v>1593</v>
      </c>
      <c r="D1283" s="5" t="s">
        <v>84</v>
      </c>
      <c r="E1283" s="5" t="s">
        <v>84</v>
      </c>
      <c r="F1283" s="5">
        <v>58051075</v>
      </c>
      <c r="G1283" s="5" t="s">
        <v>16</v>
      </c>
      <c r="H1283" s="7">
        <v>45872</v>
      </c>
      <c r="I1283" s="7">
        <v>45874</v>
      </c>
      <c r="J1283" s="8">
        <v>150</v>
      </c>
      <c r="K1283" s="7">
        <v>45903</v>
      </c>
      <c r="L1283" s="5"/>
      <c r="P1283" s="23"/>
    </row>
    <row r="1284" spans="1:16" ht="14.4" customHeight="1" x14ac:dyDescent="0.3">
      <c r="A1284" s="5">
        <v>1293</v>
      </c>
      <c r="B1284" s="5" t="s">
        <v>864</v>
      </c>
      <c r="C1284" s="5" t="s">
        <v>865</v>
      </c>
      <c r="D1284" s="5" t="s">
        <v>305</v>
      </c>
      <c r="E1284" s="5" t="s">
        <v>305</v>
      </c>
      <c r="F1284" s="5">
        <v>58352822</v>
      </c>
      <c r="G1284" s="5" t="s">
        <v>16</v>
      </c>
      <c r="H1284" s="7">
        <v>45872</v>
      </c>
      <c r="I1284" s="7">
        <v>45874</v>
      </c>
      <c r="J1284" s="8">
        <v>150</v>
      </c>
      <c r="K1284" s="7">
        <v>45903</v>
      </c>
      <c r="L1284" s="5"/>
      <c r="P1284" s="23"/>
    </row>
    <row r="1285" spans="1:16" ht="14.4" customHeight="1" x14ac:dyDescent="0.3">
      <c r="A1285" s="5">
        <v>1294</v>
      </c>
      <c r="B1285" s="5" t="s">
        <v>1608</v>
      </c>
      <c r="C1285" s="5" t="s">
        <v>2753</v>
      </c>
      <c r="D1285" s="5" t="s">
        <v>715</v>
      </c>
      <c r="E1285" s="5" t="s">
        <v>715</v>
      </c>
      <c r="F1285" s="5">
        <v>57603737</v>
      </c>
      <c r="G1285" s="5" t="s">
        <v>16</v>
      </c>
      <c r="H1285" s="7">
        <v>45872</v>
      </c>
      <c r="I1285" s="7">
        <v>45874</v>
      </c>
      <c r="J1285" s="8">
        <v>150</v>
      </c>
      <c r="K1285" s="7">
        <v>45903</v>
      </c>
      <c r="L1285" s="5"/>
      <c r="P1285" s="23"/>
    </row>
    <row r="1286" spans="1:16" ht="14.4" customHeight="1" x14ac:dyDescent="0.3">
      <c r="A1286" s="5">
        <v>1296</v>
      </c>
      <c r="B1286" s="5" t="s">
        <v>2711</v>
      </c>
      <c r="C1286" s="5" t="s">
        <v>2747</v>
      </c>
      <c r="D1286" s="5" t="s">
        <v>2746</v>
      </c>
      <c r="E1286" s="5" t="s">
        <v>2746</v>
      </c>
      <c r="F1286" s="5">
        <v>57895098</v>
      </c>
      <c r="G1286" s="5" t="s">
        <v>1024</v>
      </c>
      <c r="H1286" s="7">
        <v>45872</v>
      </c>
      <c r="I1286" s="7">
        <v>45874</v>
      </c>
      <c r="J1286" s="8">
        <v>150</v>
      </c>
      <c r="K1286" s="7">
        <v>45903</v>
      </c>
      <c r="L1286" s="5"/>
      <c r="P1286" s="23"/>
    </row>
    <row r="1287" spans="1:16" ht="14.4" customHeight="1" x14ac:dyDescent="0.3">
      <c r="A1287" s="5">
        <v>1297</v>
      </c>
      <c r="B1287" s="5" t="s">
        <v>2712</v>
      </c>
      <c r="C1287" s="5" t="s">
        <v>2748</v>
      </c>
      <c r="D1287" s="5" t="s">
        <v>276</v>
      </c>
      <c r="E1287" s="5" t="s">
        <v>276</v>
      </c>
      <c r="F1287" s="5">
        <v>57595683</v>
      </c>
      <c r="G1287" s="5" t="s">
        <v>1024</v>
      </c>
      <c r="H1287" s="7">
        <v>45872</v>
      </c>
      <c r="I1287" s="7">
        <v>45874</v>
      </c>
      <c r="J1287" s="8">
        <v>150</v>
      </c>
      <c r="K1287" s="7">
        <v>45903</v>
      </c>
      <c r="L1287" s="5"/>
      <c r="P1287" s="23"/>
    </row>
    <row r="1288" spans="1:16" ht="14.4" customHeight="1" x14ac:dyDescent="0.3">
      <c r="A1288" s="5">
        <v>1301</v>
      </c>
      <c r="B1288" s="5" t="s">
        <v>2717</v>
      </c>
      <c r="C1288" s="5" t="s">
        <v>2718</v>
      </c>
      <c r="D1288" s="5" t="s">
        <v>84</v>
      </c>
      <c r="E1288" s="5" t="s">
        <v>84</v>
      </c>
      <c r="F1288" s="5">
        <v>57040969</v>
      </c>
      <c r="G1288" s="5" t="s">
        <v>2607</v>
      </c>
      <c r="H1288" s="7">
        <v>45873</v>
      </c>
      <c r="I1288" s="7">
        <v>45874</v>
      </c>
      <c r="J1288" s="8">
        <v>150</v>
      </c>
      <c r="K1288" s="7">
        <v>45903</v>
      </c>
      <c r="L1288" s="5">
        <v>950</v>
      </c>
      <c r="P1288" s="23"/>
    </row>
    <row r="1289" spans="1:16" ht="14.4" customHeight="1" x14ac:dyDescent="0.3">
      <c r="A1289" s="5">
        <v>1302</v>
      </c>
      <c r="B1289" s="5" t="s">
        <v>2719</v>
      </c>
      <c r="C1289" s="5" t="s">
        <v>41</v>
      </c>
      <c r="D1289" s="5" t="s">
        <v>41</v>
      </c>
      <c r="E1289" s="5" t="s">
        <v>41</v>
      </c>
      <c r="F1289" s="5">
        <v>59165916</v>
      </c>
      <c r="G1289" s="5" t="s">
        <v>2607</v>
      </c>
      <c r="H1289" s="7">
        <v>45873</v>
      </c>
      <c r="I1289" s="7">
        <v>45874</v>
      </c>
      <c r="J1289" s="8">
        <v>150</v>
      </c>
      <c r="K1289" s="7">
        <v>45903</v>
      </c>
      <c r="L1289" s="5">
        <v>825</v>
      </c>
      <c r="P1289" s="23"/>
    </row>
    <row r="1290" spans="1:16" ht="14.4" customHeight="1" x14ac:dyDescent="0.3">
      <c r="A1290" s="5">
        <v>1303</v>
      </c>
      <c r="B1290" s="5" t="s">
        <v>2759</v>
      </c>
      <c r="C1290" s="5" t="s">
        <v>2760</v>
      </c>
      <c r="D1290" s="5" t="s">
        <v>998</v>
      </c>
      <c r="E1290" s="5" t="s">
        <v>998</v>
      </c>
      <c r="F1290" s="5">
        <v>58178472</v>
      </c>
      <c r="G1290" s="5" t="s">
        <v>963</v>
      </c>
      <c r="H1290" s="7">
        <v>45873</v>
      </c>
      <c r="I1290" s="7">
        <v>45874</v>
      </c>
      <c r="J1290" s="8">
        <v>150</v>
      </c>
      <c r="K1290" s="7">
        <v>45903</v>
      </c>
      <c r="L1290" s="5">
        <v>2100</v>
      </c>
      <c r="P1290" s="23"/>
    </row>
    <row r="1291" spans="1:16" ht="14.4" customHeight="1" x14ac:dyDescent="0.3">
      <c r="A1291" s="5">
        <v>1304</v>
      </c>
      <c r="B1291" s="5" t="s">
        <v>2720</v>
      </c>
      <c r="C1291" s="5" t="s">
        <v>1208</v>
      </c>
      <c r="D1291" s="5" t="s">
        <v>2750</v>
      </c>
      <c r="E1291" s="5" t="s">
        <v>2750</v>
      </c>
      <c r="F1291" s="5">
        <v>52692008</v>
      </c>
      <c r="G1291" s="5" t="s">
        <v>963</v>
      </c>
      <c r="H1291" s="7">
        <v>45873</v>
      </c>
      <c r="I1291" s="7">
        <v>45874</v>
      </c>
      <c r="J1291" s="8">
        <v>150</v>
      </c>
      <c r="K1291" s="7">
        <v>45903</v>
      </c>
      <c r="L1291" s="5"/>
      <c r="P1291" s="23"/>
    </row>
    <row r="1292" spans="1:16" ht="14.4" customHeight="1" x14ac:dyDescent="0.3">
      <c r="A1292" s="5">
        <v>1305</v>
      </c>
      <c r="B1292" s="5" t="s">
        <v>2721</v>
      </c>
      <c r="C1292" s="5" t="s">
        <v>63</v>
      </c>
      <c r="D1292" s="5" t="s">
        <v>63</v>
      </c>
      <c r="E1292" s="5" t="s">
        <v>63</v>
      </c>
      <c r="F1292" s="5">
        <v>59479702</v>
      </c>
      <c r="G1292" s="5" t="s">
        <v>963</v>
      </c>
      <c r="H1292" s="7">
        <v>45873</v>
      </c>
      <c r="I1292" s="7">
        <v>45874</v>
      </c>
      <c r="J1292" s="8">
        <v>150</v>
      </c>
      <c r="K1292" s="7">
        <v>45903</v>
      </c>
      <c r="L1292" s="5">
        <v>1350</v>
      </c>
      <c r="P1292" s="23"/>
    </row>
    <row r="1293" spans="1:16" ht="14.4" customHeight="1" x14ac:dyDescent="0.3">
      <c r="A1293" s="5">
        <v>1306</v>
      </c>
      <c r="B1293" s="5" t="s">
        <v>2722</v>
      </c>
      <c r="C1293" s="5" t="s">
        <v>2718</v>
      </c>
      <c r="D1293" s="5" t="s">
        <v>84</v>
      </c>
      <c r="E1293" s="5" t="s">
        <v>84</v>
      </c>
      <c r="F1293" s="5">
        <v>58155863</v>
      </c>
      <c r="G1293" s="5" t="s">
        <v>1146</v>
      </c>
      <c r="H1293" s="7">
        <v>45873</v>
      </c>
      <c r="I1293" s="7">
        <v>45874</v>
      </c>
      <c r="J1293" s="8">
        <v>150</v>
      </c>
      <c r="K1293" s="7">
        <v>45903</v>
      </c>
      <c r="L1293" s="5">
        <v>550</v>
      </c>
      <c r="P1293" s="23"/>
    </row>
    <row r="1294" spans="1:16" ht="14.4" customHeight="1" x14ac:dyDescent="0.3">
      <c r="A1294" s="5">
        <v>1309</v>
      </c>
      <c r="B1294" s="5" t="s">
        <v>2461</v>
      </c>
      <c r="C1294" s="5" t="s">
        <v>2463</v>
      </c>
      <c r="D1294" s="5" t="s">
        <v>2463</v>
      </c>
      <c r="E1294" s="5" t="s">
        <v>2463</v>
      </c>
      <c r="F1294" s="5">
        <v>55071312</v>
      </c>
      <c r="G1294" s="5" t="s">
        <v>16</v>
      </c>
      <c r="H1294" s="7">
        <v>45873</v>
      </c>
      <c r="I1294" s="7">
        <v>45874</v>
      </c>
      <c r="J1294" s="8">
        <v>150</v>
      </c>
      <c r="K1294" s="7">
        <v>45903</v>
      </c>
      <c r="L1294" s="5"/>
      <c r="P1294" s="23"/>
    </row>
    <row r="1295" spans="1:16" ht="14.4" customHeight="1" x14ac:dyDescent="0.3">
      <c r="A1295" s="5">
        <v>1310</v>
      </c>
      <c r="B1295" s="5" t="s">
        <v>2081</v>
      </c>
      <c r="C1295" s="5" t="s">
        <v>2763</v>
      </c>
      <c r="D1295" s="5" t="s">
        <v>923</v>
      </c>
      <c r="E1295" s="5" t="s">
        <v>923</v>
      </c>
      <c r="F1295" s="5">
        <v>58021671</v>
      </c>
      <c r="G1295" s="5" t="s">
        <v>16</v>
      </c>
      <c r="H1295" s="7">
        <v>45873</v>
      </c>
      <c r="I1295" s="7">
        <v>45874</v>
      </c>
      <c r="J1295" s="8">
        <v>150</v>
      </c>
      <c r="K1295" s="7">
        <v>45903</v>
      </c>
      <c r="L1295" s="5"/>
      <c r="P1295" s="23"/>
    </row>
    <row r="1296" spans="1:16" ht="14.4" customHeight="1" x14ac:dyDescent="0.3">
      <c r="A1296" s="5">
        <v>1311</v>
      </c>
      <c r="B1296" s="5" t="s">
        <v>2764</v>
      </c>
      <c r="C1296" s="5" t="s">
        <v>2765</v>
      </c>
      <c r="D1296" s="5" t="s">
        <v>69</v>
      </c>
      <c r="E1296" s="5" t="s">
        <v>69</v>
      </c>
      <c r="F1296" s="5">
        <v>58211264</v>
      </c>
      <c r="G1296" s="5" t="s">
        <v>16</v>
      </c>
      <c r="H1296" s="7">
        <v>45873</v>
      </c>
      <c r="I1296" s="7">
        <v>45874</v>
      </c>
      <c r="J1296" s="8">
        <v>150</v>
      </c>
      <c r="K1296" s="7">
        <v>45903</v>
      </c>
      <c r="L1296" s="5"/>
      <c r="P1296" s="23"/>
    </row>
    <row r="1297" spans="1:16" x14ac:dyDescent="0.3">
      <c r="A1297" s="5">
        <v>1312</v>
      </c>
      <c r="B1297" s="5" t="s">
        <v>2766</v>
      </c>
      <c r="C1297" s="5" t="s">
        <v>2767</v>
      </c>
      <c r="D1297" s="5" t="s">
        <v>226</v>
      </c>
      <c r="E1297" s="5" t="s">
        <v>226</v>
      </c>
      <c r="F1297" s="5" t="s">
        <v>2768</v>
      </c>
      <c r="G1297" s="5" t="s">
        <v>16</v>
      </c>
      <c r="H1297" s="7">
        <v>45873</v>
      </c>
      <c r="I1297" s="7">
        <v>45874</v>
      </c>
      <c r="J1297" s="8">
        <v>150</v>
      </c>
      <c r="K1297" s="7">
        <v>45903</v>
      </c>
      <c r="L1297" s="5"/>
      <c r="P1297" s="23"/>
    </row>
    <row r="1298" spans="1:16" ht="14.4" customHeight="1" x14ac:dyDescent="0.3">
      <c r="A1298" s="5">
        <v>1313</v>
      </c>
      <c r="B1298" s="5" t="s">
        <v>2769</v>
      </c>
      <c r="C1298" s="5" t="s">
        <v>2770</v>
      </c>
      <c r="D1298" s="5" t="s">
        <v>31</v>
      </c>
      <c r="E1298" s="5" t="s">
        <v>31</v>
      </c>
      <c r="F1298" s="5">
        <v>59470778</v>
      </c>
      <c r="G1298" s="5" t="s">
        <v>16</v>
      </c>
      <c r="H1298" s="7">
        <v>45873</v>
      </c>
      <c r="I1298" s="7">
        <v>45874</v>
      </c>
      <c r="J1298" s="8">
        <v>150</v>
      </c>
      <c r="K1298" s="7">
        <v>45903</v>
      </c>
      <c r="L1298" s="5"/>
      <c r="P1298" s="23"/>
    </row>
    <row r="1299" spans="1:16" ht="14.4" customHeight="1" x14ac:dyDescent="0.3">
      <c r="A1299" s="5">
        <v>1300</v>
      </c>
      <c r="B1299" s="5" t="s">
        <v>2716</v>
      </c>
      <c r="C1299" s="5" t="s">
        <v>2749</v>
      </c>
      <c r="D1299" s="5" t="s">
        <v>880</v>
      </c>
      <c r="E1299" s="5" t="s">
        <v>880</v>
      </c>
      <c r="F1299" s="5">
        <v>57533488</v>
      </c>
      <c r="G1299" s="5" t="s">
        <v>1024</v>
      </c>
      <c r="H1299" s="7">
        <v>45872</v>
      </c>
      <c r="I1299" s="7">
        <v>45875</v>
      </c>
      <c r="J1299" s="8">
        <v>150</v>
      </c>
      <c r="K1299" s="7">
        <v>45903</v>
      </c>
      <c r="L1299" s="5">
        <v>1625</v>
      </c>
      <c r="P1299" s="23"/>
    </row>
    <row r="1300" spans="1:16" ht="14.4" customHeight="1" x14ac:dyDescent="0.3">
      <c r="A1300" s="5">
        <v>1308</v>
      </c>
      <c r="B1300" s="5" t="s">
        <v>2761</v>
      </c>
      <c r="C1300" s="5" t="s">
        <v>2762</v>
      </c>
      <c r="D1300" s="5" t="s">
        <v>723</v>
      </c>
      <c r="E1300" s="5" t="s">
        <v>723</v>
      </c>
      <c r="F1300" s="5">
        <v>59229937</v>
      </c>
      <c r="G1300" s="5" t="s">
        <v>16</v>
      </c>
      <c r="H1300" s="7">
        <v>45873</v>
      </c>
      <c r="I1300" s="7">
        <v>45876</v>
      </c>
      <c r="J1300" s="8">
        <v>150</v>
      </c>
      <c r="K1300" s="7">
        <v>45903</v>
      </c>
      <c r="L1300" s="5"/>
      <c r="P1300" s="23"/>
    </row>
    <row r="1301" spans="1:16" ht="14.4" customHeight="1" x14ac:dyDescent="0.3">
      <c r="A1301" s="5">
        <v>1314</v>
      </c>
      <c r="B1301" s="5" t="s">
        <v>2220</v>
      </c>
      <c r="C1301" s="5" t="s">
        <v>2771</v>
      </c>
      <c r="D1301" s="5" t="s">
        <v>84</v>
      </c>
      <c r="E1301" s="5" t="s">
        <v>84</v>
      </c>
      <c r="F1301" s="5">
        <v>58339743</v>
      </c>
      <c r="G1301" s="5" t="s">
        <v>16</v>
      </c>
      <c r="H1301" s="7">
        <v>45875</v>
      </c>
      <c r="I1301" s="7">
        <v>45876</v>
      </c>
      <c r="J1301" s="8">
        <v>150</v>
      </c>
      <c r="K1301" s="7">
        <v>45903</v>
      </c>
      <c r="L1301" s="5"/>
      <c r="P1301" s="23"/>
    </row>
    <row r="1302" spans="1:16" ht="14.4" customHeight="1" x14ac:dyDescent="0.3">
      <c r="A1302" s="5">
        <v>1315</v>
      </c>
      <c r="B1302" s="5" t="s">
        <v>2772</v>
      </c>
      <c r="C1302" s="5" t="s">
        <v>2773</v>
      </c>
      <c r="D1302" s="5" t="s">
        <v>1833</v>
      </c>
      <c r="E1302" s="5" t="s">
        <v>223</v>
      </c>
      <c r="F1302" s="5">
        <v>54753613</v>
      </c>
      <c r="G1302" s="5" t="s">
        <v>16</v>
      </c>
      <c r="H1302" s="7">
        <v>45875</v>
      </c>
      <c r="I1302" s="7">
        <v>45876</v>
      </c>
      <c r="J1302" s="8">
        <v>150</v>
      </c>
      <c r="K1302" s="7">
        <v>45903</v>
      </c>
      <c r="L1302" s="5"/>
      <c r="P1302" s="23"/>
    </row>
    <row r="1303" spans="1:16" ht="14.4" customHeight="1" x14ac:dyDescent="0.3">
      <c r="A1303" s="5">
        <v>1316</v>
      </c>
      <c r="B1303" s="5" t="s">
        <v>2005</v>
      </c>
      <c r="C1303" s="5" t="s">
        <v>2826</v>
      </c>
      <c r="D1303" s="5" t="s">
        <v>1683</v>
      </c>
      <c r="E1303" s="5" t="s">
        <v>1993</v>
      </c>
      <c r="F1303" s="5">
        <v>58619536</v>
      </c>
      <c r="G1303" s="5" t="s">
        <v>16</v>
      </c>
      <c r="H1303" s="7">
        <v>45875</v>
      </c>
      <c r="I1303" s="7">
        <v>45876</v>
      </c>
      <c r="J1303" s="8">
        <v>150</v>
      </c>
      <c r="K1303" s="7">
        <v>45903</v>
      </c>
      <c r="L1303" s="5"/>
      <c r="P1303" s="23"/>
    </row>
    <row r="1304" spans="1:16" ht="14.4" customHeight="1" x14ac:dyDescent="0.3">
      <c r="A1304" s="5">
        <v>1317</v>
      </c>
      <c r="B1304" s="5" t="s">
        <v>2478</v>
      </c>
      <c r="C1304" s="5" t="s">
        <v>2479</v>
      </c>
      <c r="D1304" s="5" t="s">
        <v>2774</v>
      </c>
      <c r="E1304" s="5" t="s">
        <v>131</v>
      </c>
      <c r="F1304" s="5">
        <v>57225676</v>
      </c>
      <c r="G1304" s="5" t="s">
        <v>16</v>
      </c>
      <c r="H1304" s="7">
        <v>45875</v>
      </c>
      <c r="I1304" s="7">
        <v>45876</v>
      </c>
      <c r="J1304" s="8">
        <v>150</v>
      </c>
      <c r="K1304" s="7">
        <v>45903</v>
      </c>
      <c r="L1304" s="5"/>
      <c r="P1304" s="23"/>
    </row>
    <row r="1305" spans="1:16" ht="14.4" customHeight="1" x14ac:dyDescent="0.3">
      <c r="A1305" s="5">
        <v>1318</v>
      </c>
      <c r="B1305" s="5" t="s">
        <v>2775</v>
      </c>
      <c r="C1305" s="5" t="s">
        <v>2776</v>
      </c>
      <c r="D1305" s="5" t="s">
        <v>2777</v>
      </c>
      <c r="E1305" s="5" t="s">
        <v>74</v>
      </c>
      <c r="F1305" s="5">
        <v>54210250</v>
      </c>
      <c r="G1305" s="5" t="s">
        <v>16</v>
      </c>
      <c r="H1305" s="7">
        <v>45875</v>
      </c>
      <c r="I1305" s="7">
        <v>45876</v>
      </c>
      <c r="J1305" s="8">
        <v>150</v>
      </c>
      <c r="K1305" s="7">
        <v>45903</v>
      </c>
      <c r="L1305" s="5"/>
      <c r="P1305" s="23"/>
    </row>
    <row r="1306" spans="1:16" ht="14.4" customHeight="1" x14ac:dyDescent="0.3">
      <c r="A1306" s="5">
        <v>1319</v>
      </c>
      <c r="B1306" s="5" t="s">
        <v>2778</v>
      </c>
      <c r="C1306" s="5" t="s">
        <v>2815</v>
      </c>
      <c r="D1306" s="5" t="s">
        <v>2779</v>
      </c>
      <c r="E1306" s="5" t="s">
        <v>1076</v>
      </c>
      <c r="F1306" s="5">
        <v>57984413</v>
      </c>
      <c r="G1306" s="5" t="s">
        <v>16</v>
      </c>
      <c r="H1306" s="7">
        <v>45875</v>
      </c>
      <c r="I1306" s="7">
        <v>45876</v>
      </c>
      <c r="J1306" s="8">
        <v>150</v>
      </c>
      <c r="K1306" s="7">
        <v>45903</v>
      </c>
      <c r="L1306" s="5"/>
      <c r="P1306" s="23"/>
    </row>
    <row r="1307" spans="1:16" ht="14.4" customHeight="1" x14ac:dyDescent="0.3">
      <c r="A1307" s="5">
        <v>1320</v>
      </c>
      <c r="B1307" s="5" t="s">
        <v>2781</v>
      </c>
      <c r="C1307" s="5" t="s">
        <v>2828</v>
      </c>
      <c r="D1307" s="5" t="s">
        <v>2782</v>
      </c>
      <c r="E1307" s="5" t="s">
        <v>74</v>
      </c>
      <c r="F1307" s="5">
        <v>57758694</v>
      </c>
      <c r="G1307" s="5" t="s">
        <v>16</v>
      </c>
      <c r="H1307" s="7">
        <v>45875</v>
      </c>
      <c r="I1307" s="7">
        <v>45876</v>
      </c>
      <c r="J1307" s="8">
        <v>150</v>
      </c>
      <c r="K1307" s="7">
        <v>45903</v>
      </c>
      <c r="L1307" s="5"/>
      <c r="P1307" s="23"/>
    </row>
    <row r="1308" spans="1:16" ht="14.4" customHeight="1" x14ac:dyDescent="0.3">
      <c r="A1308" s="5">
        <v>1321</v>
      </c>
      <c r="B1308" s="5" t="s">
        <v>1535</v>
      </c>
      <c r="C1308" s="5" t="s">
        <v>2783</v>
      </c>
      <c r="D1308" s="5" t="s">
        <v>2784</v>
      </c>
      <c r="E1308" s="5" t="s">
        <v>101</v>
      </c>
      <c r="F1308" s="5">
        <v>59225275</v>
      </c>
      <c r="G1308" s="5" t="s">
        <v>16</v>
      </c>
      <c r="H1308" s="7">
        <v>45875</v>
      </c>
      <c r="I1308" s="7">
        <v>45876</v>
      </c>
      <c r="J1308" s="8">
        <v>150</v>
      </c>
      <c r="K1308" s="7">
        <v>45903</v>
      </c>
      <c r="L1308" s="5"/>
      <c r="P1308" s="23"/>
    </row>
    <row r="1309" spans="1:16" ht="14.4" customHeight="1" x14ac:dyDescent="0.3">
      <c r="A1309" s="5">
        <v>1322</v>
      </c>
      <c r="B1309" s="5" t="s">
        <v>2785</v>
      </c>
      <c r="C1309" s="5" t="s">
        <v>2816</v>
      </c>
      <c r="D1309" s="5" t="s">
        <v>2817</v>
      </c>
      <c r="E1309" s="5" t="s">
        <v>2786</v>
      </c>
      <c r="F1309" s="5">
        <v>59760275</v>
      </c>
      <c r="G1309" s="5" t="s">
        <v>16</v>
      </c>
      <c r="H1309" s="7">
        <v>45875</v>
      </c>
      <c r="I1309" s="7">
        <v>45876</v>
      </c>
      <c r="J1309" s="8">
        <v>150</v>
      </c>
      <c r="K1309" s="7">
        <v>45903</v>
      </c>
      <c r="L1309" s="5"/>
      <c r="P1309" s="23"/>
    </row>
    <row r="1310" spans="1:16" ht="14.4" customHeight="1" x14ac:dyDescent="0.3">
      <c r="A1310" s="5">
        <v>1323</v>
      </c>
      <c r="B1310" s="5" t="s">
        <v>2195</v>
      </c>
      <c r="C1310" s="5" t="s">
        <v>2829</v>
      </c>
      <c r="D1310" s="5" t="s">
        <v>49</v>
      </c>
      <c r="E1310" s="5" t="s">
        <v>49</v>
      </c>
      <c r="F1310" s="5">
        <v>58326318</v>
      </c>
      <c r="G1310" s="5" t="s">
        <v>16</v>
      </c>
      <c r="H1310" s="7">
        <v>45875</v>
      </c>
      <c r="I1310" s="7">
        <v>45876</v>
      </c>
      <c r="J1310" s="8">
        <v>150</v>
      </c>
      <c r="K1310" s="7">
        <v>45903</v>
      </c>
      <c r="L1310" s="5"/>
      <c r="P1310" s="23"/>
    </row>
    <row r="1311" spans="1:16" ht="14.4" customHeight="1" x14ac:dyDescent="0.3">
      <c r="A1311" s="5">
        <v>1324</v>
      </c>
      <c r="B1311" s="5" t="s">
        <v>2787</v>
      </c>
      <c r="C1311" s="5" t="s">
        <v>2788</v>
      </c>
      <c r="D1311" s="5" t="s">
        <v>712</v>
      </c>
      <c r="E1311" s="5" t="s">
        <v>712</v>
      </c>
      <c r="F1311" s="5">
        <v>58089108</v>
      </c>
      <c r="G1311" s="5" t="s">
        <v>16</v>
      </c>
      <c r="H1311" s="7">
        <v>45875</v>
      </c>
      <c r="I1311" s="7">
        <v>45876</v>
      </c>
      <c r="J1311" s="8">
        <v>150</v>
      </c>
      <c r="K1311" s="7">
        <v>45903</v>
      </c>
      <c r="L1311" s="5"/>
      <c r="P1311" s="23"/>
    </row>
    <row r="1312" spans="1:16" ht="14.4" customHeight="1" x14ac:dyDescent="0.3">
      <c r="A1312" s="5">
        <v>1325</v>
      </c>
      <c r="B1312" s="5" t="s">
        <v>2113</v>
      </c>
      <c r="C1312" s="5" t="s">
        <v>2830</v>
      </c>
      <c r="D1312" s="5" t="s">
        <v>31</v>
      </c>
      <c r="E1312" s="5" t="s">
        <v>31</v>
      </c>
      <c r="F1312" s="5">
        <v>52562551</v>
      </c>
      <c r="G1312" s="5" t="s">
        <v>16</v>
      </c>
      <c r="H1312" s="7">
        <v>45875</v>
      </c>
      <c r="I1312" s="7">
        <v>45876</v>
      </c>
      <c r="J1312" s="8">
        <v>150</v>
      </c>
      <c r="K1312" s="7">
        <v>45903</v>
      </c>
      <c r="L1312" s="5"/>
      <c r="P1312" s="23"/>
    </row>
    <row r="1313" spans="1:16" ht="14.4" customHeight="1" x14ac:dyDescent="0.3">
      <c r="A1313" s="5">
        <v>1326</v>
      </c>
      <c r="B1313" s="5" t="s">
        <v>2789</v>
      </c>
      <c r="C1313" s="5" t="s">
        <v>2790</v>
      </c>
      <c r="D1313" s="5" t="s">
        <v>501</v>
      </c>
      <c r="E1313" s="5" t="s">
        <v>501</v>
      </c>
      <c r="F1313" s="5">
        <v>57682021</v>
      </c>
      <c r="G1313" s="5" t="s">
        <v>16</v>
      </c>
      <c r="H1313" s="7">
        <v>45875</v>
      </c>
      <c r="I1313" s="7">
        <v>45876</v>
      </c>
      <c r="J1313" s="8">
        <v>150</v>
      </c>
      <c r="K1313" s="7">
        <v>45903</v>
      </c>
      <c r="L1313" s="5"/>
      <c r="P1313" s="23"/>
    </row>
    <row r="1314" spans="1:16" ht="14.4" customHeight="1" x14ac:dyDescent="0.3">
      <c r="A1314" s="5">
        <v>1327</v>
      </c>
      <c r="B1314" s="5" t="s">
        <v>2791</v>
      </c>
      <c r="C1314" s="5" t="s">
        <v>819</v>
      </c>
      <c r="D1314" s="5" t="s">
        <v>2792</v>
      </c>
      <c r="E1314" s="5" t="s">
        <v>696</v>
      </c>
      <c r="F1314" s="5">
        <v>59347288</v>
      </c>
      <c r="G1314" s="5" t="s">
        <v>16</v>
      </c>
      <c r="H1314" s="7">
        <v>45875</v>
      </c>
      <c r="I1314" s="7">
        <v>45876</v>
      </c>
      <c r="J1314" s="8">
        <v>150</v>
      </c>
      <c r="K1314" s="7">
        <v>45903</v>
      </c>
      <c r="L1314" s="5"/>
      <c r="P1314" s="23"/>
    </row>
    <row r="1315" spans="1:16" ht="14.4" customHeight="1" x14ac:dyDescent="0.3">
      <c r="A1315" s="5">
        <v>1328</v>
      </c>
      <c r="B1315" s="5" t="s">
        <v>1748</v>
      </c>
      <c r="C1315" s="5" t="s">
        <v>1914</v>
      </c>
      <c r="D1315" s="5" t="s">
        <v>684</v>
      </c>
      <c r="E1315" s="5" t="s">
        <v>684</v>
      </c>
      <c r="F1315" s="5">
        <v>59273443</v>
      </c>
      <c r="G1315" s="5" t="s">
        <v>16</v>
      </c>
      <c r="H1315" s="7">
        <v>45875</v>
      </c>
      <c r="I1315" s="7">
        <v>45876</v>
      </c>
      <c r="J1315" s="8">
        <v>150</v>
      </c>
      <c r="K1315" s="7">
        <v>45903</v>
      </c>
      <c r="L1315" s="5"/>
      <c r="P1315" s="23"/>
    </row>
    <row r="1316" spans="1:16" ht="14.4" customHeight="1" x14ac:dyDescent="0.3">
      <c r="A1316" s="5">
        <v>1329</v>
      </c>
      <c r="B1316" s="5" t="s">
        <v>2794</v>
      </c>
      <c r="C1316" s="5" t="s">
        <v>2832</v>
      </c>
      <c r="D1316" s="5" t="s">
        <v>442</v>
      </c>
      <c r="E1316" s="5" t="s">
        <v>442</v>
      </c>
      <c r="F1316" s="5">
        <v>54949449</v>
      </c>
      <c r="G1316" s="5" t="s">
        <v>16</v>
      </c>
      <c r="H1316" s="7">
        <v>45875</v>
      </c>
      <c r="I1316" s="7">
        <v>45876</v>
      </c>
      <c r="J1316" s="8">
        <v>150</v>
      </c>
      <c r="K1316" s="7">
        <v>45903</v>
      </c>
      <c r="L1316" s="5"/>
      <c r="P1316" s="23"/>
    </row>
    <row r="1317" spans="1:16" ht="14.4" customHeight="1" x14ac:dyDescent="0.3">
      <c r="A1317" s="5">
        <v>1330</v>
      </c>
      <c r="B1317" s="5" t="s">
        <v>2838</v>
      </c>
      <c r="C1317" s="5" t="s">
        <v>2839</v>
      </c>
      <c r="D1317" s="5" t="s">
        <v>63</v>
      </c>
      <c r="E1317" s="5" t="s">
        <v>63</v>
      </c>
      <c r="F1317" s="5">
        <v>59460159</v>
      </c>
      <c r="G1317" s="5" t="s">
        <v>16</v>
      </c>
      <c r="H1317" s="7">
        <v>45875</v>
      </c>
      <c r="I1317" s="7">
        <v>45876</v>
      </c>
      <c r="J1317" s="8">
        <v>150</v>
      </c>
      <c r="K1317" s="7">
        <v>45903</v>
      </c>
      <c r="L1317" s="5"/>
      <c r="P1317" s="23"/>
    </row>
    <row r="1318" spans="1:16" ht="14.4" customHeight="1" x14ac:dyDescent="0.3">
      <c r="A1318" s="5">
        <v>1331</v>
      </c>
      <c r="B1318" s="5" t="s">
        <v>391</v>
      </c>
      <c r="C1318" s="5" t="s">
        <v>2795</v>
      </c>
      <c r="D1318" s="5" t="s">
        <v>41</v>
      </c>
      <c r="E1318" s="5" t="s">
        <v>41</v>
      </c>
      <c r="F1318" s="5">
        <v>59186019</v>
      </c>
      <c r="G1318" s="5" t="s">
        <v>16</v>
      </c>
      <c r="H1318" s="7">
        <v>45875</v>
      </c>
      <c r="I1318" s="7">
        <v>45876</v>
      </c>
      <c r="J1318" s="8">
        <v>150</v>
      </c>
      <c r="K1318" s="7">
        <v>45903</v>
      </c>
      <c r="L1318" s="5"/>
      <c r="P1318" s="23"/>
    </row>
    <row r="1319" spans="1:16" ht="14.4" customHeight="1" x14ac:dyDescent="0.3">
      <c r="A1319" s="5">
        <v>1332</v>
      </c>
      <c r="B1319" s="5" t="s">
        <v>2796</v>
      </c>
      <c r="C1319" s="5" t="s">
        <v>2797</v>
      </c>
      <c r="D1319" s="5" t="s">
        <v>74</v>
      </c>
      <c r="E1319" s="5" t="s">
        <v>74</v>
      </c>
      <c r="F1319" s="5">
        <v>58147235</v>
      </c>
      <c r="G1319" s="5" t="s">
        <v>16</v>
      </c>
      <c r="H1319" s="7">
        <v>45875</v>
      </c>
      <c r="I1319" s="7">
        <v>45876</v>
      </c>
      <c r="J1319" s="8">
        <v>150</v>
      </c>
      <c r="K1319" s="7">
        <v>45903</v>
      </c>
      <c r="L1319" s="5"/>
      <c r="P1319" s="23"/>
    </row>
    <row r="1320" spans="1:16" ht="14.4" customHeight="1" x14ac:dyDescent="0.3">
      <c r="A1320" s="5">
        <v>1333</v>
      </c>
      <c r="B1320" s="5" t="s">
        <v>2798</v>
      </c>
      <c r="C1320" s="5" t="s">
        <v>2799</v>
      </c>
      <c r="D1320" s="5" t="s">
        <v>63</v>
      </c>
      <c r="E1320" s="5" t="s">
        <v>63</v>
      </c>
      <c r="F1320" s="5">
        <v>59453635</v>
      </c>
      <c r="G1320" s="5" t="s">
        <v>16</v>
      </c>
      <c r="H1320" s="7">
        <v>45875</v>
      </c>
      <c r="I1320" s="7">
        <v>45876</v>
      </c>
      <c r="J1320" s="8">
        <v>150</v>
      </c>
      <c r="K1320" s="7">
        <v>45903</v>
      </c>
      <c r="L1320" s="5"/>
      <c r="P1320" s="23"/>
    </row>
    <row r="1321" spans="1:16" ht="14.4" customHeight="1" x14ac:dyDescent="0.3">
      <c r="A1321" s="5">
        <v>1334</v>
      </c>
      <c r="B1321" s="5" t="s">
        <v>2800</v>
      </c>
      <c r="C1321" s="5" t="s">
        <v>2801</v>
      </c>
      <c r="D1321" s="5" t="s">
        <v>2012</v>
      </c>
      <c r="E1321" s="5" t="s">
        <v>2012</v>
      </c>
      <c r="F1321" s="5">
        <v>58141471</v>
      </c>
      <c r="G1321" s="5" t="s">
        <v>16</v>
      </c>
      <c r="H1321" s="7">
        <v>45875</v>
      </c>
      <c r="I1321" s="7">
        <v>45876</v>
      </c>
      <c r="J1321" s="8">
        <v>150</v>
      </c>
      <c r="K1321" s="7">
        <v>45903</v>
      </c>
      <c r="L1321" s="5"/>
      <c r="P1321" s="23"/>
    </row>
    <row r="1322" spans="1:16" ht="14.4" customHeight="1" x14ac:dyDescent="0.3">
      <c r="A1322" s="5">
        <v>1335</v>
      </c>
      <c r="B1322" s="5" t="s">
        <v>2802</v>
      </c>
      <c r="C1322" s="5" t="s">
        <v>2803</v>
      </c>
      <c r="D1322" s="5" t="s">
        <v>137</v>
      </c>
      <c r="E1322" s="5" t="s">
        <v>137</v>
      </c>
      <c r="F1322" s="5">
        <v>58256248</v>
      </c>
      <c r="G1322" s="5" t="s">
        <v>16</v>
      </c>
      <c r="H1322" s="7">
        <v>45875</v>
      </c>
      <c r="I1322" s="7">
        <v>45876</v>
      </c>
      <c r="J1322" s="8">
        <v>150</v>
      </c>
      <c r="K1322" s="7">
        <v>45903</v>
      </c>
      <c r="L1322" s="5"/>
      <c r="P1322" s="23"/>
    </row>
    <row r="1323" spans="1:16" ht="14.4" customHeight="1" x14ac:dyDescent="0.3">
      <c r="A1323" s="5">
        <v>1336</v>
      </c>
      <c r="B1323" s="5" t="s">
        <v>678</v>
      </c>
      <c r="C1323" s="5" t="s">
        <v>679</v>
      </c>
      <c r="D1323" s="5" t="s">
        <v>2804</v>
      </c>
      <c r="E1323" s="5" t="s">
        <v>262</v>
      </c>
      <c r="F1323" s="5">
        <v>57551100</v>
      </c>
      <c r="G1323" s="5" t="s">
        <v>16</v>
      </c>
      <c r="H1323" s="7">
        <v>45875</v>
      </c>
      <c r="I1323" s="7">
        <v>45876</v>
      </c>
      <c r="J1323" s="8">
        <v>150</v>
      </c>
      <c r="K1323" s="7">
        <v>45903</v>
      </c>
      <c r="L1323" s="5"/>
      <c r="P1323" s="23"/>
    </row>
    <row r="1324" spans="1:16" ht="14.4" customHeight="1" x14ac:dyDescent="0.3">
      <c r="A1324" s="5">
        <v>1337</v>
      </c>
      <c r="B1324" s="5" t="s">
        <v>349</v>
      </c>
      <c r="C1324" s="5" t="s">
        <v>2805</v>
      </c>
      <c r="D1324" s="5" t="s">
        <v>49</v>
      </c>
      <c r="E1324" s="5" t="s">
        <v>49</v>
      </c>
      <c r="F1324" s="5">
        <v>54899559</v>
      </c>
      <c r="G1324" s="5" t="s">
        <v>16</v>
      </c>
      <c r="H1324" s="7">
        <v>45875</v>
      </c>
      <c r="I1324" s="7">
        <v>45876</v>
      </c>
      <c r="J1324" s="8">
        <v>150</v>
      </c>
      <c r="K1324" s="7">
        <v>45903</v>
      </c>
      <c r="L1324" s="5"/>
      <c r="P1324" s="23"/>
    </row>
    <row r="1325" spans="1:16" ht="14.4" customHeight="1" x14ac:dyDescent="0.3">
      <c r="A1325" s="5">
        <v>1338</v>
      </c>
      <c r="B1325" s="5" t="s">
        <v>2806</v>
      </c>
      <c r="C1325" s="5" t="s">
        <v>2833</v>
      </c>
      <c r="D1325" s="5" t="s">
        <v>2807</v>
      </c>
      <c r="E1325" s="5" t="s">
        <v>2808</v>
      </c>
      <c r="F1325" s="5">
        <v>58071491</v>
      </c>
      <c r="G1325" s="5" t="s">
        <v>16</v>
      </c>
      <c r="H1325" s="7">
        <v>45875</v>
      </c>
      <c r="I1325" s="7">
        <v>45876</v>
      </c>
      <c r="J1325" s="8">
        <v>150</v>
      </c>
      <c r="K1325" s="7">
        <v>45903</v>
      </c>
      <c r="L1325" s="5"/>
      <c r="P1325" s="23"/>
    </row>
    <row r="1326" spans="1:16" ht="14.4" customHeight="1" x14ac:dyDescent="0.3">
      <c r="A1326" s="5">
        <v>1339</v>
      </c>
      <c r="B1326" s="5" t="s">
        <v>2809</v>
      </c>
      <c r="C1326" s="5" t="s">
        <v>2834</v>
      </c>
      <c r="D1326" s="5" t="s">
        <v>2837</v>
      </c>
      <c r="E1326" s="5" t="s">
        <v>2810</v>
      </c>
      <c r="F1326" s="5">
        <v>58366160</v>
      </c>
      <c r="G1326" s="5" t="s">
        <v>16</v>
      </c>
      <c r="H1326" s="7">
        <v>45875</v>
      </c>
      <c r="I1326" s="7">
        <v>45876</v>
      </c>
      <c r="J1326" s="8">
        <v>150</v>
      </c>
      <c r="K1326" s="7">
        <v>45903</v>
      </c>
      <c r="L1326" s="5"/>
      <c r="P1326" s="23"/>
    </row>
    <row r="1327" spans="1:16" ht="14.4" customHeight="1" x14ac:dyDescent="0.3">
      <c r="A1327" s="5">
        <v>1340</v>
      </c>
      <c r="B1327" s="5" t="s">
        <v>2811</v>
      </c>
      <c r="C1327" s="5" t="s">
        <v>2835</v>
      </c>
      <c r="D1327" s="5" t="s">
        <v>2812</v>
      </c>
      <c r="E1327" s="5" t="s">
        <v>23</v>
      </c>
      <c r="F1327" s="5">
        <v>59444007</v>
      </c>
      <c r="G1327" s="5" t="s">
        <v>1024</v>
      </c>
      <c r="H1327" s="7">
        <v>45875</v>
      </c>
      <c r="I1327" s="7">
        <v>45876</v>
      </c>
      <c r="J1327" s="8">
        <v>150</v>
      </c>
      <c r="K1327" s="7">
        <v>45903</v>
      </c>
      <c r="L1327" s="5"/>
      <c r="P1327" s="23"/>
    </row>
    <row r="1328" spans="1:16" ht="14.4" customHeight="1" x14ac:dyDescent="0.3">
      <c r="A1328" s="5">
        <v>1341</v>
      </c>
      <c r="B1328" s="5" t="s">
        <v>2813</v>
      </c>
      <c r="C1328" s="5" t="s">
        <v>2818</v>
      </c>
      <c r="D1328" s="5" t="s">
        <v>2819</v>
      </c>
      <c r="E1328" s="5" t="s">
        <v>204</v>
      </c>
      <c r="F1328" s="5">
        <v>59480843</v>
      </c>
      <c r="G1328" s="5" t="s">
        <v>1024</v>
      </c>
      <c r="H1328" s="7">
        <v>45875</v>
      </c>
      <c r="I1328" s="7">
        <v>45876</v>
      </c>
      <c r="J1328" s="8">
        <v>150</v>
      </c>
      <c r="K1328" s="7">
        <v>45903</v>
      </c>
      <c r="L1328" s="5">
        <v>1400</v>
      </c>
      <c r="P1328" s="23"/>
    </row>
    <row r="1329" spans="1:16" ht="14.4" customHeight="1" x14ac:dyDescent="0.3">
      <c r="A1329" s="5">
        <v>1342</v>
      </c>
      <c r="B1329" s="5" t="s">
        <v>2823</v>
      </c>
      <c r="C1329" s="5" t="s">
        <v>2820</v>
      </c>
      <c r="D1329" s="5" t="s">
        <v>144</v>
      </c>
      <c r="E1329" s="5" t="s">
        <v>144</v>
      </c>
      <c r="F1329" s="5">
        <v>54816753</v>
      </c>
      <c r="G1329" s="5" t="s">
        <v>1024</v>
      </c>
      <c r="H1329" s="7">
        <v>45875</v>
      </c>
      <c r="I1329" s="7">
        <v>45876</v>
      </c>
      <c r="J1329" s="8">
        <v>150</v>
      </c>
      <c r="K1329" s="7">
        <v>45903</v>
      </c>
      <c r="L1329" s="5">
        <v>3000</v>
      </c>
      <c r="P1329" s="23"/>
    </row>
    <row r="1330" spans="1:16" ht="14.4" customHeight="1" x14ac:dyDescent="0.3">
      <c r="A1330" s="5">
        <v>1343</v>
      </c>
      <c r="B1330" s="5" t="s">
        <v>2814</v>
      </c>
      <c r="C1330" s="5" t="s">
        <v>785</v>
      </c>
      <c r="D1330" s="5" t="s">
        <v>785</v>
      </c>
      <c r="E1330" s="5" t="s">
        <v>785</v>
      </c>
      <c r="F1330" s="5">
        <v>59184077</v>
      </c>
      <c r="G1330" s="5" t="s">
        <v>1024</v>
      </c>
      <c r="H1330" s="7">
        <v>45875</v>
      </c>
      <c r="I1330" s="7">
        <v>45876</v>
      </c>
      <c r="J1330" s="8">
        <v>150</v>
      </c>
      <c r="K1330" s="7">
        <v>45903</v>
      </c>
      <c r="L1330" s="5">
        <v>2600</v>
      </c>
      <c r="P1330" s="23"/>
    </row>
    <row r="1331" spans="1:16" ht="14.4" customHeight="1" x14ac:dyDescent="0.3">
      <c r="A1331" s="5">
        <v>1344</v>
      </c>
      <c r="B1331" s="5" t="s">
        <v>2825</v>
      </c>
      <c r="C1331" s="5" t="s">
        <v>2821</v>
      </c>
      <c r="D1331" s="5" t="s">
        <v>2822</v>
      </c>
      <c r="E1331" s="5" t="s">
        <v>368</v>
      </c>
      <c r="F1331" s="5">
        <v>59795613</v>
      </c>
      <c r="G1331" s="5" t="s">
        <v>1016</v>
      </c>
      <c r="H1331" s="7">
        <v>45876</v>
      </c>
      <c r="I1331" s="7">
        <v>45876</v>
      </c>
      <c r="J1331" s="8">
        <v>150</v>
      </c>
      <c r="K1331" s="7">
        <v>45903</v>
      </c>
      <c r="L1331" s="5">
        <v>1150</v>
      </c>
      <c r="P1331" s="23"/>
    </row>
    <row r="1332" spans="1:16" ht="14.4" customHeight="1" x14ac:dyDescent="0.3">
      <c r="A1332" s="5">
        <v>1345</v>
      </c>
      <c r="B1332" s="5" t="s">
        <v>1320</v>
      </c>
      <c r="C1332" s="5" t="s">
        <v>2843</v>
      </c>
      <c r="D1332" s="5" t="s">
        <v>226</v>
      </c>
      <c r="E1332" s="5" t="s">
        <v>226</v>
      </c>
      <c r="F1332" s="5">
        <v>57703327</v>
      </c>
      <c r="G1332" s="5" t="s">
        <v>1024</v>
      </c>
      <c r="H1332" s="7">
        <v>45875</v>
      </c>
      <c r="I1332" s="7">
        <v>45876</v>
      </c>
      <c r="J1332" s="8">
        <v>150</v>
      </c>
      <c r="K1332" s="7">
        <v>45903</v>
      </c>
      <c r="L1332" s="5"/>
      <c r="P1332" s="23"/>
    </row>
    <row r="1333" spans="1:16" ht="14.4" customHeight="1" x14ac:dyDescent="0.3">
      <c r="A1333" s="5">
        <v>1350</v>
      </c>
      <c r="B1333" s="5" t="s">
        <v>2845</v>
      </c>
      <c r="C1333" s="5" t="s">
        <v>2846</v>
      </c>
      <c r="D1333" s="5" t="s">
        <v>41</v>
      </c>
      <c r="E1333" s="5" t="s">
        <v>41</v>
      </c>
      <c r="F1333" s="5">
        <v>57507379</v>
      </c>
      <c r="G1333" s="5" t="s">
        <v>1024</v>
      </c>
      <c r="H1333" s="7">
        <v>45875</v>
      </c>
      <c r="I1333" s="7">
        <v>45876</v>
      </c>
      <c r="J1333" s="8">
        <v>150</v>
      </c>
      <c r="K1333" s="7">
        <v>45903</v>
      </c>
      <c r="L1333" s="5">
        <v>4450</v>
      </c>
      <c r="P1333" s="23"/>
    </row>
    <row r="1334" spans="1:16" ht="14.4" customHeight="1" x14ac:dyDescent="0.3">
      <c r="A1334" s="5">
        <v>1346</v>
      </c>
      <c r="B1334" s="5" t="s">
        <v>2793</v>
      </c>
      <c r="C1334" s="5" t="s">
        <v>2831</v>
      </c>
      <c r="D1334" s="5" t="s">
        <v>1091</v>
      </c>
      <c r="E1334" s="5" t="s">
        <v>1091</v>
      </c>
      <c r="F1334" s="5">
        <v>59092367</v>
      </c>
      <c r="G1334" s="5" t="s">
        <v>16</v>
      </c>
      <c r="H1334" s="7">
        <v>45875</v>
      </c>
      <c r="I1334" s="7">
        <v>45880</v>
      </c>
      <c r="J1334" s="8">
        <v>150</v>
      </c>
      <c r="K1334" s="7">
        <v>45903</v>
      </c>
      <c r="L1334" s="5"/>
      <c r="P1334" s="23"/>
    </row>
    <row r="1335" spans="1:16" ht="14.4" customHeight="1" x14ac:dyDescent="0.3">
      <c r="A1335" s="5">
        <v>1347</v>
      </c>
      <c r="B1335" s="5" t="s">
        <v>2780</v>
      </c>
      <c r="C1335" s="5" t="s">
        <v>2827</v>
      </c>
      <c r="D1335" s="5" t="s">
        <v>2836</v>
      </c>
      <c r="E1335" s="5" t="s">
        <v>155</v>
      </c>
      <c r="F1335" s="5">
        <v>54946450</v>
      </c>
      <c r="G1335" s="5" t="s">
        <v>16</v>
      </c>
      <c r="H1335" s="7">
        <v>45875</v>
      </c>
      <c r="I1335" s="7">
        <v>45881</v>
      </c>
      <c r="J1335" s="8">
        <v>150</v>
      </c>
      <c r="K1335" s="7">
        <v>45903</v>
      </c>
      <c r="L1335" s="5"/>
      <c r="P1335" s="23"/>
    </row>
    <row r="1336" spans="1:16" ht="14.4" customHeight="1" x14ac:dyDescent="0.3">
      <c r="A1336" s="5">
        <v>1348</v>
      </c>
      <c r="B1336" s="5" t="s">
        <v>2824</v>
      </c>
      <c r="C1336" s="5" t="s">
        <v>2392</v>
      </c>
      <c r="D1336" s="5" t="s">
        <v>2392</v>
      </c>
      <c r="E1336" s="5" t="s">
        <v>2392</v>
      </c>
      <c r="F1336" s="5">
        <v>59369923</v>
      </c>
      <c r="G1336" s="5" t="s">
        <v>1016</v>
      </c>
      <c r="H1336" s="7">
        <v>45876</v>
      </c>
      <c r="I1336" s="7">
        <v>45881</v>
      </c>
      <c r="J1336" s="8">
        <v>150</v>
      </c>
      <c r="K1336" s="7">
        <v>45903</v>
      </c>
      <c r="L1336" s="5">
        <v>350</v>
      </c>
      <c r="P1336" s="23"/>
    </row>
    <row r="1337" spans="1:16" ht="14.4" customHeight="1" x14ac:dyDescent="0.3">
      <c r="A1337" s="5">
        <v>1349</v>
      </c>
      <c r="B1337" s="5" t="s">
        <v>2840</v>
      </c>
      <c r="C1337" s="5" t="s">
        <v>2841</v>
      </c>
      <c r="D1337" s="5" t="s">
        <v>2842</v>
      </c>
      <c r="E1337" s="5" t="s">
        <v>60</v>
      </c>
      <c r="F1337" s="5">
        <v>52534462</v>
      </c>
      <c r="G1337" s="5" t="s">
        <v>963</v>
      </c>
      <c r="H1337" s="7">
        <v>45876</v>
      </c>
      <c r="I1337" s="7">
        <v>45881</v>
      </c>
      <c r="J1337" s="8">
        <v>150</v>
      </c>
      <c r="K1337" s="7">
        <v>45903</v>
      </c>
      <c r="L1337" s="5">
        <v>900</v>
      </c>
      <c r="P1337" s="23"/>
    </row>
    <row r="1338" spans="1:16" ht="14.4" customHeight="1" x14ac:dyDescent="0.3">
      <c r="A1338" s="5">
        <v>1351</v>
      </c>
      <c r="B1338" s="5" t="s">
        <v>1149</v>
      </c>
      <c r="C1338" s="5" t="s">
        <v>1315</v>
      </c>
      <c r="D1338" s="5" t="s">
        <v>1315</v>
      </c>
      <c r="E1338" s="5" t="s">
        <v>1315</v>
      </c>
      <c r="F1338" s="5">
        <v>58084430</v>
      </c>
      <c r="G1338" s="5" t="s">
        <v>1146</v>
      </c>
      <c r="H1338" s="7">
        <v>45881</v>
      </c>
      <c r="I1338" s="7">
        <v>45881</v>
      </c>
      <c r="J1338" s="8">
        <v>150</v>
      </c>
      <c r="K1338" s="7">
        <v>45903</v>
      </c>
      <c r="L1338" s="5"/>
      <c r="P1338" s="23"/>
    </row>
    <row r="1339" spans="1:16" ht="14.4" customHeight="1" x14ac:dyDescent="0.3">
      <c r="A1339" s="5">
        <v>1353</v>
      </c>
      <c r="B1339" s="5" t="s">
        <v>2847</v>
      </c>
      <c r="C1339" s="5" t="s">
        <v>2848</v>
      </c>
      <c r="D1339" s="5" t="s">
        <v>276</v>
      </c>
      <c r="E1339" s="5" t="s">
        <v>276</v>
      </c>
      <c r="F1339" s="5">
        <v>57033780</v>
      </c>
      <c r="G1339" s="5" t="s">
        <v>1024</v>
      </c>
      <c r="H1339" s="7">
        <v>45880</v>
      </c>
      <c r="I1339" s="7">
        <v>45881</v>
      </c>
      <c r="J1339" s="8">
        <v>150</v>
      </c>
      <c r="K1339" s="7">
        <v>45903</v>
      </c>
      <c r="L1339" s="5">
        <v>2000</v>
      </c>
      <c r="P1339" s="23"/>
    </row>
    <row r="1340" spans="1:16" ht="14.4" customHeight="1" x14ac:dyDescent="0.3">
      <c r="A1340" s="5">
        <v>1354</v>
      </c>
      <c r="B1340" s="5" t="s">
        <v>2849</v>
      </c>
      <c r="C1340" s="5" t="s">
        <v>2850</v>
      </c>
      <c r="D1340" s="5" t="s">
        <v>226</v>
      </c>
      <c r="E1340" s="5" t="s">
        <v>226</v>
      </c>
      <c r="F1340" s="5">
        <v>57098193</v>
      </c>
      <c r="G1340" s="5" t="s">
        <v>1024</v>
      </c>
      <c r="H1340" s="7">
        <v>45880</v>
      </c>
      <c r="I1340" s="7">
        <v>45881</v>
      </c>
      <c r="J1340" s="8">
        <v>150</v>
      </c>
      <c r="K1340" s="7">
        <v>45903</v>
      </c>
      <c r="L1340" s="5">
        <v>1145</v>
      </c>
      <c r="P1340" s="23"/>
    </row>
    <row r="1341" spans="1:16" ht="14.4" customHeight="1" x14ac:dyDescent="0.3">
      <c r="A1341" s="5">
        <v>1355</v>
      </c>
      <c r="B1341" s="5" t="s">
        <v>2851</v>
      </c>
      <c r="C1341" s="5" t="s">
        <v>2852</v>
      </c>
      <c r="D1341" s="5" t="s">
        <v>111</v>
      </c>
      <c r="E1341" s="5" t="s">
        <v>111</v>
      </c>
      <c r="F1341" s="5">
        <v>59149219</v>
      </c>
      <c r="G1341" s="5" t="s">
        <v>1024</v>
      </c>
      <c r="H1341" s="7">
        <v>45880</v>
      </c>
      <c r="I1341" s="7">
        <v>45881</v>
      </c>
      <c r="J1341" s="8">
        <v>150</v>
      </c>
      <c r="K1341" s="7">
        <v>45903</v>
      </c>
      <c r="L1341" s="5">
        <v>1300</v>
      </c>
      <c r="P1341" s="23"/>
    </row>
    <row r="1342" spans="1:16" ht="14.4" customHeight="1" x14ac:dyDescent="0.3">
      <c r="A1342" s="5">
        <v>1356</v>
      </c>
      <c r="B1342" s="5" t="s">
        <v>109</v>
      </c>
      <c r="C1342" s="5" t="s">
        <v>110</v>
      </c>
      <c r="D1342" s="5" t="s">
        <v>111</v>
      </c>
      <c r="E1342" s="5" t="s">
        <v>111</v>
      </c>
      <c r="F1342" s="5">
        <v>57954180</v>
      </c>
      <c r="G1342" s="5" t="s">
        <v>1024</v>
      </c>
      <c r="H1342" s="7">
        <v>45880</v>
      </c>
      <c r="I1342" s="7">
        <v>45881</v>
      </c>
      <c r="J1342" s="8">
        <v>150</v>
      </c>
      <c r="K1342" s="7">
        <v>45903</v>
      </c>
      <c r="L1342" s="5"/>
      <c r="P1342" s="23"/>
    </row>
    <row r="1343" spans="1:16" ht="14.4" customHeight="1" x14ac:dyDescent="0.3">
      <c r="A1343" s="5">
        <v>1357</v>
      </c>
      <c r="B1343" s="5" t="s">
        <v>2853</v>
      </c>
      <c r="C1343" s="5" t="s">
        <v>2854</v>
      </c>
      <c r="D1343" s="5" t="s">
        <v>19</v>
      </c>
      <c r="E1343" s="5" t="s">
        <v>19</v>
      </c>
      <c r="F1343" s="5">
        <v>58343479</v>
      </c>
      <c r="G1343" s="5" t="s">
        <v>16</v>
      </c>
      <c r="H1343" s="7">
        <v>45880</v>
      </c>
      <c r="I1343" s="7">
        <v>45881</v>
      </c>
      <c r="J1343" s="8">
        <v>150</v>
      </c>
      <c r="K1343" s="7">
        <v>45903</v>
      </c>
      <c r="L1343" s="5"/>
      <c r="P1343" s="23"/>
    </row>
    <row r="1344" spans="1:16" ht="14.4" customHeight="1" x14ac:dyDescent="0.3">
      <c r="A1344" s="5">
        <v>1358</v>
      </c>
      <c r="B1344" s="5" t="s">
        <v>1187</v>
      </c>
      <c r="C1344" s="5" t="s">
        <v>2128</v>
      </c>
      <c r="D1344" s="5" t="s">
        <v>1855</v>
      </c>
      <c r="E1344" s="5" t="s">
        <v>1855</v>
      </c>
      <c r="F1344" s="5">
        <v>57726954</v>
      </c>
      <c r="G1344" s="5" t="s">
        <v>16</v>
      </c>
      <c r="H1344" s="7">
        <v>45880</v>
      </c>
      <c r="I1344" s="7">
        <v>45881</v>
      </c>
      <c r="J1344" s="8">
        <v>150</v>
      </c>
      <c r="K1344" s="7">
        <v>45903</v>
      </c>
      <c r="L1344" s="5"/>
      <c r="P1344" s="23"/>
    </row>
    <row r="1345" spans="1:16" ht="14.4" customHeight="1" x14ac:dyDescent="0.3">
      <c r="A1345" s="5">
        <v>1359</v>
      </c>
      <c r="B1345" s="5" t="s">
        <v>2855</v>
      </c>
      <c r="C1345" s="5" t="s">
        <v>2856</v>
      </c>
      <c r="D1345" s="5" t="s">
        <v>204</v>
      </c>
      <c r="E1345" s="5" t="s">
        <v>204</v>
      </c>
      <c r="F1345" s="5" t="s">
        <v>2857</v>
      </c>
      <c r="G1345" s="5" t="s">
        <v>16</v>
      </c>
      <c r="H1345" s="7">
        <v>45880</v>
      </c>
      <c r="I1345" s="7">
        <v>45881</v>
      </c>
      <c r="J1345" s="8">
        <v>150</v>
      </c>
      <c r="K1345" s="7">
        <v>45903</v>
      </c>
      <c r="L1345" s="5"/>
      <c r="P1345" s="23"/>
    </row>
    <row r="1346" spans="1:16" ht="14.4" customHeight="1" x14ac:dyDescent="0.3">
      <c r="A1346" s="5">
        <v>1360</v>
      </c>
      <c r="B1346" s="5" t="s">
        <v>2858</v>
      </c>
      <c r="C1346" s="5" t="s">
        <v>2859</v>
      </c>
      <c r="D1346" s="5" t="s">
        <v>49</v>
      </c>
      <c r="E1346" s="5" t="s">
        <v>49</v>
      </c>
      <c r="F1346" s="5">
        <v>57337705</v>
      </c>
      <c r="G1346" s="5" t="s">
        <v>16</v>
      </c>
      <c r="H1346" s="7">
        <v>45880</v>
      </c>
      <c r="I1346" s="7">
        <v>45881</v>
      </c>
      <c r="J1346" s="8">
        <v>150</v>
      </c>
      <c r="K1346" s="7">
        <v>45903</v>
      </c>
      <c r="L1346" s="5"/>
      <c r="P1346" s="23"/>
    </row>
    <row r="1347" spans="1:16" ht="14.4" customHeight="1" x14ac:dyDescent="0.3">
      <c r="A1347" s="5">
        <v>1361</v>
      </c>
      <c r="B1347" s="5" t="s">
        <v>2860</v>
      </c>
      <c r="C1347" s="5" t="s">
        <v>2861</v>
      </c>
      <c r="D1347" s="5" t="s">
        <v>63</v>
      </c>
      <c r="E1347" s="5" t="s">
        <v>63</v>
      </c>
      <c r="F1347" s="5">
        <v>59447030</v>
      </c>
      <c r="G1347" s="5" t="s">
        <v>16</v>
      </c>
      <c r="H1347" s="7">
        <v>45880</v>
      </c>
      <c r="I1347" s="7">
        <v>45881</v>
      </c>
      <c r="J1347" s="8">
        <v>150</v>
      </c>
      <c r="K1347" s="7">
        <v>45903</v>
      </c>
      <c r="L1347" s="5"/>
      <c r="P1347" s="23"/>
    </row>
    <row r="1348" spans="1:16" ht="14.4" customHeight="1" x14ac:dyDescent="0.3">
      <c r="A1348" s="5">
        <v>1362</v>
      </c>
      <c r="B1348" s="5" t="s">
        <v>2862</v>
      </c>
      <c r="C1348" s="5" t="s">
        <v>766</v>
      </c>
      <c r="D1348" s="5" t="s">
        <v>767</v>
      </c>
      <c r="E1348" s="5" t="s">
        <v>1797</v>
      </c>
      <c r="F1348" s="5">
        <v>59083167</v>
      </c>
      <c r="G1348" s="5" t="s">
        <v>16</v>
      </c>
      <c r="H1348" s="7">
        <v>45880</v>
      </c>
      <c r="I1348" s="7">
        <v>45881</v>
      </c>
      <c r="J1348" s="8">
        <v>150</v>
      </c>
      <c r="K1348" s="7">
        <v>45903</v>
      </c>
      <c r="L1348" s="5"/>
      <c r="P1348" s="23"/>
    </row>
    <row r="1349" spans="1:16" ht="14.4" customHeight="1" x14ac:dyDescent="0.3">
      <c r="A1349" s="5">
        <v>1363</v>
      </c>
      <c r="B1349" s="5" t="s">
        <v>2863</v>
      </c>
      <c r="C1349" s="5" t="s">
        <v>2864</v>
      </c>
      <c r="D1349" s="5" t="s">
        <v>1637</v>
      </c>
      <c r="E1349" s="5" t="s">
        <v>1637</v>
      </c>
      <c r="F1349" s="5">
        <v>57739362</v>
      </c>
      <c r="G1349" s="5" t="s">
        <v>16</v>
      </c>
      <c r="H1349" s="7">
        <v>45880</v>
      </c>
      <c r="I1349" s="7">
        <v>45881</v>
      </c>
      <c r="J1349" s="8">
        <v>150</v>
      </c>
      <c r="K1349" s="7">
        <v>45903</v>
      </c>
      <c r="L1349" s="5"/>
      <c r="P1349" s="23"/>
    </row>
    <row r="1350" spans="1:16" ht="14.4" customHeight="1" x14ac:dyDescent="0.3">
      <c r="A1350" s="5">
        <v>1364</v>
      </c>
      <c r="B1350" s="5" t="s">
        <v>296</v>
      </c>
      <c r="C1350" s="5" t="s">
        <v>2865</v>
      </c>
      <c r="D1350" s="5" t="s">
        <v>1116</v>
      </c>
      <c r="E1350" s="5" t="s">
        <v>1116</v>
      </c>
      <c r="F1350" s="5">
        <v>58009660</v>
      </c>
      <c r="G1350" s="5" t="s">
        <v>16</v>
      </c>
      <c r="H1350" s="7">
        <v>45880</v>
      </c>
      <c r="I1350" s="7">
        <v>45881</v>
      </c>
      <c r="J1350" s="8">
        <v>150</v>
      </c>
      <c r="K1350" s="7">
        <v>45903</v>
      </c>
      <c r="L1350" s="5"/>
      <c r="P1350" s="23"/>
    </row>
    <row r="1351" spans="1:16" ht="14.4" customHeight="1" x14ac:dyDescent="0.3">
      <c r="A1351" s="5">
        <v>1365</v>
      </c>
      <c r="B1351" s="5" t="s">
        <v>1466</v>
      </c>
      <c r="C1351" s="5" t="s">
        <v>2866</v>
      </c>
      <c r="D1351" s="5" t="s">
        <v>850</v>
      </c>
      <c r="E1351" s="5" t="s">
        <v>262</v>
      </c>
      <c r="F1351" s="5">
        <v>57593962</v>
      </c>
      <c r="G1351" s="5" t="s">
        <v>16</v>
      </c>
      <c r="H1351" s="7">
        <v>45880</v>
      </c>
      <c r="I1351" s="7">
        <v>45881</v>
      </c>
      <c r="J1351" s="8">
        <v>150</v>
      </c>
      <c r="K1351" s="7">
        <v>45903</v>
      </c>
      <c r="L1351" s="5"/>
      <c r="P1351" s="23"/>
    </row>
    <row r="1352" spans="1:16" ht="14.4" customHeight="1" x14ac:dyDescent="0.3">
      <c r="A1352" s="5">
        <v>1366</v>
      </c>
      <c r="B1352" s="5" t="s">
        <v>2867</v>
      </c>
      <c r="C1352" s="5" t="s">
        <v>2868</v>
      </c>
      <c r="D1352" s="5" t="s">
        <v>226</v>
      </c>
      <c r="E1352" s="5" t="s">
        <v>226</v>
      </c>
      <c r="F1352" s="5">
        <v>58110926</v>
      </c>
      <c r="G1352" s="5" t="s">
        <v>16</v>
      </c>
      <c r="H1352" s="7">
        <v>45880</v>
      </c>
      <c r="I1352" s="7">
        <v>45881</v>
      </c>
      <c r="J1352" s="8">
        <v>150</v>
      </c>
      <c r="K1352" s="7">
        <v>45903</v>
      </c>
      <c r="L1352" s="5"/>
      <c r="M1352" s="31"/>
      <c r="P1352" s="23"/>
    </row>
    <row r="1353" spans="1:16" ht="14.4" customHeight="1" x14ac:dyDescent="0.3">
      <c r="A1353" s="5">
        <v>1367</v>
      </c>
      <c r="B1353" s="5" t="s">
        <v>2869</v>
      </c>
      <c r="C1353" s="5" t="s">
        <v>2870</v>
      </c>
      <c r="D1353" s="5" t="s">
        <v>259</v>
      </c>
      <c r="E1353" s="5" t="s">
        <v>259</v>
      </c>
      <c r="F1353" s="5">
        <v>58289088</v>
      </c>
      <c r="G1353" s="5" t="s">
        <v>16</v>
      </c>
      <c r="H1353" s="7">
        <v>45880</v>
      </c>
      <c r="I1353" s="7">
        <v>45881</v>
      </c>
      <c r="J1353" s="8">
        <v>150</v>
      </c>
      <c r="K1353" s="7">
        <v>45903</v>
      </c>
      <c r="L1353" s="5"/>
      <c r="P1353" s="23"/>
    </row>
    <row r="1354" spans="1:16" ht="14.4" customHeight="1" x14ac:dyDescent="0.3">
      <c r="A1354" s="5">
        <v>1368</v>
      </c>
      <c r="B1354" s="5" t="s">
        <v>2022</v>
      </c>
      <c r="C1354" s="5" t="s">
        <v>2053</v>
      </c>
      <c r="D1354" s="5" t="s">
        <v>1993</v>
      </c>
      <c r="E1354" s="5" t="s">
        <v>1993</v>
      </c>
      <c r="F1354" s="5">
        <v>57986280</v>
      </c>
      <c r="G1354" s="5" t="s">
        <v>16</v>
      </c>
      <c r="H1354" s="7">
        <v>45880</v>
      </c>
      <c r="I1354" s="7">
        <v>45881</v>
      </c>
      <c r="J1354" s="8">
        <v>150</v>
      </c>
      <c r="K1354" s="7">
        <v>45903</v>
      </c>
      <c r="L1354" s="5"/>
      <c r="P1354" s="23"/>
    </row>
    <row r="1355" spans="1:16" ht="14.4" customHeight="1" x14ac:dyDescent="0.3">
      <c r="A1355" s="5">
        <v>1369</v>
      </c>
      <c r="B1355" s="5" t="s">
        <v>2871</v>
      </c>
      <c r="C1355" s="5" t="s">
        <v>2887</v>
      </c>
      <c r="D1355" s="5" t="s">
        <v>49</v>
      </c>
      <c r="E1355" s="5" t="s">
        <v>49</v>
      </c>
      <c r="F1355" s="5">
        <v>57869379</v>
      </c>
      <c r="G1355" s="5" t="s">
        <v>16</v>
      </c>
      <c r="H1355" s="7">
        <v>45880</v>
      </c>
      <c r="I1355" s="7">
        <v>45881</v>
      </c>
      <c r="J1355" s="8">
        <v>150</v>
      </c>
      <c r="K1355" s="7">
        <v>45903</v>
      </c>
      <c r="L1355" s="5"/>
      <c r="P1355" s="23"/>
    </row>
    <row r="1356" spans="1:16" ht="14.4" customHeight="1" x14ac:dyDescent="0.3">
      <c r="A1356" s="5">
        <v>1371</v>
      </c>
      <c r="B1356" s="5" t="s">
        <v>2873</v>
      </c>
      <c r="C1356" s="5" t="s">
        <v>2874</v>
      </c>
      <c r="D1356" s="5" t="s">
        <v>923</v>
      </c>
      <c r="E1356" s="5" t="s">
        <v>923</v>
      </c>
      <c r="F1356" s="5">
        <v>58177131</v>
      </c>
      <c r="G1356" s="5" t="s">
        <v>16</v>
      </c>
      <c r="H1356" s="7">
        <v>45880</v>
      </c>
      <c r="I1356" s="7">
        <v>45881</v>
      </c>
      <c r="J1356" s="8">
        <v>150</v>
      </c>
      <c r="K1356" s="7">
        <v>45903</v>
      </c>
      <c r="L1356" s="5"/>
    </row>
    <row r="1357" spans="1:16" ht="14.4" customHeight="1" x14ac:dyDescent="0.3">
      <c r="A1357" s="5">
        <v>1372</v>
      </c>
      <c r="B1357" s="5" t="s">
        <v>2875</v>
      </c>
      <c r="C1357" s="5" t="s">
        <v>2876</v>
      </c>
      <c r="D1357" s="5" t="s">
        <v>49</v>
      </c>
      <c r="E1357" s="5" t="s">
        <v>49</v>
      </c>
      <c r="F1357" s="5">
        <v>57608691</v>
      </c>
      <c r="G1357" s="5" t="s">
        <v>16</v>
      </c>
      <c r="H1357" s="7">
        <v>45880</v>
      </c>
      <c r="I1357" s="7">
        <v>45881</v>
      </c>
      <c r="J1357" s="8">
        <v>150</v>
      </c>
      <c r="K1357" s="7">
        <v>45903</v>
      </c>
      <c r="L1357" s="5"/>
    </row>
    <row r="1358" spans="1:16" ht="14.4" customHeight="1" x14ac:dyDescent="0.3">
      <c r="A1358" s="5">
        <v>1373</v>
      </c>
      <c r="B1358" s="5" t="s">
        <v>2877</v>
      </c>
      <c r="C1358" s="5" t="s">
        <v>2878</v>
      </c>
      <c r="D1358" s="5" t="s">
        <v>49</v>
      </c>
      <c r="E1358" s="5" t="s">
        <v>49</v>
      </c>
      <c r="F1358" s="5">
        <v>58273051</v>
      </c>
      <c r="G1358" s="5" t="s">
        <v>16</v>
      </c>
      <c r="H1358" s="7">
        <v>45880</v>
      </c>
      <c r="I1358" s="7">
        <v>45881</v>
      </c>
      <c r="J1358" s="8">
        <v>150</v>
      </c>
      <c r="K1358" s="7">
        <v>45903</v>
      </c>
      <c r="L1358" s="5"/>
    </row>
    <row r="1359" spans="1:16" ht="14.4" customHeight="1" x14ac:dyDescent="0.3">
      <c r="A1359" s="5">
        <v>1374</v>
      </c>
      <c r="B1359" s="5" t="s">
        <v>2879</v>
      </c>
      <c r="C1359" s="5" t="s">
        <v>2880</v>
      </c>
      <c r="D1359" s="5" t="s">
        <v>74</v>
      </c>
      <c r="E1359" s="5" t="s">
        <v>74</v>
      </c>
      <c r="F1359" s="5">
        <v>57987775</v>
      </c>
      <c r="G1359" s="5" t="s">
        <v>16</v>
      </c>
      <c r="H1359" s="7">
        <v>45880</v>
      </c>
      <c r="I1359" s="7">
        <v>45881</v>
      </c>
      <c r="J1359" s="8">
        <v>150</v>
      </c>
      <c r="K1359" s="7">
        <v>45903</v>
      </c>
      <c r="L1359" s="5"/>
    </row>
    <row r="1360" spans="1:16" ht="14.4" customHeight="1" x14ac:dyDescent="0.3">
      <c r="A1360" s="5">
        <v>1375</v>
      </c>
      <c r="B1360" s="5" t="s">
        <v>2881</v>
      </c>
      <c r="C1360" s="5" t="s">
        <v>2434</v>
      </c>
      <c r="D1360" s="5" t="s">
        <v>414</v>
      </c>
      <c r="E1360" s="5" t="s">
        <v>1757</v>
      </c>
      <c r="F1360" s="5">
        <v>57831021</v>
      </c>
      <c r="G1360" s="5" t="s">
        <v>16</v>
      </c>
      <c r="H1360" s="7">
        <v>45880</v>
      </c>
      <c r="I1360" s="7">
        <v>45881</v>
      </c>
      <c r="J1360" s="8">
        <v>150</v>
      </c>
      <c r="K1360" s="7">
        <v>45903</v>
      </c>
      <c r="L1360" s="5"/>
    </row>
    <row r="1361" spans="1:12" ht="14.4" customHeight="1" x14ac:dyDescent="0.3">
      <c r="A1361" s="5">
        <v>1376</v>
      </c>
      <c r="B1361" s="5" t="s">
        <v>448</v>
      </c>
      <c r="C1361" s="5" t="s">
        <v>608</v>
      </c>
      <c r="D1361" s="5" t="s">
        <v>69</v>
      </c>
      <c r="E1361" s="5" t="s">
        <v>69</v>
      </c>
      <c r="F1361" s="5">
        <v>57850366</v>
      </c>
      <c r="G1361" s="5" t="s">
        <v>16</v>
      </c>
      <c r="H1361" s="7">
        <v>45880</v>
      </c>
      <c r="I1361" s="7">
        <v>45881</v>
      </c>
      <c r="J1361" s="8">
        <v>150</v>
      </c>
      <c r="K1361" s="7">
        <v>45903</v>
      </c>
      <c r="L1361" s="5"/>
    </row>
    <row r="1362" spans="1:12" ht="14.4" customHeight="1" x14ac:dyDescent="0.3">
      <c r="A1362" s="5">
        <v>1377</v>
      </c>
      <c r="B1362" s="5" t="s">
        <v>2882</v>
      </c>
      <c r="C1362" s="5" t="s">
        <v>2883</v>
      </c>
      <c r="D1362" s="5" t="s">
        <v>1378</v>
      </c>
      <c r="E1362" s="5" t="s">
        <v>1378</v>
      </c>
      <c r="F1362" s="5">
        <v>58251924</v>
      </c>
      <c r="G1362" s="5" t="s">
        <v>16</v>
      </c>
      <c r="H1362" s="7">
        <v>45880</v>
      </c>
      <c r="I1362" s="7">
        <v>45881</v>
      </c>
      <c r="J1362" s="8">
        <v>150</v>
      </c>
      <c r="K1362" s="7">
        <v>45903</v>
      </c>
      <c r="L1362" s="5"/>
    </row>
    <row r="1363" spans="1:12" ht="14.4" customHeight="1" x14ac:dyDescent="0.3">
      <c r="A1363" s="5">
        <v>1378</v>
      </c>
      <c r="B1363" s="5" t="s">
        <v>2884</v>
      </c>
      <c r="C1363" s="5" t="s">
        <v>2885</v>
      </c>
      <c r="D1363" s="5" t="s">
        <v>23</v>
      </c>
      <c r="E1363" s="5" t="s">
        <v>23</v>
      </c>
      <c r="F1363" s="5">
        <v>58219994</v>
      </c>
      <c r="G1363" s="5" t="s">
        <v>16</v>
      </c>
      <c r="H1363" s="7">
        <v>45880</v>
      </c>
      <c r="I1363" s="7">
        <v>45881</v>
      </c>
      <c r="J1363" s="8">
        <v>150</v>
      </c>
      <c r="K1363" s="7">
        <v>45903</v>
      </c>
      <c r="L1363" s="5"/>
    </row>
    <row r="1364" spans="1:12" ht="14.4" customHeight="1" x14ac:dyDescent="0.3">
      <c r="A1364" s="5">
        <v>1379</v>
      </c>
      <c r="B1364" s="5" t="s">
        <v>2886</v>
      </c>
      <c r="C1364" s="5" t="s">
        <v>1181</v>
      </c>
      <c r="D1364" s="5" t="s">
        <v>276</v>
      </c>
      <c r="E1364" s="5" t="s">
        <v>276</v>
      </c>
      <c r="F1364" s="5">
        <v>59212890</v>
      </c>
      <c r="G1364" s="5" t="s">
        <v>16</v>
      </c>
      <c r="H1364" s="7">
        <v>45880</v>
      </c>
      <c r="I1364" s="7">
        <v>45881</v>
      </c>
      <c r="J1364" s="8">
        <v>150</v>
      </c>
      <c r="K1364" s="7">
        <v>45903</v>
      </c>
      <c r="L1364" s="5"/>
    </row>
    <row r="1365" spans="1:12" ht="14.4" customHeight="1" x14ac:dyDescent="0.3">
      <c r="A1365" s="5">
        <v>1399</v>
      </c>
      <c r="B1365" s="5" t="s">
        <v>2925</v>
      </c>
      <c r="C1365" s="5" t="s">
        <v>2926</v>
      </c>
      <c r="D1365" s="5" t="s">
        <v>2926</v>
      </c>
      <c r="E1365" s="5" t="s">
        <v>1140</v>
      </c>
      <c r="F1365" s="5">
        <v>57533488</v>
      </c>
      <c r="G1365" s="5" t="s">
        <v>1024</v>
      </c>
      <c r="H1365" s="7">
        <v>45883</v>
      </c>
      <c r="I1365" s="7">
        <v>45883</v>
      </c>
      <c r="J1365" s="8">
        <v>150</v>
      </c>
      <c r="K1365" s="7">
        <v>45903</v>
      </c>
      <c r="L1365" s="5">
        <v>2250</v>
      </c>
    </row>
    <row r="1366" spans="1:12" ht="14.4" customHeight="1" x14ac:dyDescent="0.3">
      <c r="A1366" s="5">
        <v>1370</v>
      </c>
      <c r="B1366" s="5" t="s">
        <v>221</v>
      </c>
      <c r="C1366" s="5" t="s">
        <v>2872</v>
      </c>
      <c r="D1366" s="5" t="s">
        <v>546</v>
      </c>
      <c r="E1366" s="5" t="s">
        <v>546</v>
      </c>
      <c r="F1366" s="5">
        <v>58614821</v>
      </c>
      <c r="G1366" s="5" t="s">
        <v>16</v>
      </c>
      <c r="H1366" s="7">
        <v>45880</v>
      </c>
      <c r="I1366" s="7">
        <v>45884</v>
      </c>
      <c r="J1366" s="8">
        <v>150</v>
      </c>
      <c r="K1366" s="7">
        <v>45903</v>
      </c>
      <c r="L1366" s="5"/>
    </row>
    <row r="1367" spans="1:12" ht="14.4" customHeight="1" x14ac:dyDescent="0.3">
      <c r="A1367" s="5">
        <v>1380</v>
      </c>
      <c r="B1367" s="5" t="s">
        <v>2860</v>
      </c>
      <c r="C1367" s="5" t="s">
        <v>2861</v>
      </c>
      <c r="D1367" s="5" t="s">
        <v>68</v>
      </c>
      <c r="E1367" s="5" t="s">
        <v>63</v>
      </c>
      <c r="F1367" s="5">
        <v>59447030</v>
      </c>
      <c r="G1367" s="5" t="s">
        <v>16</v>
      </c>
      <c r="H1367" s="7">
        <v>45883</v>
      </c>
      <c r="I1367" s="7">
        <v>45884</v>
      </c>
      <c r="J1367" s="8">
        <v>150</v>
      </c>
      <c r="K1367" s="7">
        <v>45903</v>
      </c>
      <c r="L1367" s="5" t="s">
        <v>2888</v>
      </c>
    </row>
    <row r="1368" spans="1:12" ht="14.4" customHeight="1" x14ac:dyDescent="0.3">
      <c r="A1368" s="5">
        <v>1381</v>
      </c>
      <c r="B1368" s="5" t="s">
        <v>2889</v>
      </c>
      <c r="C1368" s="5" t="s">
        <v>2890</v>
      </c>
      <c r="D1368" s="5" t="s">
        <v>601</v>
      </c>
      <c r="E1368" s="5" t="s">
        <v>155</v>
      </c>
      <c r="F1368" s="5">
        <v>57976877</v>
      </c>
      <c r="G1368" s="5" t="s">
        <v>16</v>
      </c>
      <c r="H1368" s="7">
        <v>45883</v>
      </c>
      <c r="I1368" s="7">
        <v>45884</v>
      </c>
      <c r="J1368" s="8">
        <v>150</v>
      </c>
      <c r="K1368" s="7">
        <v>45903</v>
      </c>
      <c r="L1368" s="5" t="s">
        <v>2888</v>
      </c>
    </row>
    <row r="1369" spans="1:12" ht="14.4" customHeight="1" x14ac:dyDescent="0.3">
      <c r="A1369" s="5">
        <v>1382</v>
      </c>
      <c r="B1369" s="5" t="s">
        <v>2891</v>
      </c>
      <c r="C1369" s="5" t="s">
        <v>2892</v>
      </c>
      <c r="D1369" s="5" t="s">
        <v>137</v>
      </c>
      <c r="E1369" s="5" t="s">
        <v>1279</v>
      </c>
      <c r="F1369" s="5">
        <v>59101825</v>
      </c>
      <c r="G1369" s="5" t="s">
        <v>16</v>
      </c>
      <c r="H1369" s="7">
        <v>45883</v>
      </c>
      <c r="I1369" s="7">
        <v>45884</v>
      </c>
      <c r="J1369" s="8">
        <v>150</v>
      </c>
      <c r="K1369" s="7">
        <v>45903</v>
      </c>
      <c r="L1369" s="5" t="s">
        <v>2888</v>
      </c>
    </row>
    <row r="1370" spans="1:12" ht="14.4" customHeight="1" x14ac:dyDescent="0.3">
      <c r="A1370" s="5">
        <v>1383</v>
      </c>
      <c r="B1370" s="5" t="s">
        <v>2893</v>
      </c>
      <c r="C1370" s="5" t="s">
        <v>2894</v>
      </c>
      <c r="D1370" s="5" t="s">
        <v>706</v>
      </c>
      <c r="E1370" s="5" t="s">
        <v>782</v>
      </c>
      <c r="F1370" s="5">
        <v>58247405</v>
      </c>
      <c r="G1370" s="5" t="s">
        <v>16</v>
      </c>
      <c r="H1370" s="7">
        <v>45883</v>
      </c>
      <c r="I1370" s="7">
        <v>45884</v>
      </c>
      <c r="J1370" s="8">
        <v>150</v>
      </c>
      <c r="K1370" s="7">
        <v>45903</v>
      </c>
      <c r="L1370" s="5" t="s">
        <v>2888</v>
      </c>
    </row>
    <row r="1371" spans="1:12" ht="14.4" customHeight="1" x14ac:dyDescent="0.3">
      <c r="A1371" s="5">
        <v>1384</v>
      </c>
      <c r="B1371" s="5" t="s">
        <v>2895</v>
      </c>
      <c r="C1371" s="5" t="s">
        <v>2896</v>
      </c>
      <c r="D1371" s="5" t="s">
        <v>426</v>
      </c>
      <c r="E1371" s="5" t="s">
        <v>314</v>
      </c>
      <c r="F1371" s="5">
        <v>54555614</v>
      </c>
      <c r="G1371" s="5" t="s">
        <v>16</v>
      </c>
      <c r="H1371" s="7">
        <v>45883</v>
      </c>
      <c r="I1371" s="7">
        <v>45884</v>
      </c>
      <c r="J1371" s="8">
        <v>150</v>
      </c>
      <c r="K1371" s="7">
        <v>45903</v>
      </c>
      <c r="L1371" s="5" t="s">
        <v>2888</v>
      </c>
    </row>
    <row r="1372" spans="1:12" ht="14.4" customHeight="1" x14ac:dyDescent="0.3">
      <c r="A1372" s="5">
        <v>1385</v>
      </c>
      <c r="B1372" s="5" t="s">
        <v>574</v>
      </c>
      <c r="C1372" s="5" t="s">
        <v>101</v>
      </c>
      <c r="D1372" s="5" t="s">
        <v>68</v>
      </c>
      <c r="E1372" s="5" t="s">
        <v>101</v>
      </c>
      <c r="F1372" s="5">
        <v>57324285</v>
      </c>
      <c r="G1372" s="5" t="s">
        <v>16</v>
      </c>
      <c r="H1372" s="7">
        <v>45883</v>
      </c>
      <c r="I1372" s="7">
        <v>45884</v>
      </c>
      <c r="J1372" s="8">
        <v>150</v>
      </c>
      <c r="K1372" s="7">
        <v>45903</v>
      </c>
      <c r="L1372" s="5" t="s">
        <v>2888</v>
      </c>
    </row>
    <row r="1373" spans="1:12" ht="14.4" customHeight="1" x14ac:dyDescent="0.3">
      <c r="A1373" s="5">
        <v>1386</v>
      </c>
      <c r="B1373" s="5" t="s">
        <v>2898</v>
      </c>
      <c r="C1373" s="5" t="s">
        <v>2899</v>
      </c>
      <c r="D1373" s="5" t="s">
        <v>68</v>
      </c>
      <c r="E1373" s="5" t="s">
        <v>49</v>
      </c>
      <c r="F1373" s="5">
        <v>59102190</v>
      </c>
      <c r="G1373" s="5" t="s">
        <v>16</v>
      </c>
      <c r="H1373" s="7">
        <v>45883</v>
      </c>
      <c r="I1373" s="7">
        <v>45884</v>
      </c>
      <c r="J1373" s="8">
        <v>150</v>
      </c>
      <c r="K1373" s="7">
        <v>45903</v>
      </c>
      <c r="L1373" s="5" t="s">
        <v>2888</v>
      </c>
    </row>
    <row r="1374" spans="1:12" ht="14.4" customHeight="1" x14ac:dyDescent="0.3">
      <c r="A1374" s="5">
        <v>1387</v>
      </c>
      <c r="B1374" s="5" t="s">
        <v>1846</v>
      </c>
      <c r="C1374" s="5" t="s">
        <v>2900</v>
      </c>
      <c r="D1374" s="5" t="s">
        <v>706</v>
      </c>
      <c r="E1374" s="5" t="s">
        <v>1170</v>
      </c>
      <c r="F1374" s="5">
        <v>58854006</v>
      </c>
      <c r="G1374" s="5" t="s">
        <v>16</v>
      </c>
      <c r="H1374" s="7">
        <v>45883</v>
      </c>
      <c r="I1374" s="7">
        <v>45884</v>
      </c>
      <c r="J1374" s="8">
        <v>150</v>
      </c>
      <c r="K1374" s="7">
        <v>45903</v>
      </c>
      <c r="L1374" s="5" t="s">
        <v>2888</v>
      </c>
    </row>
    <row r="1375" spans="1:12" ht="14.4" customHeight="1" x14ac:dyDescent="0.3">
      <c r="A1375" s="5">
        <v>1388</v>
      </c>
      <c r="B1375" s="5" t="s">
        <v>2901</v>
      </c>
      <c r="C1375" s="5" t="s">
        <v>2902</v>
      </c>
      <c r="D1375" s="5" t="s">
        <v>68</v>
      </c>
      <c r="E1375" s="5" t="s">
        <v>63</v>
      </c>
      <c r="F1375" s="5">
        <v>57080476</v>
      </c>
      <c r="G1375" s="5" t="s">
        <v>16</v>
      </c>
      <c r="H1375" s="7">
        <v>45883</v>
      </c>
      <c r="I1375" s="7">
        <v>45884</v>
      </c>
      <c r="J1375" s="8">
        <v>150</v>
      </c>
      <c r="K1375" s="7">
        <v>45903</v>
      </c>
      <c r="L1375" s="5" t="s">
        <v>2888</v>
      </c>
    </row>
    <row r="1376" spans="1:12" ht="14.4" customHeight="1" x14ac:dyDescent="0.3">
      <c r="A1376" s="5">
        <v>1389</v>
      </c>
      <c r="B1376" s="5" t="s">
        <v>2903</v>
      </c>
      <c r="C1376" s="5" t="s">
        <v>2904</v>
      </c>
      <c r="D1376" s="5" t="s">
        <v>601</v>
      </c>
      <c r="E1376" s="5" t="s">
        <v>155</v>
      </c>
      <c r="F1376" s="5">
        <v>59260341</v>
      </c>
      <c r="G1376" s="5" t="s">
        <v>16</v>
      </c>
      <c r="H1376" s="7">
        <v>45883</v>
      </c>
      <c r="I1376" s="7">
        <v>45884</v>
      </c>
      <c r="J1376" s="8">
        <v>150</v>
      </c>
      <c r="K1376" s="7">
        <v>45903</v>
      </c>
      <c r="L1376" s="5" t="s">
        <v>2888</v>
      </c>
    </row>
    <row r="1377" spans="1:13" ht="14.4" customHeight="1" x14ac:dyDescent="0.3">
      <c r="A1377" s="5">
        <v>1390</v>
      </c>
      <c r="B1377" s="5" t="s">
        <v>586</v>
      </c>
      <c r="C1377" s="5" t="s">
        <v>587</v>
      </c>
      <c r="D1377" s="5" t="s">
        <v>68</v>
      </c>
      <c r="E1377" s="5" t="s">
        <v>49</v>
      </c>
      <c r="F1377" s="5">
        <v>55030498</v>
      </c>
      <c r="G1377" s="5" t="s">
        <v>16</v>
      </c>
      <c r="H1377" s="7">
        <v>45883</v>
      </c>
      <c r="I1377" s="7">
        <v>45884</v>
      </c>
      <c r="J1377" s="8">
        <v>150</v>
      </c>
      <c r="K1377" s="7">
        <v>45903</v>
      </c>
      <c r="L1377" s="5" t="s">
        <v>2888</v>
      </c>
    </row>
    <row r="1378" spans="1:13" ht="14.4" customHeight="1" x14ac:dyDescent="0.3">
      <c r="A1378" s="5">
        <v>1391</v>
      </c>
      <c r="B1378" s="5" t="s">
        <v>2644</v>
      </c>
      <c r="C1378" s="5" t="s">
        <v>2906</v>
      </c>
      <c r="D1378" s="5" t="s">
        <v>137</v>
      </c>
      <c r="E1378" s="5" t="s">
        <v>720</v>
      </c>
      <c r="F1378" s="5">
        <v>57824254</v>
      </c>
      <c r="G1378" s="5" t="s">
        <v>16</v>
      </c>
      <c r="H1378" s="7">
        <v>45883</v>
      </c>
      <c r="I1378" s="7">
        <v>45884</v>
      </c>
      <c r="J1378" s="8">
        <v>150</v>
      </c>
      <c r="K1378" s="7">
        <v>45903</v>
      </c>
      <c r="L1378" s="5" t="s">
        <v>2888</v>
      </c>
    </row>
    <row r="1379" spans="1:13" ht="14.4" customHeight="1" x14ac:dyDescent="0.3">
      <c r="A1379" s="5">
        <v>1392</v>
      </c>
      <c r="B1379" s="5" t="s">
        <v>2907</v>
      </c>
      <c r="C1379" s="5" t="s">
        <v>2908</v>
      </c>
      <c r="D1379" s="5" t="s">
        <v>68</v>
      </c>
      <c r="E1379" s="5" t="s">
        <v>74</v>
      </c>
      <c r="F1379" s="5">
        <v>58030976</v>
      </c>
      <c r="G1379" s="5" t="s">
        <v>16</v>
      </c>
      <c r="H1379" s="7">
        <v>45883</v>
      </c>
      <c r="I1379" s="7">
        <v>45884</v>
      </c>
      <c r="J1379" s="8">
        <v>150</v>
      </c>
      <c r="K1379" s="7">
        <v>45903</v>
      </c>
      <c r="L1379" s="5" t="s">
        <v>2888</v>
      </c>
    </row>
    <row r="1380" spans="1:13" ht="14.4" customHeight="1" x14ac:dyDescent="0.3">
      <c r="A1380" s="5">
        <v>1393</v>
      </c>
      <c r="B1380" s="5" t="s">
        <v>2909</v>
      </c>
      <c r="C1380" s="5" t="s">
        <v>2910</v>
      </c>
      <c r="D1380" s="5" t="s">
        <v>68</v>
      </c>
      <c r="E1380" s="5" t="s">
        <v>696</v>
      </c>
      <c r="F1380" s="5">
        <v>58551967</v>
      </c>
      <c r="G1380" s="5" t="s">
        <v>16</v>
      </c>
      <c r="H1380" s="7">
        <v>45883</v>
      </c>
      <c r="I1380" s="7">
        <v>45884</v>
      </c>
      <c r="J1380" s="8">
        <v>150</v>
      </c>
      <c r="K1380" s="7">
        <v>45903</v>
      </c>
      <c r="L1380" s="5" t="s">
        <v>2888</v>
      </c>
    </row>
    <row r="1381" spans="1:13" ht="14.4" customHeight="1" x14ac:dyDescent="0.3">
      <c r="A1381" s="5">
        <v>1394</v>
      </c>
      <c r="B1381" s="5" t="s">
        <v>2911</v>
      </c>
      <c r="C1381" s="5" t="s">
        <v>2912</v>
      </c>
      <c r="D1381" s="5" t="s">
        <v>84</v>
      </c>
      <c r="E1381" s="5" t="s">
        <v>2913</v>
      </c>
      <c r="F1381" s="5">
        <v>57888899</v>
      </c>
      <c r="G1381" s="5" t="s">
        <v>16</v>
      </c>
      <c r="H1381" s="7">
        <v>45883</v>
      </c>
      <c r="I1381" s="7">
        <v>45884</v>
      </c>
      <c r="J1381" s="8">
        <v>150</v>
      </c>
      <c r="K1381" s="7">
        <v>45903</v>
      </c>
      <c r="L1381" s="5" t="s">
        <v>2888</v>
      </c>
      <c r="M1381" s="23" t="s">
        <v>2888</v>
      </c>
    </row>
    <row r="1382" spans="1:13" ht="14.4" customHeight="1" x14ac:dyDescent="0.3">
      <c r="A1382" s="5">
        <v>1395</v>
      </c>
      <c r="B1382" s="5" t="s">
        <v>2914</v>
      </c>
      <c r="C1382" s="5" t="s">
        <v>2915</v>
      </c>
      <c r="D1382" s="5" t="s">
        <v>68</v>
      </c>
      <c r="E1382" s="5" t="s">
        <v>696</v>
      </c>
      <c r="F1382" s="5">
        <v>57081657</v>
      </c>
      <c r="G1382" s="5" t="s">
        <v>16</v>
      </c>
      <c r="H1382" s="7">
        <v>45883</v>
      </c>
      <c r="I1382" s="7">
        <v>45884</v>
      </c>
      <c r="J1382" s="8">
        <v>150</v>
      </c>
      <c r="K1382" s="7">
        <v>45903</v>
      </c>
      <c r="L1382" s="5" t="s">
        <v>2888</v>
      </c>
      <c r="M1382" s="23" t="s">
        <v>2888</v>
      </c>
    </row>
    <row r="1383" spans="1:13" ht="14.4" customHeight="1" x14ac:dyDescent="0.3">
      <c r="A1383" s="5">
        <v>1396</v>
      </c>
      <c r="B1383" s="5" t="s">
        <v>2916</v>
      </c>
      <c r="C1383" s="5" t="s">
        <v>2917</v>
      </c>
      <c r="D1383" s="5" t="s">
        <v>68</v>
      </c>
      <c r="E1383" s="5" t="s">
        <v>74</v>
      </c>
      <c r="F1383" s="5">
        <v>59107630</v>
      </c>
      <c r="G1383" s="5" t="s">
        <v>16</v>
      </c>
      <c r="H1383" s="7">
        <v>45883</v>
      </c>
      <c r="I1383" s="7">
        <v>45884</v>
      </c>
      <c r="J1383" s="8">
        <v>150</v>
      </c>
      <c r="K1383" s="7">
        <v>45903</v>
      </c>
      <c r="L1383" s="5" t="s">
        <v>2888</v>
      </c>
      <c r="M1383" s="23" t="s">
        <v>2888</v>
      </c>
    </row>
    <row r="1384" spans="1:13" ht="14.4" customHeight="1" x14ac:dyDescent="0.3">
      <c r="A1384" s="5">
        <v>1397</v>
      </c>
      <c r="B1384" s="5" t="s">
        <v>2918</v>
      </c>
      <c r="C1384" s="5" t="s">
        <v>2919</v>
      </c>
      <c r="D1384" s="5" t="s">
        <v>137</v>
      </c>
      <c r="E1384" s="5" t="s">
        <v>2920</v>
      </c>
      <c r="F1384" s="5">
        <v>57722161</v>
      </c>
      <c r="G1384" s="5" t="s">
        <v>16</v>
      </c>
      <c r="H1384" s="7">
        <v>45883</v>
      </c>
      <c r="I1384" s="7">
        <v>45884</v>
      </c>
      <c r="J1384" s="8">
        <v>150</v>
      </c>
      <c r="K1384" s="7">
        <v>45903</v>
      </c>
      <c r="L1384" s="5" t="s">
        <v>2888</v>
      </c>
      <c r="M1384" s="23" t="s">
        <v>2888</v>
      </c>
    </row>
    <row r="1385" spans="1:13" ht="14.4" customHeight="1" x14ac:dyDescent="0.3">
      <c r="A1385" s="5">
        <v>1398</v>
      </c>
      <c r="B1385" s="5" t="s">
        <v>2921</v>
      </c>
      <c r="C1385" s="5" t="s">
        <v>2923</v>
      </c>
      <c r="D1385" s="5" t="s">
        <v>84</v>
      </c>
      <c r="E1385" s="5" t="s">
        <v>84</v>
      </c>
      <c r="F1385" s="5">
        <v>58384830</v>
      </c>
      <c r="G1385" s="5" t="s">
        <v>1024</v>
      </c>
      <c r="H1385" s="7">
        <v>45883</v>
      </c>
      <c r="I1385" s="7">
        <v>45884</v>
      </c>
      <c r="J1385" s="8">
        <v>150</v>
      </c>
      <c r="K1385" s="7">
        <v>45903</v>
      </c>
      <c r="L1385" s="5" t="s">
        <v>2922</v>
      </c>
      <c r="M1385" s="23" t="s">
        <v>2888</v>
      </c>
    </row>
    <row r="1386" spans="1:13" ht="14.4" customHeight="1" x14ac:dyDescent="0.3">
      <c r="A1386" s="5">
        <v>1400</v>
      </c>
      <c r="B1386" s="5" t="s">
        <v>2931</v>
      </c>
      <c r="C1386" s="5" t="s">
        <v>1272</v>
      </c>
      <c r="D1386" s="5" t="s">
        <v>49</v>
      </c>
      <c r="E1386" s="5" t="s">
        <v>49</v>
      </c>
      <c r="F1386" s="5">
        <v>57635836</v>
      </c>
      <c r="G1386" s="5" t="s">
        <v>1146</v>
      </c>
      <c r="H1386" s="7">
        <v>45884</v>
      </c>
      <c r="I1386" s="7">
        <v>45884</v>
      </c>
      <c r="J1386" s="8">
        <v>150</v>
      </c>
      <c r="K1386" s="7">
        <v>45903</v>
      </c>
      <c r="L1386" s="5" t="s">
        <v>2924</v>
      </c>
      <c r="M1386" s="23" t="s">
        <v>2897</v>
      </c>
    </row>
    <row r="1387" spans="1:13" ht="14.4" customHeight="1" x14ac:dyDescent="0.3">
      <c r="A1387" s="5">
        <v>1401</v>
      </c>
      <c r="B1387" s="5" t="s">
        <v>2927</v>
      </c>
      <c r="C1387" s="5" t="s">
        <v>2928</v>
      </c>
      <c r="D1387" s="5" t="s">
        <v>137</v>
      </c>
      <c r="E1387" s="5" t="s">
        <v>137</v>
      </c>
      <c r="F1387" s="5">
        <v>59089311</v>
      </c>
      <c r="G1387" s="5" t="s">
        <v>963</v>
      </c>
      <c r="H1387" s="7">
        <v>45884</v>
      </c>
      <c r="I1387" s="7">
        <v>45884</v>
      </c>
      <c r="J1387" s="8">
        <v>150</v>
      </c>
      <c r="K1387" s="7">
        <v>45903</v>
      </c>
      <c r="L1387" s="5" t="s">
        <v>2269</v>
      </c>
      <c r="M1387" s="23" t="s">
        <v>2888</v>
      </c>
    </row>
    <row r="1388" spans="1:13" ht="14.4" customHeight="1" x14ac:dyDescent="0.3">
      <c r="A1388" s="5">
        <v>1402</v>
      </c>
      <c r="B1388" s="5" t="s">
        <v>2929</v>
      </c>
      <c r="C1388" s="5" t="s">
        <v>2930</v>
      </c>
      <c r="D1388" s="5" t="s">
        <v>144</v>
      </c>
      <c r="E1388" s="5" t="s">
        <v>144</v>
      </c>
      <c r="F1388" s="5">
        <v>58149009</v>
      </c>
      <c r="G1388" s="5" t="s">
        <v>963</v>
      </c>
      <c r="H1388" s="7">
        <v>45884</v>
      </c>
      <c r="I1388" s="7">
        <v>45884</v>
      </c>
      <c r="J1388" s="8">
        <v>150</v>
      </c>
      <c r="K1388" s="7">
        <v>45903</v>
      </c>
      <c r="L1388" s="5" t="s">
        <v>2269</v>
      </c>
      <c r="M1388" s="23" t="s">
        <v>2888</v>
      </c>
    </row>
    <row r="1389" spans="1:13" ht="14.4" customHeight="1" x14ac:dyDescent="0.3">
      <c r="A1389" s="5">
        <v>1404</v>
      </c>
      <c r="B1389" s="5" t="s">
        <v>2472</v>
      </c>
      <c r="C1389" s="5" t="s">
        <v>2953</v>
      </c>
      <c r="D1389" s="5" t="s">
        <v>84</v>
      </c>
      <c r="E1389" s="5" t="s">
        <v>84</v>
      </c>
      <c r="F1389" s="5">
        <v>58255155</v>
      </c>
      <c r="G1389" s="5" t="s">
        <v>1146</v>
      </c>
      <c r="H1389" s="7">
        <v>45888</v>
      </c>
      <c r="I1389" s="7">
        <v>45888</v>
      </c>
      <c r="J1389" s="8">
        <v>150</v>
      </c>
      <c r="K1389" s="7">
        <v>45903</v>
      </c>
      <c r="L1389" s="8">
        <v>500</v>
      </c>
      <c r="M1389" s="23" t="s">
        <v>2888</v>
      </c>
    </row>
    <row r="1390" spans="1:13" ht="14.4" customHeight="1" x14ac:dyDescent="0.3">
      <c r="A1390" s="5">
        <v>1405</v>
      </c>
      <c r="B1390" s="5" t="s">
        <v>342</v>
      </c>
      <c r="C1390" s="5" t="s">
        <v>343</v>
      </c>
      <c r="D1390" s="5" t="s">
        <v>30</v>
      </c>
      <c r="E1390" s="5" t="s">
        <v>344</v>
      </c>
      <c r="F1390" s="5">
        <v>52526373</v>
      </c>
      <c r="G1390" s="5" t="s">
        <v>1024</v>
      </c>
      <c r="H1390" s="7">
        <v>45887</v>
      </c>
      <c r="I1390" s="7">
        <v>45888</v>
      </c>
      <c r="J1390" s="8">
        <v>150</v>
      </c>
      <c r="K1390" s="7">
        <v>45903</v>
      </c>
      <c r="L1390" s="8">
        <v>10895</v>
      </c>
      <c r="M1390" s="23" t="s">
        <v>2905</v>
      </c>
    </row>
    <row r="1391" spans="1:13" ht="14.4" customHeight="1" x14ac:dyDescent="0.3">
      <c r="A1391" s="5">
        <v>1406</v>
      </c>
      <c r="B1391" s="5" t="s">
        <v>2955</v>
      </c>
      <c r="C1391" s="5" t="s">
        <v>2956</v>
      </c>
      <c r="D1391" s="5" t="s">
        <v>214</v>
      </c>
      <c r="E1391" s="5" t="s">
        <v>251</v>
      </c>
      <c r="F1391" s="5" t="s">
        <v>2957</v>
      </c>
      <c r="G1391" s="5" t="s">
        <v>16</v>
      </c>
      <c r="H1391" s="7">
        <v>45887</v>
      </c>
      <c r="I1391" s="7">
        <v>45888</v>
      </c>
      <c r="J1391" s="8">
        <v>150</v>
      </c>
      <c r="K1391" s="7">
        <v>45903</v>
      </c>
      <c r="L1391" s="5"/>
      <c r="M1391" s="23" t="s">
        <v>2888</v>
      </c>
    </row>
    <row r="1392" spans="1:13" ht="14.4" customHeight="1" x14ac:dyDescent="0.3">
      <c r="A1392" s="5">
        <v>1407</v>
      </c>
      <c r="B1392" s="5" t="s">
        <v>987</v>
      </c>
      <c r="C1392" s="5" t="s">
        <v>2958</v>
      </c>
      <c r="D1392" s="5" t="s">
        <v>14</v>
      </c>
      <c r="E1392" s="5" t="s">
        <v>634</v>
      </c>
      <c r="F1392" s="5" t="s">
        <v>2959</v>
      </c>
      <c r="G1392" s="5" t="s">
        <v>16</v>
      </c>
      <c r="H1392" s="7">
        <v>45887</v>
      </c>
      <c r="I1392" s="7">
        <v>45888</v>
      </c>
      <c r="J1392" s="8">
        <v>150</v>
      </c>
      <c r="K1392" s="7">
        <v>45903</v>
      </c>
      <c r="L1392" s="5"/>
      <c r="M1392" s="23" t="s">
        <v>2888</v>
      </c>
    </row>
    <row r="1393" spans="1:13" ht="14.4" customHeight="1" x14ac:dyDescent="0.3">
      <c r="A1393" s="5">
        <v>1408</v>
      </c>
      <c r="B1393" s="5" t="s">
        <v>72</v>
      </c>
      <c r="C1393" s="5" t="s">
        <v>2961</v>
      </c>
      <c r="D1393" s="5" t="s">
        <v>26</v>
      </c>
      <c r="E1393" s="5" t="s">
        <v>74</v>
      </c>
      <c r="F1393" s="5" t="s">
        <v>2962</v>
      </c>
      <c r="G1393" s="5" t="s">
        <v>16</v>
      </c>
      <c r="H1393" s="7">
        <v>45887</v>
      </c>
      <c r="I1393" s="7">
        <v>45888</v>
      </c>
      <c r="J1393" s="8">
        <v>150</v>
      </c>
      <c r="K1393" s="7">
        <v>45903</v>
      </c>
      <c r="L1393" s="5"/>
      <c r="M1393" s="23" t="s">
        <v>2888</v>
      </c>
    </row>
    <row r="1394" spans="1:13" ht="14.4" customHeight="1" x14ac:dyDescent="0.3">
      <c r="A1394" s="5">
        <v>1409</v>
      </c>
      <c r="B1394" s="5" t="s">
        <v>2963</v>
      </c>
      <c r="C1394" s="5" t="s">
        <v>2964</v>
      </c>
      <c r="D1394" s="5" t="s">
        <v>26</v>
      </c>
      <c r="E1394" s="5" t="s">
        <v>2965</v>
      </c>
      <c r="F1394" s="5" t="s">
        <v>2966</v>
      </c>
      <c r="G1394" s="5" t="s">
        <v>16</v>
      </c>
      <c r="H1394" s="7">
        <v>45887</v>
      </c>
      <c r="I1394" s="7">
        <v>45888</v>
      </c>
      <c r="J1394" s="8">
        <v>150</v>
      </c>
      <c r="K1394" s="7">
        <v>45903</v>
      </c>
      <c r="L1394" s="5"/>
      <c r="M1394" s="23" t="s">
        <v>2888</v>
      </c>
    </row>
    <row r="1395" spans="1:13" ht="14.4" customHeight="1" x14ac:dyDescent="0.3">
      <c r="A1395" s="5">
        <v>1410</v>
      </c>
      <c r="B1395" s="5" t="s">
        <v>2967</v>
      </c>
      <c r="C1395" s="5" t="s">
        <v>2968</v>
      </c>
      <c r="D1395" s="5" t="s">
        <v>22</v>
      </c>
      <c r="E1395" s="5" t="s">
        <v>2969</v>
      </c>
      <c r="F1395" s="5" t="s">
        <v>2970</v>
      </c>
      <c r="G1395" s="5" t="s">
        <v>16</v>
      </c>
      <c r="H1395" s="7">
        <v>45887</v>
      </c>
      <c r="I1395" s="7">
        <v>45888</v>
      </c>
      <c r="J1395" s="8">
        <v>150</v>
      </c>
      <c r="K1395" s="7">
        <v>45903</v>
      </c>
      <c r="L1395" s="5"/>
      <c r="M1395" s="23" t="s">
        <v>2888</v>
      </c>
    </row>
    <row r="1396" spans="1:13" ht="14.4" customHeight="1" x14ac:dyDescent="0.3">
      <c r="A1396" s="5">
        <v>1411</v>
      </c>
      <c r="B1396" s="5" t="s">
        <v>1105</v>
      </c>
      <c r="C1396" s="5" t="s">
        <v>2971</v>
      </c>
      <c r="D1396" s="5" t="s">
        <v>26</v>
      </c>
      <c r="E1396" s="5" t="s">
        <v>1107</v>
      </c>
      <c r="F1396" s="5" t="s">
        <v>2972</v>
      </c>
      <c r="G1396" s="5" t="s">
        <v>16</v>
      </c>
      <c r="H1396" s="7">
        <v>45887</v>
      </c>
      <c r="I1396" s="7">
        <v>45888</v>
      </c>
      <c r="J1396" s="8">
        <v>150</v>
      </c>
      <c r="K1396" s="7">
        <v>45903</v>
      </c>
      <c r="L1396" s="5"/>
      <c r="M1396" s="23" t="s">
        <v>2888</v>
      </c>
    </row>
    <row r="1397" spans="1:13" ht="14.4" customHeight="1" x14ac:dyDescent="0.3">
      <c r="A1397" s="5">
        <v>1412</v>
      </c>
      <c r="B1397" s="5" t="s">
        <v>2973</v>
      </c>
      <c r="C1397" s="5" t="s">
        <v>2974</v>
      </c>
      <c r="D1397" s="5" t="s">
        <v>22</v>
      </c>
      <c r="E1397" s="5" t="s">
        <v>144</v>
      </c>
      <c r="F1397" s="5" t="s">
        <v>2975</v>
      </c>
      <c r="G1397" s="5" t="s">
        <v>16</v>
      </c>
      <c r="H1397" s="7">
        <v>45887</v>
      </c>
      <c r="I1397" s="7">
        <v>45888</v>
      </c>
      <c r="J1397" s="8">
        <v>150</v>
      </c>
      <c r="K1397" s="7">
        <v>45903</v>
      </c>
      <c r="L1397" s="5"/>
      <c r="M1397" s="23" t="s">
        <v>2888</v>
      </c>
    </row>
    <row r="1398" spans="1:13" ht="14.4" customHeight="1" x14ac:dyDescent="0.3">
      <c r="A1398" s="5">
        <v>1413</v>
      </c>
      <c r="B1398" s="5" t="s">
        <v>2976</v>
      </c>
      <c r="C1398" s="5" t="s">
        <v>2977</v>
      </c>
      <c r="D1398" s="5" t="s">
        <v>26</v>
      </c>
      <c r="E1398" s="5" t="s">
        <v>475</v>
      </c>
      <c r="F1398" s="5" t="s">
        <v>2978</v>
      </c>
      <c r="G1398" s="5" t="s">
        <v>16</v>
      </c>
      <c r="H1398" s="7">
        <v>45887</v>
      </c>
      <c r="I1398" s="7">
        <v>45888</v>
      </c>
      <c r="J1398" s="8">
        <v>150</v>
      </c>
      <c r="K1398" s="7">
        <v>45903</v>
      </c>
      <c r="L1398" s="5"/>
      <c r="M1398" s="23" t="s">
        <v>2888</v>
      </c>
    </row>
    <row r="1399" spans="1:13" ht="14.4" customHeight="1" x14ac:dyDescent="0.3">
      <c r="A1399" s="5">
        <v>1414</v>
      </c>
      <c r="B1399" s="5" t="s">
        <v>2980</v>
      </c>
      <c r="C1399" s="5" t="s">
        <v>2981</v>
      </c>
      <c r="D1399" s="5" t="s">
        <v>26</v>
      </c>
      <c r="E1399" s="5" t="s">
        <v>447</v>
      </c>
      <c r="F1399" s="5" t="s">
        <v>2982</v>
      </c>
      <c r="G1399" s="5" t="s">
        <v>16</v>
      </c>
      <c r="H1399" s="7">
        <v>45887</v>
      </c>
      <c r="I1399" s="7">
        <v>45888</v>
      </c>
      <c r="J1399" s="8">
        <v>150</v>
      </c>
      <c r="K1399" s="7">
        <v>45903</v>
      </c>
      <c r="L1399" s="5"/>
    </row>
    <row r="1400" spans="1:13" ht="14.4" customHeight="1" x14ac:dyDescent="0.3">
      <c r="A1400" s="5">
        <v>1416</v>
      </c>
      <c r="B1400" s="5" t="s">
        <v>694</v>
      </c>
      <c r="C1400" s="5" t="s">
        <v>695</v>
      </c>
      <c r="D1400" s="5" t="s">
        <v>26</v>
      </c>
      <c r="E1400" s="5" t="s">
        <v>696</v>
      </c>
      <c r="F1400" s="5" t="s">
        <v>2985</v>
      </c>
      <c r="G1400" s="5" t="s">
        <v>16</v>
      </c>
      <c r="H1400" s="7">
        <v>45887</v>
      </c>
      <c r="I1400" s="7">
        <v>45888</v>
      </c>
      <c r="J1400" s="8">
        <v>150</v>
      </c>
      <c r="K1400" s="7">
        <v>45903</v>
      </c>
      <c r="L1400" s="5"/>
    </row>
    <row r="1401" spans="1:13" ht="14.4" customHeight="1" x14ac:dyDescent="0.3">
      <c r="A1401" s="5">
        <v>1417</v>
      </c>
      <c r="B1401" s="5" t="s">
        <v>2986</v>
      </c>
      <c r="C1401" s="5" t="s">
        <v>2987</v>
      </c>
      <c r="D1401" s="5" t="s">
        <v>14</v>
      </c>
      <c r="E1401" s="5" t="s">
        <v>673</v>
      </c>
      <c r="F1401" s="5" t="s">
        <v>2988</v>
      </c>
      <c r="G1401" s="5" t="s">
        <v>16</v>
      </c>
      <c r="H1401" s="7">
        <v>45887</v>
      </c>
      <c r="I1401" s="7">
        <v>45888</v>
      </c>
      <c r="J1401" s="8">
        <v>150</v>
      </c>
      <c r="K1401" s="7">
        <v>45903</v>
      </c>
      <c r="L1401" s="5"/>
    </row>
    <row r="1402" spans="1:13" ht="14.4" customHeight="1" x14ac:dyDescent="0.3">
      <c r="A1402" s="5">
        <v>1418</v>
      </c>
      <c r="B1402" s="5" t="s">
        <v>2989</v>
      </c>
      <c r="C1402" s="5" t="s">
        <v>2990</v>
      </c>
      <c r="D1402" s="5" t="s">
        <v>22</v>
      </c>
      <c r="E1402" s="5" t="s">
        <v>2991</v>
      </c>
      <c r="F1402" s="5" t="s">
        <v>2992</v>
      </c>
      <c r="G1402" s="5" t="s">
        <v>16</v>
      </c>
      <c r="H1402" s="7">
        <v>45887</v>
      </c>
      <c r="I1402" s="7">
        <v>45888</v>
      </c>
      <c r="J1402" s="8">
        <v>150</v>
      </c>
      <c r="K1402" s="7">
        <v>45903</v>
      </c>
      <c r="L1402" s="5"/>
    </row>
    <row r="1403" spans="1:13" ht="14.4" customHeight="1" x14ac:dyDescent="0.3">
      <c r="A1403" s="5">
        <v>1419</v>
      </c>
      <c r="B1403" s="5" t="s">
        <v>2993</v>
      </c>
      <c r="C1403" s="5" t="s">
        <v>2994</v>
      </c>
      <c r="D1403" s="5" t="s">
        <v>30</v>
      </c>
      <c r="E1403" s="5" t="s">
        <v>2947</v>
      </c>
      <c r="F1403" s="5" t="s">
        <v>2995</v>
      </c>
      <c r="G1403" s="5" t="s">
        <v>16</v>
      </c>
      <c r="H1403" s="7">
        <v>45887</v>
      </c>
      <c r="I1403" s="7">
        <v>45888</v>
      </c>
      <c r="J1403" s="8">
        <v>150</v>
      </c>
      <c r="K1403" s="7">
        <v>45903</v>
      </c>
      <c r="L1403" s="5"/>
    </row>
    <row r="1404" spans="1:13" ht="14.4" customHeight="1" x14ac:dyDescent="0.3">
      <c r="A1404" s="5">
        <v>1420</v>
      </c>
      <c r="B1404" s="29" t="s">
        <v>2996</v>
      </c>
      <c r="C1404" s="29" t="s">
        <v>2997</v>
      </c>
      <c r="D1404" s="29" t="s">
        <v>26</v>
      </c>
      <c r="E1404" s="29" t="s">
        <v>49</v>
      </c>
      <c r="F1404" s="29" t="s">
        <v>2998</v>
      </c>
      <c r="G1404" s="29" t="s">
        <v>16</v>
      </c>
      <c r="H1404" s="11">
        <v>45887</v>
      </c>
      <c r="I1404" s="11">
        <v>45888</v>
      </c>
      <c r="J1404" s="8">
        <v>150</v>
      </c>
      <c r="K1404" s="7">
        <v>45903</v>
      </c>
      <c r="L1404" s="29"/>
    </row>
    <row r="1405" spans="1:13" ht="14.4" customHeight="1" x14ac:dyDescent="0.3">
      <c r="A1405" s="5">
        <v>1421</v>
      </c>
      <c r="B1405" s="5" t="s">
        <v>2794</v>
      </c>
      <c r="C1405" s="5" t="s">
        <v>2999</v>
      </c>
      <c r="D1405" s="5" t="s">
        <v>22</v>
      </c>
      <c r="E1405" s="5" t="s">
        <v>84</v>
      </c>
      <c r="F1405" s="5" t="s">
        <v>3000</v>
      </c>
      <c r="G1405" s="5" t="s">
        <v>16</v>
      </c>
      <c r="H1405" s="7">
        <v>45887</v>
      </c>
      <c r="I1405" s="11">
        <v>45888</v>
      </c>
      <c r="J1405" s="8">
        <v>150</v>
      </c>
      <c r="K1405" s="7">
        <v>45903</v>
      </c>
      <c r="L1405" s="5"/>
    </row>
    <row r="1406" spans="1:13" ht="14.4" customHeight="1" x14ac:dyDescent="0.3">
      <c r="A1406" s="5">
        <v>1422</v>
      </c>
      <c r="B1406" s="5" t="s">
        <v>3001</v>
      </c>
      <c r="C1406" s="5" t="s">
        <v>3002</v>
      </c>
      <c r="D1406" s="5" t="s">
        <v>3003</v>
      </c>
      <c r="E1406" s="5" t="s">
        <v>3003</v>
      </c>
      <c r="F1406" s="5">
        <v>54966565</v>
      </c>
      <c r="G1406" s="5" t="s">
        <v>16</v>
      </c>
      <c r="H1406" s="7">
        <v>45888</v>
      </c>
      <c r="I1406" s="11">
        <v>45888</v>
      </c>
      <c r="J1406" s="8">
        <v>150</v>
      </c>
      <c r="K1406" s="7">
        <v>45903</v>
      </c>
      <c r="L1406" s="5"/>
      <c r="M1406" s="5"/>
    </row>
    <row r="1407" spans="1:13" ht="14.4" customHeight="1" x14ac:dyDescent="0.3">
      <c r="A1407" s="5">
        <v>1403</v>
      </c>
      <c r="B1407" s="5" t="s">
        <v>2951</v>
      </c>
      <c r="C1407" s="5" t="s">
        <v>2952</v>
      </c>
      <c r="D1407" s="5" t="s">
        <v>84</v>
      </c>
      <c r="E1407" s="5" t="s">
        <v>84</v>
      </c>
      <c r="F1407" s="5">
        <v>57751893</v>
      </c>
      <c r="G1407" s="5" t="s">
        <v>963</v>
      </c>
      <c r="H1407" s="7">
        <v>45888</v>
      </c>
      <c r="I1407" s="11">
        <v>45891</v>
      </c>
      <c r="J1407" s="8">
        <v>150</v>
      </c>
      <c r="K1407" s="7">
        <v>45903</v>
      </c>
      <c r="L1407" s="8">
        <v>1625</v>
      </c>
      <c r="M1407" s="20" t="s">
        <v>2954</v>
      </c>
    </row>
    <row r="1408" spans="1:13" ht="14.4" customHeight="1" x14ac:dyDescent="0.3">
      <c r="A1408" s="5">
        <v>1415</v>
      </c>
      <c r="B1408" s="5" t="s">
        <v>2983</v>
      </c>
      <c r="C1408" s="5" t="s">
        <v>2984</v>
      </c>
      <c r="D1408" s="5" t="s">
        <v>22</v>
      </c>
      <c r="E1408" s="5" t="s">
        <v>276</v>
      </c>
      <c r="F1408" s="5">
        <v>59015844</v>
      </c>
      <c r="G1408" s="5" t="s">
        <v>16</v>
      </c>
      <c r="H1408" s="7">
        <v>45887</v>
      </c>
      <c r="I1408" s="11">
        <v>45891</v>
      </c>
      <c r="J1408" s="8">
        <v>150</v>
      </c>
      <c r="K1408" s="7">
        <v>45903</v>
      </c>
      <c r="L1408" s="5"/>
      <c r="M1408" s="5" t="s">
        <v>2960</v>
      </c>
    </row>
    <row r="1409" spans="1:13" ht="14.4" customHeight="1" x14ac:dyDescent="0.3">
      <c r="A1409" s="5">
        <v>1423</v>
      </c>
      <c r="B1409" s="5" t="s">
        <v>2023</v>
      </c>
      <c r="C1409" s="5" t="s">
        <v>2054</v>
      </c>
      <c r="D1409" s="5" t="s">
        <v>84</v>
      </c>
      <c r="E1409" s="5" t="s">
        <v>84</v>
      </c>
      <c r="F1409" s="5">
        <v>57349330</v>
      </c>
      <c r="G1409" s="5" t="s">
        <v>16</v>
      </c>
      <c r="H1409" s="7">
        <v>45890</v>
      </c>
      <c r="I1409" s="11">
        <v>45891</v>
      </c>
      <c r="J1409" s="8">
        <v>150</v>
      </c>
      <c r="K1409" s="7">
        <v>45903</v>
      </c>
      <c r="L1409" s="5" t="s">
        <v>1815</v>
      </c>
    </row>
    <row r="1410" spans="1:13" ht="14.4" customHeight="1" x14ac:dyDescent="0.3">
      <c r="A1410" s="5">
        <v>1424</v>
      </c>
      <c r="B1410" s="5" t="s">
        <v>3007</v>
      </c>
      <c r="C1410" s="5" t="s">
        <v>3021</v>
      </c>
      <c r="D1410" s="5" t="s">
        <v>204</v>
      </c>
      <c r="E1410" s="5" t="s">
        <v>204</v>
      </c>
      <c r="F1410" s="5">
        <v>58137442</v>
      </c>
      <c r="G1410" s="5" t="s">
        <v>16</v>
      </c>
      <c r="H1410" s="7">
        <v>45890</v>
      </c>
      <c r="I1410" s="11">
        <v>45891</v>
      </c>
      <c r="J1410" s="8">
        <v>150</v>
      </c>
      <c r="K1410" s="7">
        <v>45903</v>
      </c>
      <c r="L1410" s="5" t="s">
        <v>1815</v>
      </c>
      <c r="M1410" s="5"/>
    </row>
    <row r="1411" spans="1:13" ht="14.4" customHeight="1" x14ac:dyDescent="0.3">
      <c r="A1411" s="5">
        <v>1425</v>
      </c>
      <c r="B1411" s="5" t="s">
        <v>3008</v>
      </c>
      <c r="C1411" s="5" t="s">
        <v>3022</v>
      </c>
      <c r="D1411" s="5" t="s">
        <v>84</v>
      </c>
      <c r="E1411" s="5" t="s">
        <v>84</v>
      </c>
      <c r="F1411" s="5">
        <v>58029556</v>
      </c>
      <c r="G1411" s="5" t="s">
        <v>16</v>
      </c>
      <c r="H1411" s="7">
        <v>45890</v>
      </c>
      <c r="I1411" s="11">
        <v>45891</v>
      </c>
      <c r="J1411" s="8">
        <v>150</v>
      </c>
      <c r="K1411" s="7">
        <v>45903</v>
      </c>
      <c r="L1411" s="5" t="s">
        <v>1815</v>
      </c>
      <c r="M1411" s="5"/>
    </row>
    <row r="1412" spans="1:13" ht="14.4" customHeight="1" x14ac:dyDescent="0.3">
      <c r="A1412" s="5">
        <v>1426</v>
      </c>
      <c r="B1412" s="5" t="s">
        <v>1608</v>
      </c>
      <c r="C1412" s="5" t="s">
        <v>1609</v>
      </c>
      <c r="D1412" s="5" t="s">
        <v>715</v>
      </c>
      <c r="E1412" s="5" t="s">
        <v>715</v>
      </c>
      <c r="F1412" s="5">
        <v>57603737</v>
      </c>
      <c r="G1412" s="5" t="s">
        <v>16</v>
      </c>
      <c r="H1412" s="7">
        <v>45890</v>
      </c>
      <c r="I1412" s="11">
        <v>45891</v>
      </c>
      <c r="J1412" s="8">
        <v>150</v>
      </c>
      <c r="K1412" s="7">
        <v>45903</v>
      </c>
      <c r="L1412" s="5" t="s">
        <v>1815</v>
      </c>
      <c r="M1412" s="5"/>
    </row>
    <row r="1413" spans="1:13" ht="14.4" customHeight="1" x14ac:dyDescent="0.3">
      <c r="A1413" s="5">
        <v>1427</v>
      </c>
      <c r="B1413" s="5" t="s">
        <v>3009</v>
      </c>
      <c r="C1413" s="5" t="s">
        <v>3023</v>
      </c>
      <c r="D1413" s="5" t="s">
        <v>696</v>
      </c>
      <c r="E1413" s="5" t="s">
        <v>696</v>
      </c>
      <c r="F1413" s="5">
        <v>57053426</v>
      </c>
      <c r="G1413" s="5" t="s">
        <v>16</v>
      </c>
      <c r="H1413" s="7">
        <v>45890</v>
      </c>
      <c r="I1413" s="11">
        <v>45891</v>
      </c>
      <c r="J1413" s="8">
        <v>150</v>
      </c>
      <c r="K1413" s="7">
        <v>45903</v>
      </c>
      <c r="L1413" s="5" t="s">
        <v>1815</v>
      </c>
      <c r="M1413" s="5"/>
    </row>
    <row r="1414" spans="1:13" ht="14.4" customHeight="1" x14ac:dyDescent="0.3">
      <c r="A1414" s="5">
        <v>1428</v>
      </c>
      <c r="B1414" s="5" t="s">
        <v>3010</v>
      </c>
      <c r="C1414" s="5" t="s">
        <v>3011</v>
      </c>
      <c r="D1414" s="5" t="s">
        <v>368</v>
      </c>
      <c r="E1414" s="5" t="s">
        <v>368</v>
      </c>
      <c r="F1414" s="5">
        <v>57927340</v>
      </c>
      <c r="G1414" s="5" t="s">
        <v>16</v>
      </c>
      <c r="H1414" s="7">
        <v>45890</v>
      </c>
      <c r="I1414" s="11">
        <v>45891</v>
      </c>
      <c r="J1414" s="8">
        <v>150</v>
      </c>
      <c r="K1414" s="7">
        <v>45903</v>
      </c>
      <c r="L1414" s="5" t="s">
        <v>1815</v>
      </c>
      <c r="M1414" s="5" t="s">
        <v>2979</v>
      </c>
    </row>
    <row r="1415" spans="1:13" ht="14.4" customHeight="1" x14ac:dyDescent="0.3">
      <c r="A1415" s="5">
        <v>1429</v>
      </c>
      <c r="B1415" s="5" t="s">
        <v>1431</v>
      </c>
      <c r="C1415" s="5" t="s">
        <v>1432</v>
      </c>
      <c r="D1415" s="5" t="s">
        <v>259</v>
      </c>
      <c r="E1415" s="5" t="s">
        <v>259</v>
      </c>
      <c r="F1415" s="5">
        <v>58093231</v>
      </c>
      <c r="G1415" s="5" t="s">
        <v>16</v>
      </c>
      <c r="H1415" s="7">
        <v>45890</v>
      </c>
      <c r="I1415" s="11">
        <v>45891</v>
      </c>
      <c r="J1415" s="8">
        <v>150</v>
      </c>
      <c r="K1415" s="7">
        <v>45903</v>
      </c>
      <c r="L1415" s="5" t="s">
        <v>1815</v>
      </c>
    </row>
    <row r="1416" spans="1:13" ht="14.4" customHeight="1" x14ac:dyDescent="0.3">
      <c r="A1416" s="5">
        <v>1430</v>
      </c>
      <c r="B1416" s="5" t="s">
        <v>3012</v>
      </c>
      <c r="C1416" s="5" t="s">
        <v>3024</v>
      </c>
      <c r="D1416" s="5" t="s">
        <v>850</v>
      </c>
      <c r="E1416" s="5" t="s">
        <v>850</v>
      </c>
      <c r="F1416" s="5">
        <v>57721292</v>
      </c>
      <c r="G1416" s="5" t="s">
        <v>16</v>
      </c>
      <c r="H1416" s="7">
        <v>45890</v>
      </c>
      <c r="I1416" s="11">
        <v>45891</v>
      </c>
      <c r="J1416" s="8">
        <v>150</v>
      </c>
      <c r="K1416" s="7">
        <v>45903</v>
      </c>
      <c r="L1416" s="5" t="s">
        <v>1815</v>
      </c>
      <c r="M1416" s="5"/>
    </row>
    <row r="1417" spans="1:13" ht="14.4" customHeight="1" x14ac:dyDescent="0.3">
      <c r="A1417" s="5">
        <v>1431</v>
      </c>
      <c r="B1417" s="5" t="s">
        <v>224</v>
      </c>
      <c r="C1417" s="5" t="s">
        <v>3025</v>
      </c>
      <c r="D1417" s="5" t="s">
        <v>226</v>
      </c>
      <c r="E1417" s="5" t="s">
        <v>226</v>
      </c>
      <c r="F1417" s="5">
        <v>59160770</v>
      </c>
      <c r="G1417" s="5" t="s">
        <v>16</v>
      </c>
      <c r="H1417" s="7">
        <v>45890</v>
      </c>
      <c r="I1417" s="11">
        <v>45891</v>
      </c>
      <c r="J1417" s="8">
        <v>150</v>
      </c>
      <c r="K1417" s="7">
        <v>45903</v>
      </c>
      <c r="L1417" s="5" t="s">
        <v>1815</v>
      </c>
      <c r="M1417" s="5"/>
    </row>
    <row r="1418" spans="1:13" ht="14.4" customHeight="1" x14ac:dyDescent="0.3">
      <c r="A1418" s="5">
        <v>1432</v>
      </c>
      <c r="B1418" s="5" t="s">
        <v>3013</v>
      </c>
      <c r="C1418" s="5" t="s">
        <v>3026</v>
      </c>
      <c r="D1418" s="5" t="s">
        <v>291</v>
      </c>
      <c r="E1418" s="5" t="s">
        <v>291</v>
      </c>
      <c r="F1418" s="5">
        <v>57664186</v>
      </c>
      <c r="G1418" s="5" t="s">
        <v>16</v>
      </c>
      <c r="H1418" s="7">
        <v>45890</v>
      </c>
      <c r="I1418" s="11">
        <v>45891</v>
      </c>
      <c r="J1418" s="8">
        <v>150</v>
      </c>
      <c r="K1418" s="7">
        <v>45903</v>
      </c>
      <c r="L1418" s="5" t="s">
        <v>1815</v>
      </c>
      <c r="M1418" s="5"/>
    </row>
    <row r="1419" spans="1:13" ht="14.4" customHeight="1" x14ac:dyDescent="0.3">
      <c r="A1419" s="5">
        <v>1433</v>
      </c>
      <c r="B1419" s="5" t="s">
        <v>406</v>
      </c>
      <c r="C1419" s="5" t="s">
        <v>407</v>
      </c>
      <c r="D1419" s="5" t="s">
        <v>368</v>
      </c>
      <c r="E1419" s="5" t="s">
        <v>368</v>
      </c>
      <c r="F1419" s="5">
        <v>52516583</v>
      </c>
      <c r="G1419" s="5" t="s">
        <v>16</v>
      </c>
      <c r="H1419" s="7">
        <v>45890</v>
      </c>
      <c r="I1419" s="11">
        <v>45891</v>
      </c>
      <c r="J1419" s="8">
        <v>150</v>
      </c>
      <c r="K1419" s="7">
        <v>45903</v>
      </c>
      <c r="L1419" s="5" t="s">
        <v>1815</v>
      </c>
    </row>
    <row r="1420" spans="1:13" ht="14.4" customHeight="1" x14ac:dyDescent="0.3">
      <c r="A1420" s="5">
        <v>1434</v>
      </c>
      <c r="B1420" s="5" t="s">
        <v>3027</v>
      </c>
      <c r="C1420" s="5" t="s">
        <v>3028</v>
      </c>
      <c r="D1420" s="5" t="s">
        <v>41</v>
      </c>
      <c r="E1420" s="5" t="s">
        <v>41</v>
      </c>
      <c r="F1420" s="5">
        <v>54788968</v>
      </c>
      <c r="G1420" s="5" t="s">
        <v>16</v>
      </c>
      <c r="H1420" s="7">
        <v>45890</v>
      </c>
      <c r="I1420" s="11">
        <v>45891</v>
      </c>
      <c r="J1420" s="8">
        <v>150</v>
      </c>
      <c r="K1420" s="7">
        <v>45903</v>
      </c>
      <c r="L1420" s="5" t="s">
        <v>1815</v>
      </c>
      <c r="M1420" s="5"/>
    </row>
    <row r="1421" spans="1:13" ht="14.4" customHeight="1" x14ac:dyDescent="0.3">
      <c r="A1421" s="5">
        <v>1435</v>
      </c>
      <c r="B1421" s="5" t="s">
        <v>3014</v>
      </c>
      <c r="C1421" s="5" t="s">
        <v>3033</v>
      </c>
      <c r="D1421" s="5" t="s">
        <v>69</v>
      </c>
      <c r="E1421" s="5" t="s">
        <v>69</v>
      </c>
      <c r="F1421" s="5">
        <v>57436998</v>
      </c>
      <c r="G1421" s="5" t="s">
        <v>1024</v>
      </c>
      <c r="H1421" s="7">
        <v>45890</v>
      </c>
      <c r="I1421" s="7">
        <v>45891</v>
      </c>
      <c r="J1421" s="8">
        <v>150</v>
      </c>
      <c r="K1421" s="7">
        <v>45903</v>
      </c>
      <c r="L1421" s="47">
        <v>4000</v>
      </c>
      <c r="M1421" s="5"/>
    </row>
    <row r="1422" spans="1:13" ht="14.4" customHeight="1" x14ac:dyDescent="0.3">
      <c r="A1422" s="5">
        <v>1436</v>
      </c>
      <c r="B1422" s="5" t="s">
        <v>3015</v>
      </c>
      <c r="C1422" s="5" t="s">
        <v>3029</v>
      </c>
      <c r="D1422" s="5" t="s">
        <v>3030</v>
      </c>
      <c r="E1422" s="5" t="s">
        <v>3030</v>
      </c>
      <c r="F1422" s="5">
        <v>57078814</v>
      </c>
      <c r="G1422" s="5" t="s">
        <v>3005</v>
      </c>
      <c r="H1422" s="7">
        <v>45891</v>
      </c>
      <c r="I1422" s="7">
        <v>45891</v>
      </c>
      <c r="J1422" s="8">
        <v>150</v>
      </c>
      <c r="K1422" s="7">
        <v>45903</v>
      </c>
      <c r="L1422" s="5" t="s">
        <v>1815</v>
      </c>
      <c r="M1422" s="5"/>
    </row>
    <row r="1423" spans="1:13" ht="14.4" customHeight="1" x14ac:dyDescent="0.3">
      <c r="A1423" s="5">
        <v>1437</v>
      </c>
      <c r="B1423" s="5" t="s">
        <v>3016</v>
      </c>
      <c r="C1423" s="5" t="s">
        <v>3017</v>
      </c>
      <c r="D1423" s="5" t="s">
        <v>144</v>
      </c>
      <c r="E1423" s="5" t="s">
        <v>144</v>
      </c>
      <c r="F1423" s="5">
        <v>57800440</v>
      </c>
      <c r="G1423" s="5" t="s">
        <v>3005</v>
      </c>
      <c r="H1423" s="7">
        <v>45891</v>
      </c>
      <c r="I1423" s="7">
        <v>45891</v>
      </c>
      <c r="J1423" s="8">
        <v>150</v>
      </c>
      <c r="K1423" s="7">
        <v>45903</v>
      </c>
      <c r="L1423" s="5" t="s">
        <v>1815</v>
      </c>
      <c r="M1423" s="5"/>
    </row>
    <row r="1424" spans="1:13" ht="14.4" customHeight="1" x14ac:dyDescent="0.3">
      <c r="A1424" s="5">
        <v>1438</v>
      </c>
      <c r="B1424" s="5" t="s">
        <v>3018</v>
      </c>
      <c r="C1424" s="5" t="s">
        <v>3031</v>
      </c>
      <c r="D1424" s="5" t="s">
        <v>3032</v>
      </c>
      <c r="E1424" s="5" t="s">
        <v>3032</v>
      </c>
      <c r="F1424" s="5">
        <v>57970856</v>
      </c>
      <c r="G1424" s="5" t="s">
        <v>3005</v>
      </c>
      <c r="H1424" s="7">
        <v>45891</v>
      </c>
      <c r="I1424" s="7">
        <v>45891</v>
      </c>
      <c r="J1424" s="8">
        <v>150</v>
      </c>
      <c r="K1424" s="7">
        <v>45903</v>
      </c>
      <c r="L1424" s="5" t="s">
        <v>1815</v>
      </c>
      <c r="M1424" s="5"/>
    </row>
    <row r="1425" spans="1:13" ht="14.4" customHeight="1" x14ac:dyDescent="0.3">
      <c r="A1425" s="5">
        <v>1439</v>
      </c>
      <c r="B1425" s="5" t="s">
        <v>3019</v>
      </c>
      <c r="C1425" s="5" t="s">
        <v>3020</v>
      </c>
      <c r="D1425" s="5" t="s">
        <v>276</v>
      </c>
      <c r="E1425" s="5" t="s">
        <v>276</v>
      </c>
      <c r="F1425" s="5">
        <v>54889171</v>
      </c>
      <c r="G1425" s="5" t="s">
        <v>3005</v>
      </c>
      <c r="H1425" s="7">
        <v>45891</v>
      </c>
      <c r="I1425" s="7">
        <v>45891</v>
      </c>
      <c r="J1425" s="8">
        <v>150</v>
      </c>
      <c r="K1425" s="7">
        <v>45903</v>
      </c>
      <c r="L1425" s="5" t="s">
        <v>1815</v>
      </c>
      <c r="M1425" s="5"/>
    </row>
    <row r="1426" spans="1:13" ht="14.4" customHeight="1" x14ac:dyDescent="0.3">
      <c r="A1426" s="5">
        <v>1440</v>
      </c>
      <c r="B1426" s="5" t="s">
        <v>3034</v>
      </c>
      <c r="C1426" s="5" t="s">
        <v>2537</v>
      </c>
      <c r="D1426" s="5" t="s">
        <v>163</v>
      </c>
      <c r="E1426" s="5" t="s">
        <v>163</v>
      </c>
      <c r="F1426" s="5">
        <v>59242220</v>
      </c>
      <c r="G1426" s="5" t="s">
        <v>1146</v>
      </c>
      <c r="H1426" s="7">
        <v>45891</v>
      </c>
      <c r="I1426" s="7">
        <v>45891</v>
      </c>
      <c r="J1426" s="8">
        <v>150</v>
      </c>
      <c r="K1426" s="7">
        <v>45903</v>
      </c>
      <c r="L1426" s="5">
        <v>1200</v>
      </c>
      <c r="M1426" s="5"/>
    </row>
    <row r="1427" spans="1:13" ht="14.4" customHeight="1" x14ac:dyDescent="0.3">
      <c r="A1427" s="5">
        <v>1441</v>
      </c>
      <c r="B1427" s="5" t="s">
        <v>3035</v>
      </c>
      <c r="C1427" s="5" t="s">
        <v>3036</v>
      </c>
      <c r="D1427" s="5" t="s">
        <v>3036</v>
      </c>
      <c r="E1427" s="5" t="s">
        <v>3036</v>
      </c>
      <c r="F1427" s="5">
        <v>52544523</v>
      </c>
      <c r="G1427" s="5" t="s">
        <v>1016</v>
      </c>
      <c r="H1427" s="7">
        <v>45891</v>
      </c>
      <c r="I1427" s="7">
        <v>45891</v>
      </c>
      <c r="J1427" s="8">
        <v>150</v>
      </c>
      <c r="K1427" s="7">
        <v>45903</v>
      </c>
      <c r="L1427" s="5">
        <v>800</v>
      </c>
      <c r="M1427" s="5"/>
    </row>
    <row r="1428" spans="1:13" ht="14.4" customHeight="1" x14ac:dyDescent="0.3">
      <c r="A1428" s="5">
        <v>1442</v>
      </c>
      <c r="B1428" s="5" t="s">
        <v>3037</v>
      </c>
      <c r="C1428" s="5" t="s">
        <v>3038</v>
      </c>
      <c r="D1428" s="5" t="s">
        <v>3038</v>
      </c>
      <c r="E1428" s="5" t="s">
        <v>3038</v>
      </c>
      <c r="F1428" s="5">
        <v>58365447</v>
      </c>
      <c r="G1428" s="5" t="s">
        <v>1016</v>
      </c>
      <c r="H1428" s="7">
        <v>45891</v>
      </c>
      <c r="I1428" s="7">
        <v>45891</v>
      </c>
      <c r="J1428" s="8">
        <v>150</v>
      </c>
      <c r="K1428" s="7">
        <v>45903</v>
      </c>
      <c r="L1428" s="5">
        <v>770</v>
      </c>
      <c r="M1428" s="5"/>
    </row>
    <row r="1429" spans="1:13" ht="14.4" customHeight="1" x14ac:dyDescent="0.3">
      <c r="A1429" s="5">
        <v>1443</v>
      </c>
      <c r="B1429" s="5" t="s">
        <v>1229</v>
      </c>
      <c r="C1429" s="5" t="s">
        <v>1230</v>
      </c>
      <c r="D1429" s="5" t="s">
        <v>276</v>
      </c>
      <c r="E1429" s="5" t="s">
        <v>276</v>
      </c>
      <c r="F1429" s="5">
        <v>57470178</v>
      </c>
      <c r="G1429" s="5" t="s">
        <v>1024</v>
      </c>
      <c r="H1429" s="7">
        <v>45891</v>
      </c>
      <c r="I1429" s="7">
        <v>45891</v>
      </c>
      <c r="J1429" s="8">
        <v>150</v>
      </c>
      <c r="K1429" s="7">
        <v>45903</v>
      </c>
      <c r="L1429" s="5">
        <v>3100</v>
      </c>
      <c r="M1429" s="5"/>
    </row>
    <row r="1430" spans="1:13" ht="14.4" customHeight="1" x14ac:dyDescent="0.3">
      <c r="A1430" s="5">
        <v>1445</v>
      </c>
      <c r="B1430" s="5" t="s">
        <v>3040</v>
      </c>
      <c r="C1430" s="5" t="s">
        <v>3041</v>
      </c>
      <c r="D1430" s="5" t="s">
        <v>101</v>
      </c>
      <c r="E1430" s="5" t="s">
        <v>101</v>
      </c>
      <c r="F1430" s="5">
        <v>52574839</v>
      </c>
      <c r="G1430" s="5" t="s">
        <v>16</v>
      </c>
      <c r="H1430" s="7">
        <v>45894</v>
      </c>
      <c r="I1430" s="7">
        <v>45895</v>
      </c>
      <c r="J1430" s="8">
        <v>150</v>
      </c>
      <c r="K1430" s="7">
        <v>45903</v>
      </c>
      <c r="L1430" s="5" t="s">
        <v>1815</v>
      </c>
      <c r="M1430" s="5"/>
    </row>
    <row r="1431" spans="1:13" ht="14.4" customHeight="1" x14ac:dyDescent="0.3">
      <c r="A1431" s="5">
        <v>1446</v>
      </c>
      <c r="B1431" s="5" t="s">
        <v>296</v>
      </c>
      <c r="C1431" s="5" t="s">
        <v>2865</v>
      </c>
      <c r="D1431" s="5" t="s">
        <v>1116</v>
      </c>
      <c r="E1431" s="5" t="s">
        <v>1116</v>
      </c>
      <c r="F1431" s="5">
        <v>58009660</v>
      </c>
      <c r="G1431" s="5" t="s">
        <v>16</v>
      </c>
      <c r="H1431" s="7">
        <v>45894</v>
      </c>
      <c r="I1431" s="7">
        <v>45895</v>
      </c>
      <c r="J1431" s="8">
        <v>150</v>
      </c>
      <c r="K1431" s="7">
        <v>45903</v>
      </c>
      <c r="L1431" s="5" t="s">
        <v>1815</v>
      </c>
      <c r="M1431" s="5"/>
    </row>
    <row r="1432" spans="1:13" ht="14.4" customHeight="1" x14ac:dyDescent="0.3">
      <c r="A1432" s="5">
        <v>1448</v>
      </c>
      <c r="B1432" s="5" t="s">
        <v>2478</v>
      </c>
      <c r="C1432" s="5" t="s">
        <v>2479</v>
      </c>
      <c r="D1432" s="5" t="s">
        <v>807</v>
      </c>
      <c r="E1432" s="5" t="s">
        <v>807</v>
      </c>
      <c r="F1432" s="5">
        <v>57225676</v>
      </c>
      <c r="G1432" s="5" t="s">
        <v>16</v>
      </c>
      <c r="H1432" s="7">
        <v>45894</v>
      </c>
      <c r="I1432" s="7">
        <v>45895</v>
      </c>
      <c r="J1432" s="8">
        <v>150</v>
      </c>
      <c r="K1432" s="7">
        <v>45903</v>
      </c>
      <c r="L1432" s="5" t="s">
        <v>1815</v>
      </c>
      <c r="M1432" s="5"/>
    </row>
    <row r="1433" spans="1:13" ht="14.4" customHeight="1" x14ac:dyDescent="0.3">
      <c r="A1433" s="5">
        <v>1449</v>
      </c>
      <c r="B1433" s="5" t="s">
        <v>3044</v>
      </c>
      <c r="C1433" s="5" t="s">
        <v>3045</v>
      </c>
      <c r="D1433" s="5" t="s">
        <v>1739</v>
      </c>
      <c r="E1433" s="5" t="s">
        <v>1739</v>
      </c>
      <c r="F1433" s="5">
        <v>58220763</v>
      </c>
      <c r="G1433" s="5" t="s">
        <v>16</v>
      </c>
      <c r="H1433" s="7">
        <v>45894</v>
      </c>
      <c r="I1433" s="7">
        <v>45895</v>
      </c>
      <c r="J1433" s="8">
        <v>150</v>
      </c>
      <c r="K1433" s="7">
        <v>45903</v>
      </c>
      <c r="L1433" s="5" t="s">
        <v>1815</v>
      </c>
      <c r="M1433" s="5"/>
    </row>
    <row r="1434" spans="1:13" ht="14.4" customHeight="1" x14ac:dyDescent="0.3">
      <c r="A1434" s="5">
        <v>1450</v>
      </c>
      <c r="B1434" s="5" t="s">
        <v>1036</v>
      </c>
      <c r="C1434" s="5" t="s">
        <v>1037</v>
      </c>
      <c r="D1434" s="5" t="s">
        <v>2392</v>
      </c>
      <c r="E1434" s="5" t="s">
        <v>2392</v>
      </c>
      <c r="F1434" s="5">
        <v>57851354</v>
      </c>
      <c r="G1434" s="5" t="s">
        <v>16</v>
      </c>
      <c r="H1434" s="7">
        <v>45894</v>
      </c>
      <c r="I1434" s="7">
        <v>45895</v>
      </c>
      <c r="J1434" s="8">
        <v>150</v>
      </c>
      <c r="K1434" s="7">
        <v>45903</v>
      </c>
      <c r="L1434" s="5" t="s">
        <v>1815</v>
      </c>
      <c r="M1434" s="5"/>
    </row>
    <row r="1435" spans="1:13" ht="14.4" customHeight="1" x14ac:dyDescent="0.3">
      <c r="A1435" s="5">
        <v>1451</v>
      </c>
      <c r="B1435" s="5" t="s">
        <v>3046</v>
      </c>
      <c r="C1435" s="5" t="s">
        <v>3047</v>
      </c>
      <c r="D1435" s="5" t="s">
        <v>696</v>
      </c>
      <c r="E1435" s="5" t="s">
        <v>696</v>
      </c>
      <c r="F1435" s="5">
        <v>57660214</v>
      </c>
      <c r="G1435" s="5" t="s">
        <v>16</v>
      </c>
      <c r="H1435" s="7">
        <v>45894</v>
      </c>
      <c r="I1435" s="7">
        <v>45895</v>
      </c>
      <c r="J1435" s="8">
        <v>150</v>
      </c>
      <c r="K1435" s="7">
        <v>45903</v>
      </c>
      <c r="L1435" s="5" t="s">
        <v>1815</v>
      </c>
      <c r="M1435" s="5"/>
    </row>
    <row r="1436" spans="1:13" ht="14.4" customHeight="1" x14ac:dyDescent="0.3">
      <c r="A1436" s="5">
        <v>1452</v>
      </c>
      <c r="B1436" s="5" t="s">
        <v>3048</v>
      </c>
      <c r="C1436" s="5" t="s">
        <v>3049</v>
      </c>
      <c r="D1436" s="5" t="s">
        <v>2456</v>
      </c>
      <c r="E1436" s="5" t="s">
        <v>2456</v>
      </c>
      <c r="F1436" s="5" t="s">
        <v>3050</v>
      </c>
      <c r="G1436" s="5" t="s">
        <v>16</v>
      </c>
      <c r="H1436" s="7">
        <v>45894</v>
      </c>
      <c r="I1436" s="7">
        <v>45895</v>
      </c>
      <c r="J1436" s="8">
        <v>150</v>
      </c>
      <c r="K1436" s="7">
        <v>45903</v>
      </c>
      <c r="L1436" s="5" t="s">
        <v>1815</v>
      </c>
      <c r="M1436" s="5"/>
    </row>
    <row r="1437" spans="1:13" ht="14.4" customHeight="1" x14ac:dyDescent="0.3">
      <c r="A1437" s="5">
        <v>1453</v>
      </c>
      <c r="B1437" s="5" t="s">
        <v>3051</v>
      </c>
      <c r="C1437" s="5" t="s">
        <v>3052</v>
      </c>
      <c r="D1437" s="5" t="s">
        <v>41</v>
      </c>
      <c r="E1437" s="5" t="s">
        <v>41</v>
      </c>
      <c r="F1437" s="5">
        <v>57024558</v>
      </c>
      <c r="G1437" s="5" t="s">
        <v>16</v>
      </c>
      <c r="H1437" s="7">
        <v>45894</v>
      </c>
      <c r="I1437" s="7">
        <v>45895</v>
      </c>
      <c r="J1437" s="8">
        <v>150</v>
      </c>
      <c r="K1437" s="7">
        <v>45903</v>
      </c>
      <c r="L1437" s="5" t="s">
        <v>1815</v>
      </c>
      <c r="M1437" s="5"/>
    </row>
    <row r="1438" spans="1:13" ht="14.4" customHeight="1" x14ac:dyDescent="0.3">
      <c r="A1438" s="5">
        <v>1454</v>
      </c>
      <c r="B1438" s="5" t="s">
        <v>443</v>
      </c>
      <c r="C1438" s="5" t="s">
        <v>559</v>
      </c>
      <c r="D1438" s="5" t="s">
        <v>49</v>
      </c>
      <c r="E1438" s="5" t="s">
        <v>49</v>
      </c>
      <c r="F1438" s="5">
        <v>59778727</v>
      </c>
      <c r="G1438" s="5" t="s">
        <v>16</v>
      </c>
      <c r="H1438" s="7">
        <v>45894</v>
      </c>
      <c r="I1438" s="7">
        <v>45895</v>
      </c>
      <c r="J1438" s="8">
        <v>150</v>
      </c>
      <c r="K1438" s="7">
        <v>45903</v>
      </c>
      <c r="L1438" s="5" t="s">
        <v>1815</v>
      </c>
      <c r="M1438" s="5"/>
    </row>
    <row r="1439" spans="1:13" ht="14.4" customHeight="1" x14ac:dyDescent="0.3">
      <c r="A1439" s="5">
        <v>1455</v>
      </c>
      <c r="B1439" s="5" t="s">
        <v>3053</v>
      </c>
      <c r="C1439" s="5" t="s">
        <v>3054</v>
      </c>
      <c r="D1439" s="5" t="s">
        <v>23</v>
      </c>
      <c r="E1439" s="5" t="s">
        <v>23</v>
      </c>
      <c r="F1439" s="5">
        <v>58301890</v>
      </c>
      <c r="G1439" s="5" t="s">
        <v>16</v>
      </c>
      <c r="H1439" s="7">
        <v>45894</v>
      </c>
      <c r="I1439" s="7">
        <v>45895</v>
      </c>
      <c r="J1439" s="8">
        <v>150</v>
      </c>
      <c r="K1439" s="7">
        <v>45903</v>
      </c>
      <c r="L1439" s="5" t="s">
        <v>1815</v>
      </c>
      <c r="M1439" s="5"/>
    </row>
    <row r="1440" spans="1:13" ht="14.4" customHeight="1" x14ac:dyDescent="0.3">
      <c r="A1440" s="5">
        <v>1456</v>
      </c>
      <c r="B1440" s="5" t="s">
        <v>3055</v>
      </c>
      <c r="C1440" s="5" t="s">
        <v>3056</v>
      </c>
      <c r="D1440" s="29" t="s">
        <v>101</v>
      </c>
      <c r="E1440" s="29" t="s">
        <v>101</v>
      </c>
      <c r="F1440" s="29">
        <v>57782811</v>
      </c>
      <c r="G1440" s="29" t="s">
        <v>16</v>
      </c>
      <c r="H1440" s="11">
        <v>45894</v>
      </c>
      <c r="I1440" s="7">
        <v>45895</v>
      </c>
      <c r="J1440" s="8">
        <v>150</v>
      </c>
      <c r="K1440" s="7">
        <v>45903</v>
      </c>
      <c r="L1440" s="29" t="s">
        <v>1815</v>
      </c>
      <c r="M1440" s="29"/>
    </row>
    <row r="1441" spans="1:13" ht="14.4" customHeight="1" x14ac:dyDescent="0.3">
      <c r="A1441" s="5">
        <v>1457</v>
      </c>
      <c r="B1441" s="5" t="s">
        <v>3057</v>
      </c>
      <c r="C1441" s="5" t="s">
        <v>3058</v>
      </c>
      <c r="D1441" s="5" t="s">
        <v>501</v>
      </c>
      <c r="E1441" s="5" t="s">
        <v>501</v>
      </c>
      <c r="F1441" s="5">
        <v>59862046</v>
      </c>
      <c r="G1441" s="5" t="s">
        <v>16</v>
      </c>
      <c r="H1441" s="7">
        <v>45894</v>
      </c>
      <c r="I1441" s="7">
        <v>45895</v>
      </c>
      <c r="J1441" s="8">
        <v>150</v>
      </c>
      <c r="K1441" s="7">
        <v>45903</v>
      </c>
      <c r="L1441" s="5" t="s">
        <v>1815</v>
      </c>
      <c r="M1441" s="5"/>
    </row>
    <row r="1442" spans="1:13" ht="14.4" customHeight="1" x14ac:dyDescent="0.3">
      <c r="A1442" s="5">
        <v>1458</v>
      </c>
      <c r="B1442" s="5" t="s">
        <v>3059</v>
      </c>
      <c r="C1442" s="5" t="s">
        <v>3060</v>
      </c>
      <c r="D1442" s="5" t="s">
        <v>101</v>
      </c>
      <c r="E1442" s="5" t="s">
        <v>101</v>
      </c>
      <c r="F1442" s="5">
        <v>57755077</v>
      </c>
      <c r="G1442" s="5" t="s">
        <v>16</v>
      </c>
      <c r="H1442" s="7">
        <v>45894</v>
      </c>
      <c r="I1442" s="7">
        <v>45895</v>
      </c>
      <c r="J1442" s="8">
        <v>150</v>
      </c>
      <c r="K1442" s="7">
        <v>45903</v>
      </c>
      <c r="L1442" s="5" t="s">
        <v>1815</v>
      </c>
      <c r="M1442" s="5"/>
    </row>
    <row r="1443" spans="1:13" ht="14.4" customHeight="1" x14ac:dyDescent="0.3">
      <c r="A1443" s="5">
        <v>1459</v>
      </c>
      <c r="B1443" s="5" t="s">
        <v>88</v>
      </c>
      <c r="C1443" s="5" t="s">
        <v>2121</v>
      </c>
      <c r="D1443" s="5" t="s">
        <v>84</v>
      </c>
      <c r="E1443" s="5" t="s">
        <v>84</v>
      </c>
      <c r="F1443" s="5">
        <v>59019359</v>
      </c>
      <c r="G1443" s="5" t="s">
        <v>16</v>
      </c>
      <c r="H1443" s="7">
        <v>45894</v>
      </c>
      <c r="I1443" s="7">
        <v>45895</v>
      </c>
      <c r="J1443" s="8">
        <v>150</v>
      </c>
      <c r="K1443" s="7">
        <v>45903</v>
      </c>
      <c r="L1443" s="5" t="s">
        <v>1815</v>
      </c>
      <c r="M1443" s="5"/>
    </row>
    <row r="1444" spans="1:13" ht="14.4" customHeight="1" x14ac:dyDescent="0.3">
      <c r="A1444" s="5">
        <v>1460</v>
      </c>
      <c r="B1444" s="5" t="s">
        <v>3061</v>
      </c>
      <c r="C1444" s="5" t="s">
        <v>3062</v>
      </c>
      <c r="D1444" s="5" t="s">
        <v>84</v>
      </c>
      <c r="E1444" s="5" t="s">
        <v>84</v>
      </c>
      <c r="F1444" s="5">
        <v>57845153</v>
      </c>
      <c r="G1444" s="5" t="s">
        <v>16</v>
      </c>
      <c r="H1444" s="7">
        <v>45894</v>
      </c>
      <c r="I1444" s="7">
        <v>45895</v>
      </c>
      <c r="J1444" s="8">
        <v>150</v>
      </c>
      <c r="K1444" s="7">
        <v>45903</v>
      </c>
      <c r="L1444" s="5" t="s">
        <v>1815</v>
      </c>
      <c r="M1444" s="5"/>
    </row>
    <row r="1445" spans="1:13" ht="14.4" customHeight="1" x14ac:dyDescent="0.3">
      <c r="A1445" s="5">
        <v>1461</v>
      </c>
      <c r="B1445" s="5" t="s">
        <v>3063</v>
      </c>
      <c r="C1445" s="5" t="s">
        <v>3064</v>
      </c>
      <c r="D1445" s="5" t="s">
        <v>314</v>
      </c>
      <c r="E1445" s="5" t="s">
        <v>314</v>
      </c>
      <c r="F1445" s="5">
        <v>59830258</v>
      </c>
      <c r="G1445" s="5" t="s">
        <v>16</v>
      </c>
      <c r="H1445" s="7">
        <v>45894</v>
      </c>
      <c r="I1445" s="7">
        <v>45895</v>
      </c>
      <c r="J1445" s="8">
        <v>150</v>
      </c>
      <c r="K1445" s="7">
        <v>45903</v>
      </c>
      <c r="L1445" s="5" t="s">
        <v>1815</v>
      </c>
      <c r="M1445" s="5"/>
    </row>
    <row r="1446" spans="1:13" ht="14.4" customHeight="1" x14ac:dyDescent="0.3">
      <c r="A1446" s="5">
        <v>1462</v>
      </c>
      <c r="B1446" s="5" t="s">
        <v>3065</v>
      </c>
      <c r="C1446" s="5" t="s">
        <v>3066</v>
      </c>
      <c r="D1446" s="5" t="s">
        <v>634</v>
      </c>
      <c r="E1446" s="5" t="s">
        <v>634</v>
      </c>
      <c r="F1446" s="5">
        <v>58384617</v>
      </c>
      <c r="G1446" s="5" t="s">
        <v>16</v>
      </c>
      <c r="H1446" s="7">
        <v>45894</v>
      </c>
      <c r="I1446" s="7">
        <v>45895</v>
      </c>
      <c r="J1446" s="8">
        <v>150</v>
      </c>
      <c r="K1446" s="7">
        <v>45903</v>
      </c>
      <c r="L1446" s="5" t="s">
        <v>1815</v>
      </c>
      <c r="M1446" s="5"/>
    </row>
    <row r="1447" spans="1:13" ht="14.4" customHeight="1" x14ac:dyDescent="0.3">
      <c r="A1447" s="5">
        <v>1463</v>
      </c>
      <c r="B1447" s="5" t="s">
        <v>3067</v>
      </c>
      <c r="C1447" s="5" t="s">
        <v>3068</v>
      </c>
      <c r="D1447" s="5" t="s">
        <v>84</v>
      </c>
      <c r="E1447" s="5" t="s">
        <v>84</v>
      </c>
      <c r="F1447" s="5">
        <v>59211851</v>
      </c>
      <c r="G1447" s="5" t="s">
        <v>16</v>
      </c>
      <c r="H1447" s="7">
        <v>45894</v>
      </c>
      <c r="I1447" s="7">
        <v>45895</v>
      </c>
      <c r="J1447" s="8">
        <v>150</v>
      </c>
      <c r="K1447" s="7">
        <v>45903</v>
      </c>
      <c r="L1447" s="5" t="s">
        <v>1815</v>
      </c>
      <c r="M1447" s="5"/>
    </row>
    <row r="1448" spans="1:13" ht="14.4" customHeight="1" x14ac:dyDescent="0.3">
      <c r="A1448" s="5">
        <v>1464</v>
      </c>
      <c r="B1448" s="5" t="s">
        <v>3069</v>
      </c>
      <c r="C1448" s="5" t="s">
        <v>3070</v>
      </c>
      <c r="D1448" s="5" t="s">
        <v>41</v>
      </c>
      <c r="E1448" s="5" t="s">
        <v>41</v>
      </c>
      <c r="F1448" s="5">
        <v>54728876</v>
      </c>
      <c r="G1448" s="5" t="s">
        <v>16</v>
      </c>
      <c r="H1448" s="7">
        <v>45894</v>
      </c>
      <c r="I1448" s="7">
        <v>45895</v>
      </c>
      <c r="J1448" s="8">
        <v>150</v>
      </c>
      <c r="K1448" s="7">
        <v>45903</v>
      </c>
      <c r="L1448" s="5" t="s">
        <v>1815</v>
      </c>
      <c r="M1448" s="5"/>
    </row>
    <row r="1449" spans="1:13" ht="14.4" customHeight="1" x14ac:dyDescent="0.3">
      <c r="A1449" s="5">
        <v>1465</v>
      </c>
      <c r="B1449" s="5" t="s">
        <v>642</v>
      </c>
      <c r="C1449" s="5" t="s">
        <v>3071</v>
      </c>
      <c r="D1449" s="5" t="s">
        <v>49</v>
      </c>
      <c r="E1449" s="5" t="s">
        <v>49</v>
      </c>
      <c r="F1449" s="5">
        <v>57873113</v>
      </c>
      <c r="G1449" s="5" t="s">
        <v>16</v>
      </c>
      <c r="H1449" s="7">
        <v>45894</v>
      </c>
      <c r="I1449" s="7">
        <v>45895</v>
      </c>
      <c r="J1449" s="8">
        <v>150</v>
      </c>
      <c r="K1449" s="7">
        <v>45903</v>
      </c>
      <c r="L1449" s="5" t="s">
        <v>1815</v>
      </c>
      <c r="M1449" s="5"/>
    </row>
    <row r="1450" spans="1:13" ht="14.4" customHeight="1" x14ac:dyDescent="0.3">
      <c r="A1450" s="5">
        <v>1466</v>
      </c>
      <c r="B1450" s="5" t="s">
        <v>2875</v>
      </c>
      <c r="C1450" s="5" t="s">
        <v>3072</v>
      </c>
      <c r="D1450" s="5" t="s">
        <v>49</v>
      </c>
      <c r="E1450" s="5" t="s">
        <v>49</v>
      </c>
      <c r="F1450" s="5">
        <v>57608691</v>
      </c>
      <c r="G1450" s="5" t="s">
        <v>16</v>
      </c>
      <c r="H1450" s="7">
        <v>45894</v>
      </c>
      <c r="I1450" s="7">
        <v>45895</v>
      </c>
      <c r="J1450" s="8">
        <v>150</v>
      </c>
      <c r="K1450" s="7">
        <v>45903</v>
      </c>
      <c r="L1450" s="5" t="s">
        <v>1815</v>
      </c>
      <c r="M1450" s="5"/>
    </row>
    <row r="1451" spans="1:13" ht="14.4" customHeight="1" x14ac:dyDescent="0.3">
      <c r="A1451" s="5">
        <v>1467</v>
      </c>
      <c r="B1451" s="5" t="s">
        <v>3073</v>
      </c>
      <c r="C1451" s="5" t="s">
        <v>3074</v>
      </c>
      <c r="D1451" s="5" t="s">
        <v>63</v>
      </c>
      <c r="E1451" s="5" t="s">
        <v>63</v>
      </c>
      <c r="F1451" s="5">
        <v>55194720</v>
      </c>
      <c r="G1451" s="5" t="s">
        <v>16</v>
      </c>
      <c r="H1451" s="7">
        <v>45894</v>
      </c>
      <c r="I1451" s="7">
        <v>45895</v>
      </c>
      <c r="J1451" s="8">
        <v>150</v>
      </c>
      <c r="K1451" s="7">
        <v>45903</v>
      </c>
      <c r="L1451" s="5" t="s">
        <v>1815</v>
      </c>
      <c r="M1451" s="5"/>
    </row>
    <row r="1452" spans="1:13" ht="14.4" customHeight="1" x14ac:dyDescent="0.3">
      <c r="A1452" s="5">
        <v>1468</v>
      </c>
      <c r="B1452" s="5" t="s">
        <v>3075</v>
      </c>
      <c r="C1452" s="5" t="s">
        <v>2826</v>
      </c>
      <c r="D1452" s="5" t="s">
        <v>2743</v>
      </c>
      <c r="E1452" s="5" t="s">
        <v>2743</v>
      </c>
      <c r="F1452" s="5">
        <v>59608817</v>
      </c>
      <c r="G1452" s="5" t="s">
        <v>16</v>
      </c>
      <c r="H1452" s="7">
        <v>45894</v>
      </c>
      <c r="I1452" s="7">
        <v>45895</v>
      </c>
      <c r="J1452" s="8">
        <v>150</v>
      </c>
      <c r="K1452" s="7">
        <v>45903</v>
      </c>
      <c r="L1452" s="5" t="s">
        <v>1815</v>
      </c>
      <c r="M1452" s="5"/>
    </row>
    <row r="1453" spans="1:13" ht="28.95" customHeight="1" x14ac:dyDescent="0.3">
      <c r="A1453" s="5">
        <v>1469</v>
      </c>
      <c r="B1453" s="5" t="s">
        <v>3076</v>
      </c>
      <c r="C1453" s="5" t="s">
        <v>3077</v>
      </c>
      <c r="D1453" s="5" t="s">
        <v>144</v>
      </c>
      <c r="E1453" s="5" t="s">
        <v>144</v>
      </c>
      <c r="F1453" s="5">
        <v>58117663</v>
      </c>
      <c r="G1453" s="5" t="s">
        <v>1567</v>
      </c>
      <c r="H1453" s="7">
        <v>45895</v>
      </c>
      <c r="I1453" s="7">
        <v>45895</v>
      </c>
      <c r="J1453" s="8">
        <v>150</v>
      </c>
      <c r="K1453" s="7">
        <v>45903</v>
      </c>
      <c r="L1453" s="5">
        <v>0</v>
      </c>
      <c r="M1453" s="5"/>
    </row>
    <row r="1454" spans="1:13" ht="14.4" customHeight="1" x14ac:dyDescent="0.3">
      <c r="A1454" s="5">
        <v>1471</v>
      </c>
      <c r="B1454" s="47" t="s">
        <v>3080</v>
      </c>
      <c r="C1454" s="5" t="s">
        <v>3081</v>
      </c>
      <c r="D1454" s="5" t="s">
        <v>84</v>
      </c>
      <c r="E1454" s="5" t="s">
        <v>84</v>
      </c>
      <c r="F1454" s="5">
        <v>58148400</v>
      </c>
      <c r="G1454" s="5" t="s">
        <v>1024</v>
      </c>
      <c r="H1454" s="7">
        <v>45894</v>
      </c>
      <c r="I1454" s="7">
        <v>45895</v>
      </c>
      <c r="J1454" s="8">
        <v>150</v>
      </c>
      <c r="K1454" s="7">
        <v>45903</v>
      </c>
      <c r="L1454" s="47">
        <v>1500</v>
      </c>
      <c r="M1454" s="5"/>
    </row>
    <row r="1455" spans="1:13" ht="14.4" customHeight="1" x14ac:dyDescent="0.3">
      <c r="A1455" s="5">
        <v>1472</v>
      </c>
      <c r="B1455" s="47" t="s">
        <v>1229</v>
      </c>
      <c r="C1455" s="5" t="s">
        <v>1230</v>
      </c>
      <c r="D1455" s="5" t="s">
        <v>276</v>
      </c>
      <c r="E1455" s="5" t="s">
        <v>276</v>
      </c>
      <c r="F1455" s="5">
        <v>57470178</v>
      </c>
      <c r="G1455" s="5" t="s">
        <v>1024</v>
      </c>
      <c r="H1455" s="7">
        <v>45894</v>
      </c>
      <c r="I1455" s="7">
        <v>45895</v>
      </c>
      <c r="J1455" s="8">
        <v>150</v>
      </c>
      <c r="K1455" s="7">
        <v>45903</v>
      </c>
      <c r="L1455" s="47">
        <v>2000</v>
      </c>
      <c r="M1455" s="5"/>
    </row>
    <row r="1456" spans="1:13" ht="14.4" customHeight="1" x14ac:dyDescent="0.3">
      <c r="A1456" s="5">
        <v>1473</v>
      </c>
      <c r="B1456" s="5" t="s">
        <v>3014</v>
      </c>
      <c r="C1456" s="5" t="s">
        <v>3295</v>
      </c>
      <c r="D1456" s="5" t="s">
        <v>69</v>
      </c>
      <c r="E1456" s="5" t="s">
        <v>69</v>
      </c>
      <c r="F1456" s="5">
        <v>57436998</v>
      </c>
      <c r="G1456" s="5" t="s">
        <v>1024</v>
      </c>
      <c r="H1456" s="7">
        <v>45894</v>
      </c>
      <c r="I1456" s="7">
        <v>45895</v>
      </c>
      <c r="J1456" s="8">
        <v>150</v>
      </c>
      <c r="K1456" s="7">
        <v>45903</v>
      </c>
      <c r="L1456" s="5">
        <v>3000</v>
      </c>
      <c r="M1456" s="5"/>
    </row>
    <row r="1457" spans="1:13" ht="14.4" customHeight="1" x14ac:dyDescent="0.3">
      <c r="A1457" s="5">
        <v>1474</v>
      </c>
      <c r="B1457" s="5" t="s">
        <v>3083</v>
      </c>
      <c r="C1457" s="5" t="s">
        <v>3084</v>
      </c>
      <c r="D1457" s="5" t="s">
        <v>1643</v>
      </c>
      <c r="E1457" s="5" t="s">
        <v>1643</v>
      </c>
      <c r="F1457" s="5">
        <v>57624823</v>
      </c>
      <c r="G1457" s="5" t="s">
        <v>1024</v>
      </c>
      <c r="H1457" s="7">
        <v>45894</v>
      </c>
      <c r="I1457" s="7">
        <v>45895</v>
      </c>
      <c r="J1457" s="8">
        <v>150</v>
      </c>
      <c r="K1457" s="7">
        <v>45903</v>
      </c>
      <c r="L1457" s="5">
        <v>2700</v>
      </c>
      <c r="M1457" s="5"/>
    </row>
    <row r="1458" spans="1:13" ht="14.4" customHeight="1" x14ac:dyDescent="0.3">
      <c r="A1458" s="5">
        <v>1475</v>
      </c>
      <c r="B1458" s="5" t="s">
        <v>3014</v>
      </c>
      <c r="C1458" s="5" t="s">
        <v>3296</v>
      </c>
      <c r="D1458" s="5" t="s">
        <v>69</v>
      </c>
      <c r="E1458" s="5" t="s">
        <v>69</v>
      </c>
      <c r="F1458" s="5">
        <v>57436998</v>
      </c>
      <c r="G1458" s="5" t="s">
        <v>1024</v>
      </c>
      <c r="H1458" s="7">
        <v>45894</v>
      </c>
      <c r="I1458" s="7">
        <v>45895</v>
      </c>
      <c r="J1458" s="8">
        <v>150</v>
      </c>
      <c r="K1458" s="7">
        <v>45903</v>
      </c>
      <c r="L1458" s="5"/>
      <c r="M1458" s="5"/>
    </row>
    <row r="1459" spans="1:13" ht="14.4" customHeight="1" x14ac:dyDescent="0.3">
      <c r="A1459" s="5">
        <v>1476</v>
      </c>
      <c r="B1459" s="5" t="s">
        <v>3085</v>
      </c>
      <c r="C1459" s="5" t="s">
        <v>3086</v>
      </c>
      <c r="D1459" s="5" t="s">
        <v>3086</v>
      </c>
      <c r="E1459" s="5" t="s">
        <v>2926</v>
      </c>
      <c r="F1459" s="5">
        <v>57316777</v>
      </c>
      <c r="G1459" s="5" t="s">
        <v>3082</v>
      </c>
      <c r="H1459" s="7">
        <v>45895</v>
      </c>
      <c r="I1459" s="7">
        <v>45897</v>
      </c>
      <c r="J1459" s="8">
        <v>100</v>
      </c>
      <c r="K1459" s="7">
        <v>45903</v>
      </c>
      <c r="L1459" s="5"/>
      <c r="M1459" s="5"/>
    </row>
    <row r="1460" spans="1:13" ht="14.4" customHeight="1" x14ac:dyDescent="0.3">
      <c r="A1460" s="5">
        <v>1477</v>
      </c>
      <c r="B1460" s="5" t="s">
        <v>3087</v>
      </c>
      <c r="C1460" s="5" t="s">
        <v>3086</v>
      </c>
      <c r="D1460" s="5" t="s">
        <v>3086</v>
      </c>
      <c r="E1460" s="5" t="s">
        <v>2926</v>
      </c>
      <c r="F1460" s="5">
        <v>57536636</v>
      </c>
      <c r="G1460" s="5" t="s">
        <v>3082</v>
      </c>
      <c r="H1460" s="7">
        <v>45895</v>
      </c>
      <c r="I1460" s="7">
        <v>45897</v>
      </c>
      <c r="J1460" s="8">
        <v>100</v>
      </c>
      <c r="K1460" s="7">
        <v>45903</v>
      </c>
      <c r="L1460" s="5"/>
      <c r="M1460" s="5"/>
    </row>
    <row r="1461" spans="1:13" ht="14.4" customHeight="1" x14ac:dyDescent="0.3">
      <c r="A1461" s="5">
        <v>1478</v>
      </c>
      <c r="B1461" s="5" t="s">
        <v>3088</v>
      </c>
      <c r="C1461" s="5" t="s">
        <v>3086</v>
      </c>
      <c r="D1461" s="5" t="s">
        <v>3086</v>
      </c>
      <c r="E1461" s="5" t="s">
        <v>2926</v>
      </c>
      <c r="F1461" s="5">
        <v>57791633</v>
      </c>
      <c r="G1461" s="5" t="s">
        <v>3082</v>
      </c>
      <c r="H1461" s="7">
        <v>45895</v>
      </c>
      <c r="I1461" s="7">
        <v>45897</v>
      </c>
      <c r="J1461" s="8">
        <v>100</v>
      </c>
      <c r="K1461" s="7">
        <v>45903</v>
      </c>
      <c r="L1461" s="5"/>
      <c r="M1461" s="5"/>
    </row>
    <row r="1462" spans="1:13" ht="14.4" customHeight="1" x14ac:dyDescent="0.3">
      <c r="A1462" s="5">
        <v>1444</v>
      </c>
      <c r="B1462" s="5" t="s">
        <v>733</v>
      </c>
      <c r="C1462" s="5" t="s">
        <v>3039</v>
      </c>
      <c r="D1462" s="5" t="s">
        <v>226</v>
      </c>
      <c r="E1462" s="5" t="s">
        <v>226</v>
      </c>
      <c r="F1462" s="5">
        <v>57718586</v>
      </c>
      <c r="G1462" s="5" t="s">
        <v>16</v>
      </c>
      <c r="H1462" s="7">
        <v>45894</v>
      </c>
      <c r="I1462" s="7">
        <v>45898</v>
      </c>
      <c r="J1462" s="8">
        <v>150</v>
      </c>
      <c r="K1462" s="7">
        <v>45903</v>
      </c>
      <c r="L1462" s="5" t="s">
        <v>1815</v>
      </c>
      <c r="M1462" s="5"/>
    </row>
    <row r="1463" spans="1:13" ht="14.4" customHeight="1" x14ac:dyDescent="0.3">
      <c r="A1463" s="5">
        <v>1447</v>
      </c>
      <c r="B1463" s="5" t="s">
        <v>3042</v>
      </c>
      <c r="C1463" s="5" t="s">
        <v>3043</v>
      </c>
      <c r="D1463" s="5" t="s">
        <v>1369</v>
      </c>
      <c r="E1463" s="5" t="s">
        <v>1369</v>
      </c>
      <c r="F1463" s="5">
        <v>58138992</v>
      </c>
      <c r="G1463" s="5" t="s">
        <v>16</v>
      </c>
      <c r="H1463" s="7">
        <v>45894</v>
      </c>
      <c r="I1463" s="7">
        <v>45898</v>
      </c>
      <c r="J1463" s="8">
        <v>150</v>
      </c>
      <c r="K1463" s="7">
        <v>45903</v>
      </c>
      <c r="L1463" s="5" t="s">
        <v>1815</v>
      </c>
      <c r="M1463" s="5"/>
    </row>
    <row r="1464" spans="1:13" ht="14.4" customHeight="1" x14ac:dyDescent="0.3">
      <c r="A1464" s="5">
        <v>1479</v>
      </c>
      <c r="B1464" s="5" t="s">
        <v>3089</v>
      </c>
      <c r="C1464" s="5" t="s">
        <v>3090</v>
      </c>
      <c r="D1464" s="5" t="s">
        <v>3090</v>
      </c>
      <c r="E1464" s="5" t="s">
        <v>3343</v>
      </c>
      <c r="F1464" s="5">
        <v>58383805</v>
      </c>
      <c r="G1464" s="5" t="s">
        <v>3082</v>
      </c>
      <c r="H1464" s="7">
        <v>45895</v>
      </c>
      <c r="I1464" s="7">
        <v>45898</v>
      </c>
      <c r="J1464" s="8">
        <v>100</v>
      </c>
      <c r="K1464" s="7">
        <v>45903</v>
      </c>
      <c r="L1464" s="5"/>
      <c r="M1464" s="5"/>
    </row>
    <row r="1465" spans="1:13" ht="14.4" customHeight="1" x14ac:dyDescent="0.3">
      <c r="A1465" s="5">
        <v>1480</v>
      </c>
      <c r="B1465" s="5" t="s">
        <v>3091</v>
      </c>
      <c r="C1465" s="5" t="s">
        <v>3092</v>
      </c>
      <c r="D1465" s="5" t="s">
        <v>3092</v>
      </c>
      <c r="E1465" s="5" t="s">
        <v>3336</v>
      </c>
      <c r="F1465" s="5">
        <v>57665656</v>
      </c>
      <c r="G1465" s="5" t="s">
        <v>3082</v>
      </c>
      <c r="H1465" s="7">
        <v>45895</v>
      </c>
      <c r="I1465" s="7">
        <v>45898</v>
      </c>
      <c r="J1465" s="8">
        <v>100</v>
      </c>
      <c r="K1465" s="7">
        <v>45903</v>
      </c>
      <c r="L1465" s="5"/>
      <c r="M1465" s="5"/>
    </row>
    <row r="1466" spans="1:13" ht="14.4" customHeight="1" x14ac:dyDescent="0.3">
      <c r="A1466" s="5">
        <v>1481</v>
      </c>
      <c r="B1466" s="5" t="s">
        <v>3093</v>
      </c>
      <c r="C1466" s="5" t="s">
        <v>3094</v>
      </c>
      <c r="D1466" s="5" t="s">
        <v>3094</v>
      </c>
      <c r="E1466" s="5" t="s">
        <v>360</v>
      </c>
      <c r="F1466" s="5">
        <v>57119590</v>
      </c>
      <c r="G1466" s="5" t="s">
        <v>3082</v>
      </c>
      <c r="H1466" s="7">
        <v>45895</v>
      </c>
      <c r="I1466" s="7">
        <v>45898</v>
      </c>
      <c r="J1466" s="8">
        <v>100</v>
      </c>
      <c r="K1466" s="7">
        <v>45903</v>
      </c>
      <c r="L1466" s="5"/>
      <c r="M1466" s="5"/>
    </row>
    <row r="1467" spans="1:13" ht="28.95" customHeight="1" x14ac:dyDescent="0.3">
      <c r="A1467" s="5">
        <v>1482</v>
      </c>
      <c r="B1467" s="5" t="s">
        <v>3095</v>
      </c>
      <c r="C1467" s="5" t="s">
        <v>3096</v>
      </c>
      <c r="D1467" s="5" t="s">
        <v>3096</v>
      </c>
      <c r="E1467" s="5" t="s">
        <v>3347</v>
      </c>
      <c r="F1467" s="5">
        <v>57911084</v>
      </c>
      <c r="G1467" s="5" t="s">
        <v>3082</v>
      </c>
      <c r="H1467" s="7">
        <v>45895</v>
      </c>
      <c r="I1467" s="7">
        <v>45898</v>
      </c>
      <c r="J1467" s="8">
        <v>100</v>
      </c>
      <c r="K1467" s="7">
        <v>45903</v>
      </c>
      <c r="L1467" s="5"/>
      <c r="M1467" s="5"/>
    </row>
    <row r="1468" spans="1:13" ht="14.4" customHeight="1" x14ac:dyDescent="0.3">
      <c r="A1468" s="5">
        <v>1483</v>
      </c>
      <c r="B1468" s="5" t="s">
        <v>3097</v>
      </c>
      <c r="C1468" s="5" t="s">
        <v>3098</v>
      </c>
      <c r="D1468" s="5" t="s">
        <v>3098</v>
      </c>
      <c r="E1468" s="5" t="s">
        <v>3346</v>
      </c>
      <c r="F1468" s="5">
        <v>59149684</v>
      </c>
      <c r="G1468" s="5" t="s">
        <v>3082</v>
      </c>
      <c r="H1468" s="7">
        <v>45895</v>
      </c>
      <c r="I1468" s="7">
        <v>45898</v>
      </c>
      <c r="J1468" s="8">
        <v>100</v>
      </c>
      <c r="K1468" s="7">
        <v>45903</v>
      </c>
      <c r="L1468" s="5"/>
      <c r="M1468" s="5"/>
    </row>
    <row r="1469" spans="1:13" ht="28.95" customHeight="1" x14ac:dyDescent="0.3">
      <c r="A1469" s="5">
        <v>1484</v>
      </c>
      <c r="B1469" s="5" t="s">
        <v>3099</v>
      </c>
      <c r="C1469" s="5" t="s">
        <v>3100</v>
      </c>
      <c r="D1469" s="5" t="s">
        <v>3100</v>
      </c>
      <c r="E1469" s="5" t="s">
        <v>3331</v>
      </c>
      <c r="F1469" s="5">
        <v>57991850</v>
      </c>
      <c r="G1469" s="5" t="s">
        <v>3082</v>
      </c>
      <c r="H1469" s="7">
        <v>45895</v>
      </c>
      <c r="I1469" s="7">
        <v>45898</v>
      </c>
      <c r="J1469" s="8">
        <v>100</v>
      </c>
      <c r="K1469" s="7">
        <v>45903</v>
      </c>
      <c r="L1469" s="5"/>
      <c r="M1469" s="5"/>
    </row>
    <row r="1470" spans="1:13" ht="14.4" customHeight="1" x14ac:dyDescent="0.3">
      <c r="A1470" s="5">
        <v>1485</v>
      </c>
      <c r="B1470" s="5" t="s">
        <v>3101</v>
      </c>
      <c r="C1470" s="5" t="s">
        <v>3100</v>
      </c>
      <c r="D1470" s="5" t="s">
        <v>3100</v>
      </c>
      <c r="E1470" s="5" t="s">
        <v>3331</v>
      </c>
      <c r="F1470" s="5">
        <v>57760368</v>
      </c>
      <c r="G1470" s="5" t="s">
        <v>3082</v>
      </c>
      <c r="H1470" s="7">
        <v>45895</v>
      </c>
      <c r="I1470" s="7">
        <v>45898</v>
      </c>
      <c r="J1470" s="8">
        <v>100</v>
      </c>
      <c r="K1470" s="7">
        <v>45903</v>
      </c>
      <c r="L1470" s="5"/>
    </row>
    <row r="1471" spans="1:13" ht="14.4" customHeight="1" x14ac:dyDescent="0.3">
      <c r="A1471" s="5">
        <v>1486</v>
      </c>
      <c r="B1471" s="5" t="s">
        <v>3102</v>
      </c>
      <c r="C1471" s="5" t="s">
        <v>3103</v>
      </c>
      <c r="D1471" s="5" t="s">
        <v>3103</v>
      </c>
      <c r="E1471" s="5" t="s">
        <v>3321</v>
      </c>
      <c r="F1471" s="5">
        <v>57963575</v>
      </c>
      <c r="G1471" s="5" t="s">
        <v>3082</v>
      </c>
      <c r="H1471" s="7">
        <v>45895</v>
      </c>
      <c r="I1471" s="7">
        <v>45898</v>
      </c>
      <c r="J1471" s="8">
        <v>100</v>
      </c>
      <c r="K1471" s="7">
        <v>45903</v>
      </c>
      <c r="L1471" s="5"/>
    </row>
    <row r="1472" spans="1:13" ht="14.4" customHeight="1" x14ac:dyDescent="0.3">
      <c r="A1472" s="5">
        <v>1487</v>
      </c>
      <c r="B1472" s="5" t="s">
        <v>3104</v>
      </c>
      <c r="C1472" s="5" t="s">
        <v>3103</v>
      </c>
      <c r="D1472" s="5" t="s">
        <v>3103</v>
      </c>
      <c r="E1472" s="5" t="s">
        <v>3321</v>
      </c>
      <c r="F1472" s="5">
        <v>57858859</v>
      </c>
      <c r="G1472" s="5" t="s">
        <v>3082</v>
      </c>
      <c r="H1472" s="7">
        <v>45895</v>
      </c>
      <c r="I1472" s="7">
        <v>45898</v>
      </c>
      <c r="J1472" s="8">
        <v>100</v>
      </c>
      <c r="K1472" s="7">
        <v>45903</v>
      </c>
      <c r="L1472" s="5"/>
      <c r="M1472" s="5"/>
    </row>
    <row r="1473" spans="1:18" ht="14.4" customHeight="1" x14ac:dyDescent="0.3">
      <c r="A1473" s="5">
        <v>1488</v>
      </c>
      <c r="B1473" s="5" t="s">
        <v>3105</v>
      </c>
      <c r="C1473" s="5" t="s">
        <v>3103</v>
      </c>
      <c r="D1473" s="5" t="s">
        <v>3103</v>
      </c>
      <c r="E1473" s="5" t="s">
        <v>3321</v>
      </c>
      <c r="F1473" s="5">
        <v>58895296</v>
      </c>
      <c r="G1473" s="5" t="s">
        <v>3082</v>
      </c>
      <c r="H1473" s="7">
        <v>45895</v>
      </c>
      <c r="I1473" s="7">
        <v>45898</v>
      </c>
      <c r="J1473" s="8">
        <v>100</v>
      </c>
      <c r="K1473" s="7">
        <v>45903</v>
      </c>
      <c r="L1473" s="5"/>
      <c r="M1473" s="5"/>
    </row>
    <row r="1474" spans="1:18" ht="14.4" customHeight="1" x14ac:dyDescent="0.3">
      <c r="A1474" s="5">
        <v>1489</v>
      </c>
      <c r="B1474" s="5" t="s">
        <v>3106</v>
      </c>
      <c r="C1474" s="5" t="s">
        <v>3103</v>
      </c>
      <c r="D1474" s="5" t="s">
        <v>3103</v>
      </c>
      <c r="E1474" s="5" t="s">
        <v>3321</v>
      </c>
      <c r="F1474" s="5">
        <v>54924921</v>
      </c>
      <c r="G1474" s="5" t="s">
        <v>3082</v>
      </c>
      <c r="H1474" s="7">
        <v>45895</v>
      </c>
      <c r="I1474" s="7">
        <v>45898</v>
      </c>
      <c r="J1474" s="8">
        <v>100</v>
      </c>
      <c r="K1474" s="7">
        <v>45903</v>
      </c>
      <c r="L1474" s="5"/>
      <c r="M1474" s="5"/>
    </row>
    <row r="1475" spans="1:18" ht="14.4" customHeight="1" x14ac:dyDescent="0.3">
      <c r="A1475" s="5">
        <v>1490</v>
      </c>
      <c r="B1475" s="5" t="s">
        <v>3107</v>
      </c>
      <c r="C1475" s="5" t="s">
        <v>3103</v>
      </c>
      <c r="D1475" s="5" t="s">
        <v>3103</v>
      </c>
      <c r="E1475" s="5" t="s">
        <v>3321</v>
      </c>
      <c r="F1475" s="5">
        <v>59151470</v>
      </c>
      <c r="G1475" s="5" t="s">
        <v>3082</v>
      </c>
      <c r="H1475" s="7">
        <v>45895</v>
      </c>
      <c r="I1475" s="7">
        <v>45898</v>
      </c>
      <c r="J1475" s="8">
        <v>100</v>
      </c>
      <c r="K1475" s="7">
        <v>45903</v>
      </c>
      <c r="L1475" s="5"/>
      <c r="M1475" s="5"/>
    </row>
    <row r="1476" spans="1:18" ht="14.4" customHeight="1" x14ac:dyDescent="0.3">
      <c r="A1476" s="5">
        <v>1491</v>
      </c>
      <c r="B1476" s="5" t="s">
        <v>3108</v>
      </c>
      <c r="C1476" s="5" t="s">
        <v>3109</v>
      </c>
      <c r="D1476" s="5" t="s">
        <v>3109</v>
      </c>
      <c r="E1476" s="5" t="s">
        <v>3324</v>
      </c>
      <c r="F1476" s="5">
        <v>59271093</v>
      </c>
      <c r="G1476" s="5" t="s">
        <v>3082</v>
      </c>
      <c r="H1476" s="7">
        <v>45895</v>
      </c>
      <c r="I1476" s="7">
        <v>45898</v>
      </c>
      <c r="J1476" s="8">
        <v>100</v>
      </c>
      <c r="K1476" s="7">
        <v>45903</v>
      </c>
      <c r="L1476" s="5"/>
      <c r="M1476" s="36"/>
    </row>
    <row r="1477" spans="1:18" ht="14.4" customHeight="1" x14ac:dyDescent="0.3">
      <c r="A1477" s="5">
        <v>1492</v>
      </c>
      <c r="B1477" s="5" t="s">
        <v>3110</v>
      </c>
      <c r="C1477" s="5" t="s">
        <v>3111</v>
      </c>
      <c r="D1477" s="5" t="s">
        <v>3111</v>
      </c>
      <c r="E1477" s="5" t="s">
        <v>3339</v>
      </c>
      <c r="F1477" s="5">
        <v>57884969</v>
      </c>
      <c r="G1477" s="5" t="s">
        <v>3082</v>
      </c>
      <c r="H1477" s="7">
        <v>45895</v>
      </c>
      <c r="I1477" s="7">
        <v>45898</v>
      </c>
      <c r="J1477" s="8">
        <v>100</v>
      </c>
      <c r="K1477" s="7">
        <v>45903</v>
      </c>
      <c r="L1477" s="5"/>
      <c r="P1477" s="23"/>
      <c r="Q1477" s="23"/>
      <c r="R1477" s="23"/>
    </row>
    <row r="1478" spans="1:18" ht="14.4" customHeight="1" x14ac:dyDescent="0.3">
      <c r="A1478" s="5">
        <v>1493</v>
      </c>
      <c r="B1478" s="5" t="s">
        <v>3112</v>
      </c>
      <c r="C1478" s="5" t="s">
        <v>3113</v>
      </c>
      <c r="D1478" s="5" t="s">
        <v>3113</v>
      </c>
      <c r="E1478" s="5" t="s">
        <v>3319</v>
      </c>
      <c r="F1478" s="5">
        <v>54507613</v>
      </c>
      <c r="G1478" s="5" t="s">
        <v>3082</v>
      </c>
      <c r="H1478" s="7">
        <v>45895</v>
      </c>
      <c r="I1478" s="7">
        <v>45898</v>
      </c>
      <c r="J1478" s="8">
        <v>100</v>
      </c>
      <c r="K1478" s="7">
        <v>45903</v>
      </c>
      <c r="L1478" s="5"/>
      <c r="P1478" s="23"/>
      <c r="Q1478" s="23"/>
      <c r="R1478" s="23"/>
    </row>
    <row r="1479" spans="1:18" ht="14.4" customHeight="1" x14ac:dyDescent="0.3">
      <c r="A1479" s="5">
        <v>1494</v>
      </c>
      <c r="B1479" s="5" t="s">
        <v>3114</v>
      </c>
      <c r="C1479" s="5" t="s">
        <v>3115</v>
      </c>
      <c r="D1479" s="5" t="s">
        <v>3115</v>
      </c>
      <c r="E1479" s="5" t="s">
        <v>3318</v>
      </c>
      <c r="F1479" s="5">
        <v>59896800</v>
      </c>
      <c r="G1479" s="5" t="s">
        <v>3082</v>
      </c>
      <c r="H1479" s="7">
        <v>45895</v>
      </c>
      <c r="I1479" s="7">
        <v>45898</v>
      </c>
      <c r="J1479" s="8">
        <v>100</v>
      </c>
      <c r="K1479" s="7">
        <v>45903</v>
      </c>
      <c r="L1479" s="5"/>
      <c r="P1479" s="23"/>
      <c r="Q1479" s="23"/>
      <c r="R1479" s="23"/>
    </row>
    <row r="1480" spans="1:18" ht="14.4" customHeight="1" x14ac:dyDescent="0.3">
      <c r="A1480" s="5">
        <v>1496</v>
      </c>
      <c r="B1480" s="5" t="s">
        <v>3118</v>
      </c>
      <c r="C1480" s="5" t="s">
        <v>3119</v>
      </c>
      <c r="D1480" s="5" t="s">
        <v>3119</v>
      </c>
      <c r="E1480" s="5" t="s">
        <v>3325</v>
      </c>
      <c r="F1480" s="5">
        <v>58023048</v>
      </c>
      <c r="G1480" s="5" t="s">
        <v>3082</v>
      </c>
      <c r="H1480" s="7">
        <v>45895</v>
      </c>
      <c r="I1480" s="7">
        <v>45898</v>
      </c>
      <c r="J1480" s="8">
        <v>100</v>
      </c>
      <c r="K1480" s="7">
        <v>45903</v>
      </c>
      <c r="L1480" s="5"/>
      <c r="P1480" s="23"/>
      <c r="Q1480" s="23"/>
      <c r="R1480" s="23"/>
    </row>
    <row r="1481" spans="1:18" ht="14.4" customHeight="1" x14ac:dyDescent="0.3">
      <c r="A1481" s="5">
        <v>1497</v>
      </c>
      <c r="B1481" s="5" t="s">
        <v>3120</v>
      </c>
      <c r="C1481" s="5" t="s">
        <v>3119</v>
      </c>
      <c r="D1481" s="5" t="s">
        <v>3119</v>
      </c>
      <c r="E1481" s="5" t="s">
        <v>3325</v>
      </c>
      <c r="F1481" s="5">
        <v>58023048</v>
      </c>
      <c r="G1481" s="5" t="s">
        <v>3082</v>
      </c>
      <c r="H1481" s="7">
        <v>45895</v>
      </c>
      <c r="I1481" s="7">
        <v>45898</v>
      </c>
      <c r="J1481" s="8">
        <v>100</v>
      </c>
      <c r="K1481" s="7">
        <v>45903</v>
      </c>
      <c r="L1481" s="5"/>
      <c r="P1481" s="23"/>
      <c r="Q1481" s="23"/>
      <c r="R1481" s="23"/>
    </row>
    <row r="1482" spans="1:18" ht="14.4" customHeight="1" x14ac:dyDescent="0.3">
      <c r="A1482" s="5">
        <v>1498</v>
      </c>
      <c r="B1482" s="5" t="s">
        <v>3121</v>
      </c>
      <c r="C1482" s="5" t="s">
        <v>3122</v>
      </c>
      <c r="D1482" s="5" t="s">
        <v>3122</v>
      </c>
      <c r="E1482" s="5" t="s">
        <v>3310</v>
      </c>
      <c r="F1482" s="5">
        <v>57263973</v>
      </c>
      <c r="G1482" s="5" t="s">
        <v>3082</v>
      </c>
      <c r="H1482" s="7">
        <v>45895</v>
      </c>
      <c r="I1482" s="7">
        <v>45898</v>
      </c>
      <c r="J1482" s="8">
        <v>100</v>
      </c>
      <c r="K1482" s="7">
        <v>45903</v>
      </c>
      <c r="L1482" s="5"/>
      <c r="P1482" s="23"/>
      <c r="Q1482" s="23"/>
      <c r="R1482" s="23"/>
    </row>
    <row r="1483" spans="1:18" ht="14.4" customHeight="1" x14ac:dyDescent="0.3">
      <c r="A1483" s="5">
        <v>1499</v>
      </c>
      <c r="B1483" s="5" t="s">
        <v>3123</v>
      </c>
      <c r="C1483" s="5" t="s">
        <v>3122</v>
      </c>
      <c r="D1483" s="5" t="s">
        <v>3122</v>
      </c>
      <c r="E1483" s="5" t="s">
        <v>3310</v>
      </c>
      <c r="F1483" s="5">
        <v>57839194</v>
      </c>
      <c r="G1483" s="5" t="s">
        <v>3082</v>
      </c>
      <c r="H1483" s="7">
        <v>45895</v>
      </c>
      <c r="I1483" s="7">
        <v>45898</v>
      </c>
      <c r="J1483" s="8">
        <v>100</v>
      </c>
      <c r="K1483" s="7">
        <v>45903</v>
      </c>
      <c r="L1483" s="5"/>
      <c r="P1483" s="23"/>
      <c r="Q1483" s="23"/>
      <c r="R1483" s="23"/>
    </row>
    <row r="1484" spans="1:18" ht="14.4" customHeight="1" x14ac:dyDescent="0.3">
      <c r="A1484" s="5">
        <v>1501</v>
      </c>
      <c r="B1484" s="5" t="s">
        <v>3125</v>
      </c>
      <c r="C1484" s="5" t="s">
        <v>3126</v>
      </c>
      <c r="D1484" s="5" t="s">
        <v>3126</v>
      </c>
      <c r="E1484" s="5" t="s">
        <v>3311</v>
      </c>
      <c r="F1484" s="5">
        <v>57560468</v>
      </c>
      <c r="G1484" s="5" t="s">
        <v>3082</v>
      </c>
      <c r="H1484" s="7">
        <v>45895</v>
      </c>
      <c r="I1484" s="7">
        <v>45898</v>
      </c>
      <c r="J1484" s="8">
        <v>100</v>
      </c>
      <c r="K1484" s="7">
        <v>45903</v>
      </c>
      <c r="L1484" s="5"/>
      <c r="P1484" s="23"/>
      <c r="Q1484" s="23"/>
      <c r="R1484" s="23"/>
    </row>
    <row r="1485" spans="1:18" ht="14.4" customHeight="1" x14ac:dyDescent="0.3">
      <c r="A1485" s="5">
        <v>1502</v>
      </c>
      <c r="B1485" s="5" t="s">
        <v>3127</v>
      </c>
      <c r="C1485" s="5" t="s">
        <v>3126</v>
      </c>
      <c r="D1485" s="5" t="s">
        <v>3126</v>
      </c>
      <c r="E1485" s="5" t="s">
        <v>3311</v>
      </c>
      <c r="F1485" s="5">
        <v>57922145</v>
      </c>
      <c r="G1485" s="5" t="s">
        <v>3082</v>
      </c>
      <c r="H1485" s="7">
        <v>45895</v>
      </c>
      <c r="I1485" s="7">
        <v>45898</v>
      </c>
      <c r="J1485" s="8">
        <v>100</v>
      </c>
      <c r="K1485" s="7">
        <v>45903</v>
      </c>
      <c r="L1485" s="5"/>
      <c r="P1485" s="23"/>
      <c r="Q1485" s="23"/>
      <c r="R1485" s="23"/>
    </row>
    <row r="1486" spans="1:18" ht="14.4" customHeight="1" x14ac:dyDescent="0.3">
      <c r="A1486" s="5">
        <v>1503</v>
      </c>
      <c r="B1486" s="5" t="s">
        <v>3128</v>
      </c>
      <c r="C1486" s="5" t="s">
        <v>3129</v>
      </c>
      <c r="D1486" s="5" t="s">
        <v>3129</v>
      </c>
      <c r="E1486" s="5" t="s">
        <v>3352</v>
      </c>
      <c r="F1486" s="5">
        <v>57090783</v>
      </c>
      <c r="G1486" s="5" t="s">
        <v>3082</v>
      </c>
      <c r="H1486" s="7">
        <v>45895</v>
      </c>
      <c r="I1486" s="7">
        <v>45898</v>
      </c>
      <c r="J1486" s="8">
        <v>100</v>
      </c>
      <c r="K1486" s="7">
        <v>45903</v>
      </c>
      <c r="L1486" s="5"/>
      <c r="P1486" s="23"/>
      <c r="Q1486" s="23"/>
      <c r="R1486" s="23"/>
    </row>
    <row r="1487" spans="1:18" ht="14.4" customHeight="1" x14ac:dyDescent="0.3">
      <c r="A1487" s="5">
        <v>1504</v>
      </c>
      <c r="B1487" s="5" t="s">
        <v>3130</v>
      </c>
      <c r="C1487" s="5" t="s">
        <v>3129</v>
      </c>
      <c r="D1487" s="5" t="s">
        <v>3129</v>
      </c>
      <c r="E1487" s="5" t="s">
        <v>3352</v>
      </c>
      <c r="F1487" s="5">
        <v>58065664</v>
      </c>
      <c r="G1487" s="5" t="s">
        <v>3082</v>
      </c>
      <c r="H1487" s="7">
        <v>45895</v>
      </c>
      <c r="I1487" s="7">
        <v>45898</v>
      </c>
      <c r="J1487" s="8">
        <v>100</v>
      </c>
      <c r="K1487" s="7">
        <v>45903</v>
      </c>
      <c r="L1487" s="5"/>
      <c r="P1487" s="23"/>
      <c r="Q1487" s="23"/>
      <c r="R1487" s="23"/>
    </row>
    <row r="1488" spans="1:18" ht="14.4" customHeight="1" x14ac:dyDescent="0.3">
      <c r="A1488" s="5">
        <v>1505</v>
      </c>
      <c r="B1488" s="5" t="s">
        <v>3131</v>
      </c>
      <c r="C1488" s="5" t="s">
        <v>3129</v>
      </c>
      <c r="D1488" s="5" t="s">
        <v>3129</v>
      </c>
      <c r="E1488" s="5" t="s">
        <v>3352</v>
      </c>
      <c r="F1488" s="5">
        <v>57319631</v>
      </c>
      <c r="G1488" s="5" t="s">
        <v>3082</v>
      </c>
      <c r="H1488" s="7">
        <v>45895</v>
      </c>
      <c r="I1488" s="7">
        <v>45898</v>
      </c>
      <c r="J1488" s="8">
        <v>100</v>
      </c>
      <c r="K1488" s="7">
        <v>45903</v>
      </c>
      <c r="L1488" s="5"/>
      <c r="P1488" s="23"/>
      <c r="Q1488" s="23"/>
      <c r="R1488" s="23"/>
    </row>
    <row r="1489" spans="1:19" ht="14.4" customHeight="1" x14ac:dyDescent="0.3">
      <c r="A1489" s="5">
        <v>1506</v>
      </c>
      <c r="B1489" s="5" t="s">
        <v>3132</v>
      </c>
      <c r="C1489" s="5" t="s">
        <v>3129</v>
      </c>
      <c r="D1489" s="5" t="s">
        <v>3129</v>
      </c>
      <c r="E1489" s="5" t="s">
        <v>3352</v>
      </c>
      <c r="F1489" s="5">
        <v>57433832</v>
      </c>
      <c r="G1489" s="5" t="s">
        <v>3082</v>
      </c>
      <c r="H1489" s="7">
        <v>45895</v>
      </c>
      <c r="I1489" s="7">
        <v>45898</v>
      </c>
      <c r="J1489" s="8">
        <v>100</v>
      </c>
      <c r="K1489" s="7">
        <v>45903</v>
      </c>
      <c r="L1489" s="5"/>
      <c r="P1489" s="23"/>
      <c r="Q1489" s="23"/>
      <c r="R1489" s="23"/>
    </row>
    <row r="1490" spans="1:19" ht="14.4" customHeight="1" x14ac:dyDescent="0.3">
      <c r="A1490" s="5">
        <v>1507</v>
      </c>
      <c r="B1490" s="5" t="s">
        <v>3133</v>
      </c>
      <c r="C1490" s="5" t="s">
        <v>3134</v>
      </c>
      <c r="D1490" s="5" t="s">
        <v>3134</v>
      </c>
      <c r="E1490" s="5" t="s">
        <v>3351</v>
      </c>
      <c r="F1490" s="5">
        <v>57643420</v>
      </c>
      <c r="G1490" s="5" t="s">
        <v>3082</v>
      </c>
      <c r="H1490" s="7">
        <v>45895</v>
      </c>
      <c r="I1490" s="7">
        <v>45898</v>
      </c>
      <c r="J1490" s="8">
        <v>100</v>
      </c>
      <c r="K1490" s="7">
        <v>45903</v>
      </c>
      <c r="L1490" s="5"/>
      <c r="P1490" s="23"/>
      <c r="Q1490" s="23"/>
      <c r="R1490" s="23"/>
    </row>
    <row r="1491" spans="1:19" ht="14.4" customHeight="1" x14ac:dyDescent="0.3">
      <c r="A1491" s="5">
        <v>1508</v>
      </c>
      <c r="B1491" s="5" t="s">
        <v>3135</v>
      </c>
      <c r="C1491" s="5" t="s">
        <v>3129</v>
      </c>
      <c r="D1491" s="5" t="s">
        <v>3129</v>
      </c>
      <c r="E1491" s="5" t="s">
        <v>3352</v>
      </c>
      <c r="F1491" s="5">
        <v>57524979</v>
      </c>
      <c r="G1491" s="5" t="s">
        <v>3082</v>
      </c>
      <c r="H1491" s="7">
        <v>45895</v>
      </c>
      <c r="I1491" s="7">
        <v>45898</v>
      </c>
      <c r="J1491" s="8">
        <v>100</v>
      </c>
      <c r="K1491" s="7">
        <v>45903</v>
      </c>
      <c r="L1491" s="5"/>
      <c r="P1491" s="23"/>
      <c r="Q1491" s="23"/>
      <c r="R1491" s="23"/>
    </row>
    <row r="1492" spans="1:19" ht="14.4" customHeight="1" x14ac:dyDescent="0.3">
      <c r="A1492" s="5">
        <v>1510</v>
      </c>
      <c r="B1492" s="5" t="s">
        <v>3138</v>
      </c>
      <c r="C1492" s="5" t="s">
        <v>3139</v>
      </c>
      <c r="D1492" s="5" t="s">
        <v>3139</v>
      </c>
      <c r="E1492" s="5" t="s">
        <v>3333</v>
      </c>
      <c r="F1492" s="5">
        <v>59495016</v>
      </c>
      <c r="G1492" s="5" t="s">
        <v>3082</v>
      </c>
      <c r="H1492" s="7">
        <v>45895</v>
      </c>
      <c r="I1492" s="7">
        <v>45898</v>
      </c>
      <c r="J1492" s="8">
        <v>100</v>
      </c>
      <c r="K1492" s="7">
        <v>45903</v>
      </c>
      <c r="L1492" s="5"/>
      <c r="P1492" s="23"/>
      <c r="Q1492" s="23"/>
      <c r="R1492" s="23"/>
    </row>
    <row r="1493" spans="1:19" ht="14.4" customHeight="1" x14ac:dyDescent="0.3">
      <c r="A1493" s="5">
        <v>1548</v>
      </c>
      <c r="B1493" s="5" t="s">
        <v>3128</v>
      </c>
      <c r="C1493" s="5" t="s">
        <v>3204</v>
      </c>
      <c r="D1493" s="5" t="s">
        <v>3204</v>
      </c>
      <c r="E1493" s="5" t="s">
        <v>3316</v>
      </c>
      <c r="F1493" s="5">
        <v>57915451</v>
      </c>
      <c r="G1493" s="5" t="s">
        <v>3082</v>
      </c>
      <c r="H1493" s="7">
        <v>45895</v>
      </c>
      <c r="I1493" s="7">
        <v>45898</v>
      </c>
      <c r="J1493" s="8">
        <v>100</v>
      </c>
      <c r="K1493" s="7">
        <v>45903</v>
      </c>
      <c r="L1493" s="5"/>
      <c r="P1493" s="23"/>
      <c r="Q1493" s="23"/>
      <c r="R1493" s="23"/>
    </row>
    <row r="1494" spans="1:19" ht="14.4" customHeight="1" x14ac:dyDescent="0.3">
      <c r="A1494" s="5">
        <v>1562</v>
      </c>
      <c r="B1494" s="5" t="s">
        <v>3229</v>
      </c>
      <c r="C1494" s="5" t="s">
        <v>3230</v>
      </c>
      <c r="D1494" s="5" t="s">
        <v>14</v>
      </c>
      <c r="E1494" s="5" t="s">
        <v>546</v>
      </c>
      <c r="F1494" s="5">
        <v>57854751</v>
      </c>
      <c r="G1494" s="5" t="s">
        <v>16</v>
      </c>
      <c r="H1494" s="7">
        <v>45897</v>
      </c>
      <c r="I1494" s="7">
        <v>45898</v>
      </c>
      <c r="J1494" s="8">
        <v>150</v>
      </c>
      <c r="K1494" s="7">
        <v>45903</v>
      </c>
      <c r="L1494" s="5"/>
      <c r="P1494" s="23"/>
      <c r="Q1494" s="23"/>
      <c r="R1494" s="23"/>
    </row>
    <row r="1495" spans="1:19" ht="14.4" customHeight="1" x14ac:dyDescent="0.3">
      <c r="A1495" s="5">
        <v>1563</v>
      </c>
      <c r="B1495" s="5" t="s">
        <v>3231</v>
      </c>
      <c r="C1495" s="5" t="s">
        <v>3232</v>
      </c>
      <c r="D1495" s="5" t="s">
        <v>3233</v>
      </c>
      <c r="E1495" s="5" t="s">
        <v>69</v>
      </c>
      <c r="F1495" s="5">
        <v>57041543</v>
      </c>
      <c r="G1495" s="5" t="s">
        <v>16</v>
      </c>
      <c r="H1495" s="7">
        <v>45897</v>
      </c>
      <c r="I1495" s="7">
        <v>45898</v>
      </c>
      <c r="J1495" s="8">
        <v>150</v>
      </c>
      <c r="K1495" s="7">
        <v>45903</v>
      </c>
      <c r="L1495" s="5"/>
      <c r="P1495" s="23"/>
      <c r="Q1495" s="23"/>
      <c r="R1495" s="23"/>
    </row>
    <row r="1496" spans="1:19" ht="14.4" customHeight="1" x14ac:dyDescent="0.3">
      <c r="A1496" s="5">
        <v>1570</v>
      </c>
      <c r="B1496" s="5" t="s">
        <v>3246</v>
      </c>
      <c r="C1496" s="5" t="s">
        <v>3247</v>
      </c>
      <c r="D1496" s="5" t="s">
        <v>3239</v>
      </c>
      <c r="E1496" s="5" t="s">
        <v>63</v>
      </c>
      <c r="F1496" s="5">
        <v>59163451</v>
      </c>
      <c r="G1496" s="5" t="s">
        <v>16</v>
      </c>
      <c r="H1496" s="7">
        <v>45897</v>
      </c>
      <c r="I1496" s="7">
        <v>45898</v>
      </c>
      <c r="J1496" s="8">
        <v>150</v>
      </c>
      <c r="K1496" s="7">
        <v>45903</v>
      </c>
      <c r="L1496" s="5"/>
      <c r="P1496" s="23"/>
      <c r="Q1496" s="23"/>
      <c r="R1496" s="23"/>
    </row>
    <row r="1497" spans="1:19" ht="14.4" customHeight="1" x14ac:dyDescent="0.3">
      <c r="A1497" s="5">
        <v>1574</v>
      </c>
      <c r="B1497" s="5" t="s">
        <v>3253</v>
      </c>
      <c r="C1497" s="5" t="s">
        <v>3254</v>
      </c>
      <c r="D1497" s="5" t="s">
        <v>3239</v>
      </c>
      <c r="E1497" s="5" t="s">
        <v>696</v>
      </c>
      <c r="F1497" s="5">
        <v>57442512</v>
      </c>
      <c r="G1497" s="5" t="s">
        <v>16</v>
      </c>
      <c r="H1497" s="7">
        <v>45897</v>
      </c>
      <c r="I1497" s="7">
        <v>45898</v>
      </c>
      <c r="J1497" s="8">
        <v>150</v>
      </c>
      <c r="K1497" s="7">
        <v>45903</v>
      </c>
      <c r="L1497" s="5"/>
      <c r="P1497" s="23"/>
      <c r="Q1497" s="23"/>
      <c r="R1497" s="23"/>
    </row>
    <row r="1498" spans="1:19" ht="14.4" customHeight="1" x14ac:dyDescent="0.3">
      <c r="A1498" s="5">
        <v>1575</v>
      </c>
      <c r="B1498" s="5" t="s">
        <v>3255</v>
      </c>
      <c r="C1498" s="5" t="s">
        <v>3256</v>
      </c>
      <c r="D1498" s="5" t="s">
        <v>14</v>
      </c>
      <c r="E1498" s="5" t="s">
        <v>15</v>
      </c>
      <c r="F1498" s="5">
        <v>57605263</v>
      </c>
      <c r="G1498" s="5" t="s">
        <v>16</v>
      </c>
      <c r="H1498" s="7">
        <v>45897</v>
      </c>
      <c r="I1498" s="7">
        <v>45898</v>
      </c>
      <c r="J1498" s="8">
        <v>150</v>
      </c>
      <c r="K1498" s="7">
        <v>45903</v>
      </c>
      <c r="L1498" s="5"/>
      <c r="P1498" s="23"/>
      <c r="Q1498" s="23"/>
      <c r="R1498" s="23"/>
      <c r="S1498" s="23"/>
    </row>
    <row r="1499" spans="1:19" ht="14.4" customHeight="1" x14ac:dyDescent="0.3">
      <c r="A1499" s="5">
        <v>1576</v>
      </c>
      <c r="B1499" s="5" t="s">
        <v>3257</v>
      </c>
      <c r="C1499" s="5" t="s">
        <v>3258</v>
      </c>
      <c r="D1499" s="5" t="s">
        <v>3239</v>
      </c>
      <c r="E1499" s="5" t="s">
        <v>49</v>
      </c>
      <c r="F1499" s="5">
        <v>58095149</v>
      </c>
      <c r="G1499" s="5" t="s">
        <v>16</v>
      </c>
      <c r="H1499" s="7">
        <v>45897</v>
      </c>
      <c r="I1499" s="7">
        <v>45898</v>
      </c>
      <c r="J1499" s="8">
        <v>150</v>
      </c>
      <c r="K1499" s="7">
        <v>45903</v>
      </c>
      <c r="L1499" s="5"/>
      <c r="P1499" s="23"/>
      <c r="Q1499" s="23"/>
      <c r="R1499" s="23"/>
      <c r="S1499" s="23"/>
    </row>
    <row r="1500" spans="1:19" ht="14.4" customHeight="1" x14ac:dyDescent="0.3">
      <c r="A1500" s="5">
        <v>1577</v>
      </c>
      <c r="B1500" s="5" t="s">
        <v>3259</v>
      </c>
      <c r="C1500" s="5" t="s">
        <v>3260</v>
      </c>
      <c r="D1500" s="5" t="s">
        <v>3239</v>
      </c>
      <c r="E1500" s="5" t="s">
        <v>74</v>
      </c>
      <c r="F1500" s="5">
        <v>59774022</v>
      </c>
      <c r="G1500" s="5" t="s">
        <v>16</v>
      </c>
      <c r="H1500" s="7">
        <v>45897</v>
      </c>
      <c r="I1500" s="7">
        <v>45898</v>
      </c>
      <c r="J1500" s="8">
        <v>150</v>
      </c>
      <c r="K1500" s="7">
        <v>45903</v>
      </c>
      <c r="L1500" s="5"/>
      <c r="P1500" s="23"/>
      <c r="Q1500" s="23"/>
      <c r="R1500" s="23"/>
      <c r="S1500" s="23"/>
    </row>
    <row r="1501" spans="1:19" ht="14.4" customHeight="1" x14ac:dyDescent="0.3">
      <c r="A1501" s="5">
        <v>1578</v>
      </c>
      <c r="B1501" s="5" t="s">
        <v>2288</v>
      </c>
      <c r="C1501" s="5" t="s">
        <v>3261</v>
      </c>
      <c r="D1501" s="5" t="s">
        <v>14</v>
      </c>
      <c r="E1501" s="5" t="s">
        <v>155</v>
      </c>
      <c r="F1501" s="5">
        <v>57765108</v>
      </c>
      <c r="G1501" s="5" t="s">
        <v>16</v>
      </c>
      <c r="H1501" s="7">
        <v>45897</v>
      </c>
      <c r="I1501" s="7">
        <v>45898</v>
      </c>
      <c r="J1501" s="8">
        <v>150</v>
      </c>
      <c r="K1501" s="7">
        <v>45903</v>
      </c>
      <c r="L1501" s="5"/>
      <c r="P1501" s="23"/>
      <c r="Q1501" s="23"/>
      <c r="R1501" s="23"/>
      <c r="S1501" s="23"/>
    </row>
    <row r="1502" spans="1:19" ht="14.4" customHeight="1" x14ac:dyDescent="0.3">
      <c r="A1502" s="5">
        <v>1580</v>
      </c>
      <c r="B1502" s="5" t="s">
        <v>3263</v>
      </c>
      <c r="C1502" s="5" t="s">
        <v>3264</v>
      </c>
      <c r="D1502" s="5" t="s">
        <v>14</v>
      </c>
      <c r="E1502" s="5" t="s">
        <v>594</v>
      </c>
      <c r="F1502" s="5">
        <v>58895043</v>
      </c>
      <c r="G1502" s="5" t="s">
        <v>16</v>
      </c>
      <c r="H1502" s="7">
        <v>45897</v>
      </c>
      <c r="I1502" s="7">
        <v>45898</v>
      </c>
      <c r="J1502" s="8">
        <v>150</v>
      </c>
      <c r="K1502" s="7">
        <v>45903</v>
      </c>
      <c r="L1502" s="5"/>
      <c r="P1502" s="23"/>
      <c r="Q1502" s="23"/>
      <c r="R1502" s="23"/>
      <c r="S1502" s="23"/>
    </row>
    <row r="1503" spans="1:19" ht="14.4" customHeight="1" x14ac:dyDescent="0.3">
      <c r="A1503" s="5">
        <v>1583</v>
      </c>
      <c r="B1503" s="5" t="s">
        <v>3267</v>
      </c>
      <c r="C1503" s="5" t="s">
        <v>3268</v>
      </c>
      <c r="D1503" s="5" t="s">
        <v>3239</v>
      </c>
      <c r="E1503" s="5" t="s">
        <v>49</v>
      </c>
      <c r="F1503" s="5">
        <v>58186909</v>
      </c>
      <c r="G1503" s="5" t="s">
        <v>16</v>
      </c>
      <c r="H1503" s="7">
        <v>45897</v>
      </c>
      <c r="I1503" s="7">
        <v>45898</v>
      </c>
      <c r="J1503" s="8">
        <v>150</v>
      </c>
      <c r="K1503" s="7">
        <v>45903</v>
      </c>
      <c r="L1503" s="5"/>
      <c r="P1503" s="23"/>
      <c r="Q1503" s="23"/>
      <c r="R1503" s="23"/>
      <c r="S1503" s="23"/>
    </row>
    <row r="1504" spans="1:19" ht="14.4" customHeight="1" x14ac:dyDescent="0.3">
      <c r="A1504" s="5">
        <v>1586</v>
      </c>
      <c r="B1504" s="5" t="s">
        <v>3272</v>
      </c>
      <c r="C1504" s="5" t="s">
        <v>3443</v>
      </c>
      <c r="D1504" s="5" t="s">
        <v>2007</v>
      </c>
      <c r="E1504" s="5" t="s">
        <v>2007</v>
      </c>
      <c r="F1504" s="5">
        <v>57733090</v>
      </c>
      <c r="G1504" s="5" t="s">
        <v>16</v>
      </c>
      <c r="H1504" s="7">
        <v>45897</v>
      </c>
      <c r="I1504" s="7">
        <v>45898</v>
      </c>
      <c r="J1504" s="8">
        <v>150</v>
      </c>
      <c r="K1504" s="7">
        <v>45903</v>
      </c>
      <c r="L1504" s="5"/>
      <c r="P1504" s="23"/>
      <c r="Q1504" s="23"/>
      <c r="R1504" s="23"/>
      <c r="S1504" s="23"/>
    </row>
    <row r="1505" spans="1:19" ht="14.4" customHeight="1" x14ac:dyDescent="0.3">
      <c r="A1505" s="5">
        <v>1588</v>
      </c>
      <c r="B1505" s="5" t="s">
        <v>3275</v>
      </c>
      <c r="C1505" s="5" t="s">
        <v>3276</v>
      </c>
      <c r="D1505" s="5" t="s">
        <v>2007</v>
      </c>
      <c r="E1505" s="5" t="s">
        <v>2007</v>
      </c>
      <c r="F1505" s="5">
        <v>54229032</v>
      </c>
      <c r="G1505" s="5" t="s">
        <v>16</v>
      </c>
      <c r="H1505" s="7">
        <v>45897</v>
      </c>
      <c r="I1505" s="7">
        <v>45898</v>
      </c>
      <c r="J1505" s="8">
        <v>150</v>
      </c>
      <c r="K1505" s="7">
        <v>45903</v>
      </c>
      <c r="L1505" s="5"/>
      <c r="P1505" s="23"/>
      <c r="Q1505" s="23"/>
      <c r="R1505" s="23"/>
      <c r="S1505" s="23"/>
    </row>
    <row r="1506" spans="1:19" ht="14.4" customHeight="1" x14ac:dyDescent="0.3">
      <c r="A1506" s="5">
        <v>1589</v>
      </c>
      <c r="B1506" s="5" t="s">
        <v>3277</v>
      </c>
      <c r="C1506" s="5" t="s">
        <v>696</v>
      </c>
      <c r="D1506" s="5" t="s">
        <v>696</v>
      </c>
      <c r="E1506" s="5" t="s">
        <v>696</v>
      </c>
      <c r="F1506" s="5" t="s">
        <v>3278</v>
      </c>
      <c r="G1506" s="5" t="s">
        <v>16</v>
      </c>
      <c r="H1506" s="7">
        <v>45897</v>
      </c>
      <c r="I1506" s="7">
        <v>45898</v>
      </c>
      <c r="J1506" s="8">
        <v>150</v>
      </c>
      <c r="K1506" s="7">
        <v>45903</v>
      </c>
      <c r="L1506" s="5"/>
      <c r="P1506" s="23"/>
      <c r="Q1506" s="23"/>
      <c r="R1506" s="23"/>
      <c r="S1506" s="23"/>
    </row>
    <row r="1507" spans="1:19" ht="14.4" customHeight="1" x14ac:dyDescent="0.3">
      <c r="A1507" s="5">
        <v>1590</v>
      </c>
      <c r="B1507" s="5" t="s">
        <v>2403</v>
      </c>
      <c r="C1507" s="5" t="s">
        <v>2404</v>
      </c>
      <c r="D1507" s="5" t="s">
        <v>259</v>
      </c>
      <c r="E1507" s="5" t="s">
        <v>259</v>
      </c>
      <c r="F1507" s="5">
        <v>58348342</v>
      </c>
      <c r="G1507" s="5" t="s">
        <v>16</v>
      </c>
      <c r="H1507" s="7">
        <v>45897</v>
      </c>
      <c r="I1507" s="7">
        <v>45898</v>
      </c>
      <c r="J1507" s="8">
        <v>150</v>
      </c>
      <c r="K1507" s="7">
        <v>45903</v>
      </c>
      <c r="L1507" s="5"/>
      <c r="P1507" s="23"/>
      <c r="Q1507" s="23"/>
      <c r="R1507" s="23"/>
      <c r="S1507" s="23"/>
    </row>
    <row r="1508" spans="1:19" ht="14.4" customHeight="1" x14ac:dyDescent="0.3">
      <c r="A1508" s="5">
        <v>1591</v>
      </c>
      <c r="B1508" s="5" t="s">
        <v>3279</v>
      </c>
      <c r="C1508" s="5" t="s">
        <v>3280</v>
      </c>
      <c r="D1508" s="5" t="s">
        <v>15</v>
      </c>
      <c r="E1508" s="5" t="s">
        <v>15</v>
      </c>
      <c r="F1508" s="5">
        <v>57803463</v>
      </c>
      <c r="G1508" s="5" t="s">
        <v>16</v>
      </c>
      <c r="H1508" s="7">
        <v>45897</v>
      </c>
      <c r="I1508" s="7">
        <v>45898</v>
      </c>
      <c r="J1508" s="8">
        <v>150</v>
      </c>
      <c r="K1508" s="7">
        <v>45903</v>
      </c>
      <c r="L1508" s="5"/>
      <c r="P1508" s="23"/>
      <c r="Q1508" s="23"/>
      <c r="R1508" s="23"/>
      <c r="S1508" s="23"/>
    </row>
    <row r="1509" spans="1:19" ht="14.4" customHeight="1" x14ac:dyDescent="0.3">
      <c r="A1509" s="5">
        <v>1495</v>
      </c>
      <c r="B1509" s="5" t="s">
        <v>3116</v>
      </c>
      <c r="C1509" s="5" t="s">
        <v>3117</v>
      </c>
      <c r="D1509" s="5" t="s">
        <v>475</v>
      </c>
      <c r="E1509" s="5" t="s">
        <v>475</v>
      </c>
      <c r="F1509" s="5">
        <v>59249825</v>
      </c>
      <c r="G1509" s="5" t="s">
        <v>3082</v>
      </c>
      <c r="H1509" s="7">
        <v>45895</v>
      </c>
      <c r="I1509" s="7">
        <v>45901</v>
      </c>
      <c r="J1509" s="8">
        <v>100</v>
      </c>
      <c r="K1509" s="7">
        <v>45903</v>
      </c>
      <c r="L1509" s="5"/>
      <c r="P1509" s="23"/>
      <c r="Q1509" s="23"/>
      <c r="R1509" s="23"/>
      <c r="S1509" s="23"/>
    </row>
    <row r="1510" spans="1:19" ht="14.4" customHeight="1" x14ac:dyDescent="0.3">
      <c r="A1510" s="5">
        <v>1500</v>
      </c>
      <c r="B1510" s="5" t="s">
        <v>3124</v>
      </c>
      <c r="C1510" s="5" t="s">
        <v>3122</v>
      </c>
      <c r="D1510" s="5" t="s">
        <v>3122</v>
      </c>
      <c r="E1510" s="5" t="s">
        <v>3310</v>
      </c>
      <c r="F1510" s="5">
        <v>59247371</v>
      </c>
      <c r="G1510" s="5" t="s">
        <v>3082</v>
      </c>
      <c r="H1510" s="7">
        <v>45895</v>
      </c>
      <c r="I1510" s="7">
        <v>45901</v>
      </c>
      <c r="J1510" s="8">
        <v>100</v>
      </c>
      <c r="K1510" s="7">
        <v>45903</v>
      </c>
      <c r="L1510" s="5"/>
      <c r="P1510" s="23"/>
      <c r="Q1510" s="23"/>
      <c r="R1510" s="23"/>
      <c r="S1510" s="23"/>
    </row>
    <row r="1511" spans="1:19" ht="14.4" customHeight="1" x14ac:dyDescent="0.3">
      <c r="A1511" s="5">
        <v>1509</v>
      </c>
      <c r="B1511" s="5" t="s">
        <v>3136</v>
      </c>
      <c r="C1511" s="5" t="s">
        <v>3137</v>
      </c>
      <c r="D1511" s="5" t="s">
        <v>3137</v>
      </c>
      <c r="E1511" s="5" t="s">
        <v>3301</v>
      </c>
      <c r="F1511" s="5">
        <v>52576414</v>
      </c>
      <c r="G1511" s="5" t="s">
        <v>3082</v>
      </c>
      <c r="H1511" s="7">
        <v>45895</v>
      </c>
      <c r="I1511" s="7">
        <v>45901</v>
      </c>
      <c r="J1511" s="8">
        <v>100</v>
      </c>
      <c r="K1511" s="7">
        <v>45903</v>
      </c>
      <c r="L1511" s="5"/>
      <c r="P1511" s="23"/>
      <c r="Q1511" s="23"/>
      <c r="R1511" s="23"/>
      <c r="S1511" s="23"/>
    </row>
    <row r="1512" spans="1:19" ht="14.4" customHeight="1" x14ac:dyDescent="0.3">
      <c r="A1512" s="5">
        <v>1512</v>
      </c>
      <c r="B1512" s="5" t="s">
        <v>3141</v>
      </c>
      <c r="C1512" s="5" t="s">
        <v>3142</v>
      </c>
      <c r="D1512" s="5" t="s">
        <v>3142</v>
      </c>
      <c r="E1512" s="5" t="s">
        <v>3341</v>
      </c>
      <c r="F1512" s="5">
        <v>59181873</v>
      </c>
      <c r="G1512" s="5" t="s">
        <v>3082</v>
      </c>
      <c r="H1512" s="7">
        <v>45895</v>
      </c>
      <c r="I1512" s="7">
        <v>45901</v>
      </c>
      <c r="J1512" s="8">
        <v>100</v>
      </c>
      <c r="K1512" s="7">
        <v>45903</v>
      </c>
      <c r="L1512" s="5"/>
      <c r="P1512" s="23"/>
      <c r="Q1512" s="23"/>
      <c r="R1512" s="23"/>
      <c r="S1512" s="23"/>
    </row>
    <row r="1513" spans="1:19" ht="14.4" customHeight="1" x14ac:dyDescent="0.3">
      <c r="A1513" s="5">
        <v>1513</v>
      </c>
      <c r="B1513" s="5" t="s">
        <v>3143</v>
      </c>
      <c r="C1513" s="5" t="s">
        <v>3142</v>
      </c>
      <c r="D1513" s="5" t="s">
        <v>3142</v>
      </c>
      <c r="E1513" s="5" t="s">
        <v>3341</v>
      </c>
      <c r="F1513" s="5">
        <v>59217901</v>
      </c>
      <c r="G1513" s="5" t="s">
        <v>3082</v>
      </c>
      <c r="H1513" s="7">
        <v>45895</v>
      </c>
      <c r="I1513" s="7">
        <v>45901</v>
      </c>
      <c r="J1513" s="8">
        <v>100</v>
      </c>
      <c r="K1513" s="7">
        <v>45903</v>
      </c>
      <c r="L1513" s="5"/>
      <c r="P1513" s="23"/>
      <c r="Q1513" s="23"/>
      <c r="R1513" s="23"/>
      <c r="S1513" s="23"/>
    </row>
    <row r="1514" spans="1:19" ht="14.4" customHeight="1" x14ac:dyDescent="0.3">
      <c r="A1514" s="5">
        <v>1514</v>
      </c>
      <c r="B1514" s="5" t="s">
        <v>3144</v>
      </c>
      <c r="C1514" s="5" t="s">
        <v>3145</v>
      </c>
      <c r="D1514" s="5" t="s">
        <v>3145</v>
      </c>
      <c r="E1514" s="5" t="s">
        <v>3340</v>
      </c>
      <c r="F1514" s="5">
        <v>54814669</v>
      </c>
      <c r="G1514" s="5" t="s">
        <v>3082</v>
      </c>
      <c r="H1514" s="7">
        <v>45895</v>
      </c>
      <c r="I1514" s="7">
        <v>45901</v>
      </c>
      <c r="J1514" s="8">
        <v>100</v>
      </c>
      <c r="K1514" s="7">
        <v>45903</v>
      </c>
      <c r="L1514" s="5"/>
      <c r="P1514" s="23"/>
      <c r="Q1514" s="23"/>
      <c r="R1514" s="23"/>
      <c r="S1514" s="23"/>
    </row>
    <row r="1515" spans="1:19" ht="14.4" customHeight="1" x14ac:dyDescent="0.3">
      <c r="A1515" s="5">
        <v>1515</v>
      </c>
      <c r="B1515" s="5" t="s">
        <v>3146</v>
      </c>
      <c r="C1515" s="5" t="s">
        <v>3147</v>
      </c>
      <c r="D1515" s="5" t="s">
        <v>3147</v>
      </c>
      <c r="E1515" s="5" t="s">
        <v>3312</v>
      </c>
      <c r="F1515" s="5">
        <v>57191441</v>
      </c>
      <c r="G1515" s="5" t="s">
        <v>3082</v>
      </c>
      <c r="H1515" s="7">
        <v>45895</v>
      </c>
      <c r="I1515" s="7">
        <v>45901</v>
      </c>
      <c r="J1515" s="8">
        <v>100</v>
      </c>
      <c r="K1515" s="7">
        <v>45903</v>
      </c>
      <c r="L1515" s="5"/>
      <c r="P1515" s="23"/>
      <c r="Q1515" s="23"/>
      <c r="R1515" s="23"/>
      <c r="S1515" s="23"/>
    </row>
    <row r="1516" spans="1:19" ht="14.4" customHeight="1" x14ac:dyDescent="0.3">
      <c r="A1516" s="5">
        <v>1516</v>
      </c>
      <c r="B1516" s="5" t="s">
        <v>3148</v>
      </c>
      <c r="C1516" s="5" t="s">
        <v>3147</v>
      </c>
      <c r="D1516" s="5" t="s">
        <v>3147</v>
      </c>
      <c r="E1516" s="5" t="s">
        <v>3312</v>
      </c>
      <c r="F1516" s="5">
        <v>58110347</v>
      </c>
      <c r="G1516" s="5" t="s">
        <v>3082</v>
      </c>
      <c r="H1516" s="7">
        <v>45895</v>
      </c>
      <c r="I1516" s="7">
        <v>45901</v>
      </c>
      <c r="J1516" s="8">
        <v>100</v>
      </c>
      <c r="K1516" s="7">
        <v>45903</v>
      </c>
      <c r="L1516" s="5"/>
      <c r="P1516" s="23"/>
      <c r="Q1516" s="23"/>
      <c r="R1516" s="23"/>
      <c r="S1516" s="23"/>
    </row>
    <row r="1517" spans="1:19" ht="14.4" customHeight="1" x14ac:dyDescent="0.3">
      <c r="A1517" s="5">
        <v>1517</v>
      </c>
      <c r="B1517" s="5" t="s">
        <v>3149</v>
      </c>
      <c r="C1517" s="5" t="s">
        <v>3147</v>
      </c>
      <c r="D1517" s="5" t="s">
        <v>3147</v>
      </c>
      <c r="E1517" s="5" t="s">
        <v>3312</v>
      </c>
      <c r="F1517" s="5">
        <v>54953948</v>
      </c>
      <c r="G1517" s="5" t="s">
        <v>3082</v>
      </c>
      <c r="H1517" s="7">
        <v>45895</v>
      </c>
      <c r="I1517" s="7">
        <v>45901</v>
      </c>
      <c r="J1517" s="8">
        <v>100</v>
      </c>
      <c r="K1517" s="7">
        <v>45903</v>
      </c>
      <c r="L1517" s="5"/>
      <c r="P1517" s="23"/>
      <c r="Q1517" s="23"/>
      <c r="R1517" s="23"/>
      <c r="S1517" s="23"/>
    </row>
    <row r="1518" spans="1:19" ht="14.4" customHeight="1" x14ac:dyDescent="0.3">
      <c r="A1518" s="5">
        <v>1518</v>
      </c>
      <c r="B1518" s="5" t="s">
        <v>3150</v>
      </c>
      <c r="C1518" s="5" t="s">
        <v>3151</v>
      </c>
      <c r="D1518" s="5" t="s">
        <v>3151</v>
      </c>
      <c r="E1518" s="5" t="s">
        <v>3335</v>
      </c>
      <c r="F1518" s="5">
        <v>57565859</v>
      </c>
      <c r="G1518" s="5" t="s">
        <v>3082</v>
      </c>
      <c r="H1518" s="7">
        <v>45895</v>
      </c>
      <c r="I1518" s="7">
        <v>45901</v>
      </c>
      <c r="J1518" s="8">
        <v>100</v>
      </c>
      <c r="K1518" s="7">
        <v>45903</v>
      </c>
      <c r="L1518" s="5"/>
      <c r="P1518" s="23"/>
      <c r="Q1518" s="23"/>
      <c r="R1518" s="23"/>
      <c r="S1518" s="23"/>
    </row>
    <row r="1519" spans="1:19" ht="14.4" customHeight="1" x14ac:dyDescent="0.3">
      <c r="A1519" s="5">
        <v>1519</v>
      </c>
      <c r="B1519" s="5" t="s">
        <v>3152</v>
      </c>
      <c r="C1519" s="5" t="s">
        <v>3153</v>
      </c>
      <c r="D1519" s="5" t="s">
        <v>3153</v>
      </c>
      <c r="E1519" s="5" t="s">
        <v>3342</v>
      </c>
      <c r="F1519" s="5">
        <v>59064489</v>
      </c>
      <c r="G1519" s="5" t="s">
        <v>3082</v>
      </c>
      <c r="H1519" s="7">
        <v>45895</v>
      </c>
      <c r="I1519" s="7">
        <v>45901</v>
      </c>
      <c r="J1519" s="8">
        <v>100</v>
      </c>
      <c r="K1519" s="7">
        <v>45903</v>
      </c>
      <c r="L1519" s="5"/>
      <c r="P1519" s="23"/>
      <c r="Q1519" s="23"/>
      <c r="R1519" s="23"/>
      <c r="S1519" s="23"/>
    </row>
    <row r="1520" spans="1:19" ht="14.4" customHeight="1" x14ac:dyDescent="0.3">
      <c r="A1520" s="5">
        <v>1520</v>
      </c>
      <c r="B1520" s="5" t="s">
        <v>3154</v>
      </c>
      <c r="C1520" s="5" t="s">
        <v>3153</v>
      </c>
      <c r="D1520" s="5" t="s">
        <v>3153</v>
      </c>
      <c r="E1520" s="5" t="s">
        <v>3342</v>
      </c>
      <c r="F1520" s="5">
        <v>59151836</v>
      </c>
      <c r="G1520" s="5" t="s">
        <v>3082</v>
      </c>
      <c r="H1520" s="7">
        <v>45895</v>
      </c>
      <c r="I1520" s="7">
        <v>45901</v>
      </c>
      <c r="J1520" s="8">
        <v>100</v>
      </c>
      <c r="K1520" s="7">
        <v>45903</v>
      </c>
      <c r="L1520" s="5"/>
      <c r="P1520" s="23"/>
      <c r="Q1520" s="23"/>
      <c r="R1520" s="23"/>
      <c r="S1520" s="23"/>
    </row>
    <row r="1521" spans="1:19" ht="14.4" customHeight="1" x14ac:dyDescent="0.3">
      <c r="A1521" s="5">
        <v>1521</v>
      </c>
      <c r="B1521" s="5" t="s">
        <v>3155</v>
      </c>
      <c r="C1521" s="5" t="s">
        <v>3156</v>
      </c>
      <c r="D1521" s="5" t="s">
        <v>3156</v>
      </c>
      <c r="E1521" s="5" t="s">
        <v>3323</v>
      </c>
      <c r="F1521" s="5">
        <v>57961218</v>
      </c>
      <c r="G1521" s="5" t="s">
        <v>3082</v>
      </c>
      <c r="H1521" s="7">
        <v>45895</v>
      </c>
      <c r="I1521" s="7">
        <v>45901</v>
      </c>
      <c r="J1521" s="8">
        <v>100</v>
      </c>
      <c r="K1521" s="7">
        <v>45903</v>
      </c>
      <c r="L1521" s="5"/>
      <c r="P1521" s="23"/>
      <c r="Q1521" s="23"/>
      <c r="R1521" s="23"/>
      <c r="S1521" s="23"/>
    </row>
    <row r="1522" spans="1:19" ht="14.4" customHeight="1" x14ac:dyDescent="0.3">
      <c r="A1522" s="5">
        <v>1522</v>
      </c>
      <c r="B1522" s="5" t="s">
        <v>3157</v>
      </c>
      <c r="C1522" s="5" t="s">
        <v>3158</v>
      </c>
      <c r="D1522" s="5" t="s">
        <v>3158</v>
      </c>
      <c r="E1522" s="5" t="s">
        <v>696</v>
      </c>
      <c r="F1522" s="5">
        <v>59235798</v>
      </c>
      <c r="G1522" s="5" t="s">
        <v>3082</v>
      </c>
      <c r="H1522" s="7">
        <v>45895</v>
      </c>
      <c r="I1522" s="7">
        <v>45901</v>
      </c>
      <c r="J1522" s="8">
        <v>100</v>
      </c>
      <c r="K1522" s="7">
        <v>45903</v>
      </c>
      <c r="L1522" s="5"/>
      <c r="P1522" s="23"/>
      <c r="Q1522" s="23"/>
      <c r="R1522" s="23"/>
      <c r="S1522" s="23"/>
    </row>
    <row r="1523" spans="1:19" ht="14.4" customHeight="1" x14ac:dyDescent="0.3">
      <c r="A1523" s="5">
        <v>1523</v>
      </c>
      <c r="B1523" s="5" t="s">
        <v>3159</v>
      </c>
      <c r="C1523" s="5" t="s">
        <v>3160</v>
      </c>
      <c r="D1523" s="5" t="s">
        <v>3160</v>
      </c>
      <c r="E1523" s="5" t="s">
        <v>696</v>
      </c>
      <c r="F1523" s="5">
        <v>54281762</v>
      </c>
      <c r="G1523" s="5" t="s">
        <v>3082</v>
      </c>
      <c r="H1523" s="7">
        <v>45895</v>
      </c>
      <c r="I1523" s="7">
        <v>45901</v>
      </c>
      <c r="J1523" s="8">
        <v>100</v>
      </c>
      <c r="K1523" s="7">
        <v>45903</v>
      </c>
      <c r="L1523" s="5"/>
      <c r="P1523" s="23"/>
      <c r="Q1523" s="23"/>
      <c r="R1523" s="23"/>
      <c r="S1523" s="23"/>
    </row>
    <row r="1524" spans="1:19" ht="14.4" customHeight="1" x14ac:dyDescent="0.3">
      <c r="A1524" s="5">
        <v>1524</v>
      </c>
      <c r="B1524" s="5" t="s">
        <v>3161</v>
      </c>
      <c r="C1524" s="5" t="s">
        <v>3162</v>
      </c>
      <c r="D1524" s="5" t="s">
        <v>3162</v>
      </c>
      <c r="E1524" s="5" t="s">
        <v>3309</v>
      </c>
      <c r="F1524" s="5">
        <v>59897541</v>
      </c>
      <c r="G1524" s="5" t="s">
        <v>3082</v>
      </c>
      <c r="H1524" s="7">
        <v>45895</v>
      </c>
      <c r="I1524" s="7">
        <v>45901</v>
      </c>
      <c r="J1524" s="8">
        <v>100</v>
      </c>
      <c r="K1524" s="7">
        <v>45903</v>
      </c>
      <c r="L1524" s="5"/>
      <c r="P1524" s="23"/>
      <c r="Q1524" s="23"/>
      <c r="R1524" s="23"/>
      <c r="S1524" s="23"/>
    </row>
    <row r="1525" spans="1:19" ht="14.4" customHeight="1" x14ac:dyDescent="0.3">
      <c r="A1525" s="5">
        <v>1525</v>
      </c>
      <c r="B1525" s="5" t="s">
        <v>3163</v>
      </c>
      <c r="C1525" s="5" t="s">
        <v>3162</v>
      </c>
      <c r="D1525" s="5" t="s">
        <v>3162</v>
      </c>
      <c r="E1525" s="5" t="s">
        <v>3309</v>
      </c>
      <c r="F1525" s="5">
        <v>58064951</v>
      </c>
      <c r="G1525" s="5" t="s">
        <v>3082</v>
      </c>
      <c r="H1525" s="7">
        <v>45895</v>
      </c>
      <c r="I1525" s="7">
        <v>45901</v>
      </c>
      <c r="J1525" s="8">
        <v>100</v>
      </c>
      <c r="K1525" s="7">
        <v>45903</v>
      </c>
      <c r="L1525" s="5"/>
      <c r="P1525" s="23"/>
      <c r="Q1525" s="23"/>
      <c r="R1525" s="23"/>
      <c r="S1525" s="23"/>
    </row>
    <row r="1526" spans="1:19" ht="14.4" customHeight="1" x14ac:dyDescent="0.3">
      <c r="A1526" s="5">
        <v>1526</v>
      </c>
      <c r="B1526" s="5" t="s">
        <v>3164</v>
      </c>
      <c r="C1526" s="5" t="s">
        <v>3165</v>
      </c>
      <c r="D1526" s="5" t="s">
        <v>3165</v>
      </c>
      <c r="E1526" s="5" t="s">
        <v>3332</v>
      </c>
      <c r="F1526" s="5">
        <v>57670359</v>
      </c>
      <c r="G1526" s="5" t="s">
        <v>3082</v>
      </c>
      <c r="H1526" s="7">
        <v>45895</v>
      </c>
      <c r="I1526" s="7">
        <v>45901</v>
      </c>
      <c r="J1526" s="8">
        <v>100</v>
      </c>
      <c r="K1526" s="7">
        <v>45903</v>
      </c>
      <c r="L1526" s="5"/>
      <c r="P1526" s="23"/>
      <c r="Q1526" s="23"/>
      <c r="R1526" s="23"/>
      <c r="S1526" s="23"/>
    </row>
    <row r="1527" spans="1:19" ht="14.4" customHeight="1" x14ac:dyDescent="0.3">
      <c r="A1527" s="5">
        <v>1527</v>
      </c>
      <c r="B1527" s="5" t="s">
        <v>3166</v>
      </c>
      <c r="C1527" s="5" t="s">
        <v>3167</v>
      </c>
      <c r="D1527" s="5" t="s">
        <v>3167</v>
      </c>
      <c r="E1527" s="5" t="s">
        <v>3326</v>
      </c>
      <c r="F1527" s="5">
        <v>57953043</v>
      </c>
      <c r="G1527" s="5" t="s">
        <v>3082</v>
      </c>
      <c r="H1527" s="7">
        <v>45895</v>
      </c>
      <c r="I1527" s="7">
        <v>45901</v>
      </c>
      <c r="J1527" s="8">
        <v>100</v>
      </c>
      <c r="K1527" s="7">
        <v>45903</v>
      </c>
      <c r="L1527" s="5"/>
      <c r="P1527" s="23"/>
      <c r="Q1527" s="23"/>
      <c r="R1527" s="23"/>
      <c r="S1527" s="23"/>
    </row>
    <row r="1528" spans="1:19" ht="14.4" customHeight="1" x14ac:dyDescent="0.3">
      <c r="A1528" s="5">
        <v>1528</v>
      </c>
      <c r="B1528" s="5" t="s">
        <v>3168</v>
      </c>
      <c r="C1528" s="5" t="s">
        <v>3169</v>
      </c>
      <c r="D1528" s="5" t="s">
        <v>3169</v>
      </c>
      <c r="E1528" s="5" t="s">
        <v>3327</v>
      </c>
      <c r="F1528" s="5">
        <v>59153190</v>
      </c>
      <c r="G1528" s="5" t="s">
        <v>3082</v>
      </c>
      <c r="H1528" s="7">
        <v>45895</v>
      </c>
      <c r="I1528" s="7">
        <v>45901</v>
      </c>
      <c r="J1528" s="8">
        <v>100</v>
      </c>
      <c r="K1528" s="7">
        <v>45903</v>
      </c>
      <c r="L1528" s="5"/>
      <c r="P1528" s="23"/>
      <c r="Q1528" s="23"/>
      <c r="R1528" s="23"/>
      <c r="S1528" s="23"/>
    </row>
    <row r="1529" spans="1:19" ht="14.4" customHeight="1" x14ac:dyDescent="0.3">
      <c r="A1529" s="5">
        <v>1529</v>
      </c>
      <c r="B1529" s="5" t="s">
        <v>3170</v>
      </c>
      <c r="C1529" s="5" t="s">
        <v>3169</v>
      </c>
      <c r="D1529" s="5" t="s">
        <v>3169</v>
      </c>
      <c r="E1529" s="5" t="s">
        <v>3327</v>
      </c>
      <c r="F1529" s="5">
        <v>57169782</v>
      </c>
      <c r="G1529" s="5" t="s">
        <v>3082</v>
      </c>
      <c r="H1529" s="7">
        <v>45895</v>
      </c>
      <c r="I1529" s="7">
        <v>45901</v>
      </c>
      <c r="J1529" s="8">
        <v>100</v>
      </c>
      <c r="K1529" s="7">
        <v>45903</v>
      </c>
      <c r="L1529" s="5"/>
      <c r="P1529" s="23"/>
      <c r="Q1529" s="23"/>
      <c r="R1529" s="23"/>
      <c r="S1529" s="23"/>
    </row>
    <row r="1530" spans="1:19" ht="14.4" customHeight="1" x14ac:dyDescent="0.3">
      <c r="A1530" s="5">
        <v>1530</v>
      </c>
      <c r="B1530" s="5" t="s">
        <v>3171</v>
      </c>
      <c r="C1530" s="5" t="s">
        <v>3172</v>
      </c>
      <c r="D1530" s="5" t="s">
        <v>3172</v>
      </c>
      <c r="E1530" s="5" t="s">
        <v>2913</v>
      </c>
      <c r="F1530" s="5">
        <v>57628544</v>
      </c>
      <c r="G1530" s="5" t="s">
        <v>3082</v>
      </c>
      <c r="H1530" s="7">
        <v>45895</v>
      </c>
      <c r="I1530" s="7">
        <v>45901</v>
      </c>
      <c r="J1530" s="8">
        <v>100</v>
      </c>
      <c r="K1530" s="7">
        <v>45903</v>
      </c>
      <c r="L1530" s="5"/>
      <c r="P1530" s="23"/>
      <c r="Q1530" s="23"/>
      <c r="R1530" s="23"/>
      <c r="S1530" s="23"/>
    </row>
    <row r="1531" spans="1:19" ht="14.4" customHeight="1" x14ac:dyDescent="0.3">
      <c r="A1531" s="5">
        <v>1531</v>
      </c>
      <c r="B1531" s="5" t="s">
        <v>3173</v>
      </c>
      <c r="C1531" s="5" t="s">
        <v>3174</v>
      </c>
      <c r="D1531" s="5" t="s">
        <v>3174</v>
      </c>
      <c r="E1531" s="5" t="s">
        <v>3307</v>
      </c>
      <c r="F1531" s="5">
        <v>52547066</v>
      </c>
      <c r="G1531" s="5" t="s">
        <v>3082</v>
      </c>
      <c r="H1531" s="7">
        <v>45895</v>
      </c>
      <c r="I1531" s="7">
        <v>45901</v>
      </c>
      <c r="J1531" s="8">
        <v>100</v>
      </c>
      <c r="K1531" s="7">
        <v>45903</v>
      </c>
      <c r="L1531" s="5"/>
      <c r="P1531" s="23"/>
      <c r="Q1531" s="23"/>
      <c r="R1531" s="23"/>
      <c r="S1531" s="23"/>
    </row>
    <row r="1532" spans="1:19" ht="14.4" customHeight="1" x14ac:dyDescent="0.3">
      <c r="A1532" s="5">
        <v>1532</v>
      </c>
      <c r="B1532" s="5" t="s">
        <v>3175</v>
      </c>
      <c r="C1532" s="5" t="s">
        <v>3174</v>
      </c>
      <c r="D1532" s="5" t="s">
        <v>3174</v>
      </c>
      <c r="E1532" s="5" t="s">
        <v>3307</v>
      </c>
      <c r="F1532" s="5">
        <v>57023168</v>
      </c>
      <c r="G1532" s="5" t="s">
        <v>3082</v>
      </c>
      <c r="H1532" s="7">
        <v>45895</v>
      </c>
      <c r="I1532" s="7">
        <v>45901</v>
      </c>
      <c r="J1532" s="8">
        <v>100</v>
      </c>
      <c r="K1532" s="7">
        <v>45903</v>
      </c>
      <c r="L1532" s="5"/>
      <c r="P1532" s="23"/>
      <c r="Q1532" s="23"/>
      <c r="R1532" s="23"/>
      <c r="S1532" s="23"/>
    </row>
    <row r="1533" spans="1:19" ht="14.4" customHeight="1" x14ac:dyDescent="0.3">
      <c r="A1533" s="5">
        <v>1533</v>
      </c>
      <c r="B1533" s="5" t="s">
        <v>3176</v>
      </c>
      <c r="C1533" s="5" t="s">
        <v>3177</v>
      </c>
      <c r="D1533" s="5" t="s">
        <v>3177</v>
      </c>
      <c r="E1533" s="5" t="s">
        <v>3322</v>
      </c>
      <c r="F1533" s="5">
        <v>57519228</v>
      </c>
      <c r="G1533" s="5" t="s">
        <v>3082</v>
      </c>
      <c r="H1533" s="7">
        <v>45895</v>
      </c>
      <c r="I1533" s="7">
        <v>45901</v>
      </c>
      <c r="J1533" s="8">
        <v>100</v>
      </c>
      <c r="K1533" s="7">
        <v>45903</v>
      </c>
      <c r="L1533" s="5"/>
      <c r="P1533" s="23"/>
      <c r="Q1533" s="23"/>
      <c r="R1533" s="23"/>
      <c r="S1533" s="23"/>
    </row>
    <row r="1534" spans="1:19" ht="14.4" customHeight="1" x14ac:dyDescent="0.3">
      <c r="A1534" s="5">
        <v>1534</v>
      </c>
      <c r="B1534" s="5" t="s">
        <v>3178</v>
      </c>
      <c r="C1534" s="5" t="s">
        <v>3179</v>
      </c>
      <c r="D1534" s="5" t="s">
        <v>3179</v>
      </c>
      <c r="E1534" s="5" t="s">
        <v>3328</v>
      </c>
      <c r="F1534" s="5">
        <v>59188979</v>
      </c>
      <c r="G1534" s="5" t="s">
        <v>3082</v>
      </c>
      <c r="H1534" s="7">
        <v>45895</v>
      </c>
      <c r="I1534" s="7">
        <v>45901</v>
      </c>
      <c r="J1534" s="8">
        <v>100</v>
      </c>
      <c r="K1534" s="7">
        <v>45903</v>
      </c>
      <c r="L1534" s="5"/>
      <c r="P1534" s="23"/>
      <c r="Q1534" s="23"/>
      <c r="R1534" s="23"/>
      <c r="S1534" s="23"/>
    </row>
    <row r="1535" spans="1:19" ht="14.4" customHeight="1" x14ac:dyDescent="0.3">
      <c r="A1535" s="5">
        <v>1535</v>
      </c>
      <c r="B1535" s="5" t="s">
        <v>3180</v>
      </c>
      <c r="C1535" s="5" t="s">
        <v>3181</v>
      </c>
      <c r="D1535" s="5" t="s">
        <v>3181</v>
      </c>
      <c r="E1535" s="5" t="s">
        <v>3299</v>
      </c>
      <c r="F1535" s="5">
        <v>57917236</v>
      </c>
      <c r="G1535" s="5" t="s">
        <v>3082</v>
      </c>
      <c r="H1535" s="7">
        <v>45895</v>
      </c>
      <c r="I1535" s="7">
        <v>45901</v>
      </c>
      <c r="J1535" s="8">
        <v>100</v>
      </c>
      <c r="K1535" s="7">
        <v>45903</v>
      </c>
      <c r="L1535" s="5"/>
      <c r="P1535" s="23"/>
      <c r="Q1535" s="23"/>
      <c r="R1535" s="23"/>
      <c r="S1535" s="23"/>
    </row>
    <row r="1536" spans="1:19" ht="14.4" customHeight="1" x14ac:dyDescent="0.3">
      <c r="A1536" s="5">
        <v>1536</v>
      </c>
      <c r="B1536" s="5" t="s">
        <v>3182</v>
      </c>
      <c r="C1536" s="5" t="s">
        <v>3183</v>
      </c>
      <c r="D1536" s="5" t="s">
        <v>3183</v>
      </c>
      <c r="E1536" s="5" t="s">
        <v>3345</v>
      </c>
      <c r="F1536" s="5">
        <v>57050487</v>
      </c>
      <c r="G1536" s="5" t="s">
        <v>3082</v>
      </c>
      <c r="H1536" s="7">
        <v>45895</v>
      </c>
      <c r="I1536" s="7">
        <v>45901</v>
      </c>
      <c r="J1536" s="8">
        <v>100</v>
      </c>
      <c r="K1536" s="7">
        <v>45903</v>
      </c>
      <c r="L1536" s="5"/>
      <c r="P1536" s="23"/>
      <c r="Q1536" s="23"/>
      <c r="R1536" s="23"/>
      <c r="S1536" s="23"/>
    </row>
    <row r="1537" spans="1:19" ht="14.4" customHeight="1" x14ac:dyDescent="0.3">
      <c r="A1537" s="5">
        <v>1537</v>
      </c>
      <c r="B1537" s="5" t="s">
        <v>3184</v>
      </c>
      <c r="C1537" s="5" t="s">
        <v>3185</v>
      </c>
      <c r="D1537" s="5" t="s">
        <v>3185</v>
      </c>
      <c r="E1537" s="5" t="s">
        <v>3348</v>
      </c>
      <c r="F1537" s="5">
        <v>57551335</v>
      </c>
      <c r="G1537" s="5" t="s">
        <v>3082</v>
      </c>
      <c r="H1537" s="7">
        <v>45895</v>
      </c>
      <c r="I1537" s="7">
        <v>45901</v>
      </c>
      <c r="J1537" s="8">
        <v>100</v>
      </c>
      <c r="K1537" s="7">
        <v>45903</v>
      </c>
      <c r="L1537" s="5"/>
      <c r="P1537" s="23"/>
      <c r="Q1537" s="23"/>
      <c r="R1537" s="23"/>
      <c r="S1537" s="23"/>
    </row>
    <row r="1538" spans="1:19" ht="14.4" customHeight="1" x14ac:dyDescent="0.3">
      <c r="A1538" s="5">
        <v>1538</v>
      </c>
      <c r="B1538" s="5" t="s">
        <v>3186</v>
      </c>
      <c r="C1538" s="5" t="s">
        <v>3187</v>
      </c>
      <c r="D1538" s="5" t="s">
        <v>3187</v>
      </c>
      <c r="E1538" s="5" t="s">
        <v>3349</v>
      </c>
      <c r="F1538" s="5">
        <v>59230819</v>
      </c>
      <c r="G1538" s="5" t="s">
        <v>3082</v>
      </c>
      <c r="H1538" s="7">
        <v>45895</v>
      </c>
      <c r="I1538" s="7">
        <v>45901</v>
      </c>
      <c r="J1538" s="8">
        <v>100</v>
      </c>
      <c r="K1538" s="7">
        <v>45903</v>
      </c>
      <c r="L1538" s="5"/>
      <c r="P1538" s="23"/>
      <c r="Q1538" s="23"/>
      <c r="R1538" s="23"/>
      <c r="S1538" s="23"/>
    </row>
    <row r="1539" spans="1:19" ht="14.4" customHeight="1" x14ac:dyDescent="0.3">
      <c r="A1539" s="5">
        <v>1539</v>
      </c>
      <c r="B1539" s="5" t="s">
        <v>3188</v>
      </c>
      <c r="C1539" s="5" t="s">
        <v>3189</v>
      </c>
      <c r="D1539" s="5" t="s">
        <v>3189</v>
      </c>
      <c r="E1539" s="5" t="s">
        <v>3330</v>
      </c>
      <c r="F1539" s="5">
        <v>54751291</v>
      </c>
      <c r="G1539" s="5" t="s">
        <v>3082</v>
      </c>
      <c r="H1539" s="7">
        <v>45895</v>
      </c>
      <c r="I1539" s="7">
        <v>45901</v>
      </c>
      <c r="J1539" s="8">
        <v>100</v>
      </c>
      <c r="K1539" s="7">
        <v>45903</v>
      </c>
      <c r="L1539" s="5"/>
      <c r="P1539" s="23"/>
      <c r="Q1539" s="23"/>
      <c r="R1539" s="23"/>
      <c r="S1539" s="23"/>
    </row>
    <row r="1540" spans="1:19" ht="14.4" customHeight="1" x14ac:dyDescent="0.3">
      <c r="A1540" s="5">
        <v>1540</v>
      </c>
      <c r="B1540" s="5" t="s">
        <v>3190</v>
      </c>
      <c r="C1540" s="5" t="s">
        <v>3191</v>
      </c>
      <c r="D1540" s="5" t="s">
        <v>3191</v>
      </c>
      <c r="E1540" s="5" t="s">
        <v>3317</v>
      </c>
      <c r="F1540" s="5">
        <v>57877841</v>
      </c>
      <c r="G1540" s="5" t="s">
        <v>3082</v>
      </c>
      <c r="H1540" s="7">
        <v>45895</v>
      </c>
      <c r="I1540" s="7">
        <v>45901</v>
      </c>
      <c r="J1540" s="8">
        <v>100</v>
      </c>
      <c r="K1540" s="7">
        <v>45903</v>
      </c>
      <c r="L1540" s="5"/>
      <c r="P1540" s="23"/>
      <c r="Q1540" s="23"/>
      <c r="R1540" s="23"/>
      <c r="S1540" s="23"/>
    </row>
    <row r="1541" spans="1:19" ht="14.4" customHeight="1" x14ac:dyDescent="0.3">
      <c r="A1541" s="5">
        <v>1541</v>
      </c>
      <c r="B1541" s="5" t="s">
        <v>3192</v>
      </c>
      <c r="C1541" s="5" t="s">
        <v>3191</v>
      </c>
      <c r="D1541" s="5" t="s">
        <v>3191</v>
      </c>
      <c r="E1541" s="5" t="s">
        <v>3317</v>
      </c>
      <c r="F1541" s="5">
        <v>58670585</v>
      </c>
      <c r="G1541" s="5" t="s">
        <v>3082</v>
      </c>
      <c r="H1541" s="7">
        <v>45895</v>
      </c>
      <c r="I1541" s="7">
        <v>45901</v>
      </c>
      <c r="J1541" s="8">
        <v>100</v>
      </c>
      <c r="K1541" s="7">
        <v>45903</v>
      </c>
      <c r="L1541" s="5"/>
      <c r="P1541" s="23"/>
      <c r="Q1541" s="23"/>
      <c r="R1541" s="23"/>
      <c r="S1541" s="23"/>
    </row>
    <row r="1542" spans="1:19" ht="14.4" customHeight="1" x14ac:dyDescent="0.3">
      <c r="A1542" s="5">
        <v>1542</v>
      </c>
      <c r="B1542" s="5" t="s">
        <v>3193</v>
      </c>
      <c r="C1542" s="5" t="s">
        <v>3194</v>
      </c>
      <c r="D1542" s="5" t="s">
        <v>3194</v>
      </c>
      <c r="E1542" s="5" t="s">
        <v>3350</v>
      </c>
      <c r="F1542" s="5">
        <v>59895766</v>
      </c>
      <c r="G1542" s="5" t="s">
        <v>3082</v>
      </c>
      <c r="H1542" s="7">
        <v>45895</v>
      </c>
      <c r="I1542" s="7">
        <v>45901</v>
      </c>
      <c r="J1542" s="8">
        <v>100</v>
      </c>
      <c r="K1542" s="7">
        <v>45903</v>
      </c>
      <c r="L1542" s="5"/>
      <c r="P1542" s="23"/>
      <c r="Q1542" s="23"/>
      <c r="R1542" s="23"/>
      <c r="S1542" s="23"/>
    </row>
    <row r="1543" spans="1:19" ht="14.4" customHeight="1" x14ac:dyDescent="0.3">
      <c r="A1543" s="5">
        <v>1543</v>
      </c>
      <c r="B1543" s="5" t="s">
        <v>3195</v>
      </c>
      <c r="C1543" s="5" t="s">
        <v>3196</v>
      </c>
      <c r="D1543" s="5" t="s">
        <v>3196</v>
      </c>
      <c r="E1543" s="5" t="s">
        <v>3329</v>
      </c>
      <c r="F1543" s="5">
        <v>57967615</v>
      </c>
      <c r="G1543" s="5" t="s">
        <v>3082</v>
      </c>
      <c r="H1543" s="7">
        <v>45895</v>
      </c>
      <c r="I1543" s="7">
        <v>45901</v>
      </c>
      <c r="J1543" s="8">
        <v>100</v>
      </c>
      <c r="K1543" s="7">
        <v>45903</v>
      </c>
      <c r="L1543" s="5"/>
      <c r="P1543" s="23"/>
      <c r="Q1543" s="23"/>
      <c r="R1543" s="23"/>
      <c r="S1543" s="23"/>
    </row>
    <row r="1544" spans="1:19" ht="14.4" customHeight="1" x14ac:dyDescent="0.3">
      <c r="A1544" s="5">
        <v>1544</v>
      </c>
      <c r="B1544" s="5" t="s">
        <v>3197</v>
      </c>
      <c r="C1544" s="5" t="s">
        <v>3198</v>
      </c>
      <c r="D1544" s="5" t="s">
        <v>3198</v>
      </c>
      <c r="E1544" s="5" t="s">
        <v>3320</v>
      </c>
      <c r="F1544" s="5">
        <v>57317485</v>
      </c>
      <c r="G1544" s="5" t="s">
        <v>3082</v>
      </c>
      <c r="H1544" s="7">
        <v>45895</v>
      </c>
      <c r="I1544" s="7">
        <v>45901</v>
      </c>
      <c r="J1544" s="8">
        <v>100</v>
      </c>
      <c r="K1544" s="7">
        <v>45903</v>
      </c>
      <c r="L1544" s="5"/>
      <c r="P1544" s="23"/>
      <c r="Q1544" s="23"/>
      <c r="R1544" s="23"/>
      <c r="S1544" s="23"/>
    </row>
    <row r="1545" spans="1:19" ht="14.4" customHeight="1" x14ac:dyDescent="0.3">
      <c r="A1545" s="5">
        <v>1545</v>
      </c>
      <c r="B1545" s="5" t="s">
        <v>3199</v>
      </c>
      <c r="C1545" s="5" t="s">
        <v>3200</v>
      </c>
      <c r="D1545" s="5" t="s">
        <v>3200</v>
      </c>
      <c r="E1545" s="5" t="s">
        <v>3313</v>
      </c>
      <c r="F1545" s="5">
        <v>57628150</v>
      </c>
      <c r="G1545" s="5" t="s">
        <v>3082</v>
      </c>
      <c r="H1545" s="7">
        <v>45895</v>
      </c>
      <c r="I1545" s="7">
        <v>45901</v>
      </c>
      <c r="J1545" s="8">
        <v>100</v>
      </c>
      <c r="K1545" s="7">
        <v>45903</v>
      </c>
      <c r="L1545" s="5"/>
      <c r="P1545" s="23"/>
      <c r="Q1545" s="23"/>
      <c r="R1545" s="23"/>
      <c r="S1545" s="23"/>
    </row>
    <row r="1546" spans="1:19" ht="14.4" customHeight="1" x14ac:dyDescent="0.3">
      <c r="A1546" s="5">
        <v>1546</v>
      </c>
      <c r="B1546" s="5" t="s">
        <v>3201</v>
      </c>
      <c r="C1546" s="5" t="s">
        <v>3202</v>
      </c>
      <c r="D1546" s="5" t="s">
        <v>3202</v>
      </c>
      <c r="E1546" s="5" t="s">
        <v>3337</v>
      </c>
      <c r="F1546" s="5">
        <v>57979108</v>
      </c>
      <c r="G1546" s="5" t="s">
        <v>3082</v>
      </c>
      <c r="H1546" s="7">
        <v>45895</v>
      </c>
      <c r="I1546" s="7">
        <v>45901</v>
      </c>
      <c r="J1546" s="8">
        <v>100</v>
      </c>
      <c r="K1546" s="7">
        <v>45903</v>
      </c>
      <c r="L1546" s="5"/>
      <c r="P1546" s="23"/>
      <c r="Q1546" s="23"/>
      <c r="R1546" s="23"/>
      <c r="S1546" s="23"/>
    </row>
    <row r="1547" spans="1:19" ht="14.4" customHeight="1" x14ac:dyDescent="0.3">
      <c r="A1547" s="5">
        <v>1547</v>
      </c>
      <c r="B1547" s="5" t="s">
        <v>3203</v>
      </c>
      <c r="C1547" s="5" t="s">
        <v>3202</v>
      </c>
      <c r="D1547" s="5" t="s">
        <v>3202</v>
      </c>
      <c r="E1547" s="5" t="s">
        <v>3337</v>
      </c>
      <c r="F1547" s="5">
        <v>57098642</v>
      </c>
      <c r="G1547" s="5" t="s">
        <v>3082</v>
      </c>
      <c r="H1547" s="7">
        <v>45895</v>
      </c>
      <c r="I1547" s="7">
        <v>45901</v>
      </c>
      <c r="J1547" s="8">
        <v>100</v>
      </c>
      <c r="K1547" s="7">
        <v>45903</v>
      </c>
      <c r="L1547" s="5"/>
      <c r="P1547" s="23"/>
      <c r="Q1547" s="23"/>
      <c r="R1547" s="23"/>
      <c r="S1547" s="23"/>
    </row>
    <row r="1548" spans="1:19" ht="14.4" customHeight="1" x14ac:dyDescent="0.3">
      <c r="A1548" s="5">
        <v>1549</v>
      </c>
      <c r="B1548" s="5" t="s">
        <v>3205</v>
      </c>
      <c r="C1548" s="5" t="s">
        <v>3206</v>
      </c>
      <c r="D1548" s="5" t="s">
        <v>3206</v>
      </c>
      <c r="E1548" s="5" t="s">
        <v>98</v>
      </c>
      <c r="F1548" s="5">
        <v>57096981</v>
      </c>
      <c r="G1548" s="5" t="s">
        <v>3082</v>
      </c>
      <c r="H1548" s="7">
        <v>45895</v>
      </c>
      <c r="I1548" s="7">
        <v>45901</v>
      </c>
      <c r="J1548" s="8">
        <v>100</v>
      </c>
      <c r="K1548" s="7">
        <v>45903</v>
      </c>
      <c r="L1548" s="5"/>
      <c r="P1548" s="23"/>
      <c r="Q1548" s="23"/>
      <c r="R1548" s="23"/>
      <c r="S1548" s="23"/>
    </row>
    <row r="1549" spans="1:19" ht="14.4" customHeight="1" x14ac:dyDescent="0.3">
      <c r="A1549" s="5">
        <v>1550</v>
      </c>
      <c r="B1549" s="5" t="s">
        <v>3207</v>
      </c>
      <c r="C1549" s="5" t="s">
        <v>3208</v>
      </c>
      <c r="D1549" s="5" t="s">
        <v>3208</v>
      </c>
      <c r="E1549" s="5" t="s">
        <v>923</v>
      </c>
      <c r="F1549" s="5">
        <v>57048813</v>
      </c>
      <c r="G1549" s="5" t="s">
        <v>3082</v>
      </c>
      <c r="H1549" s="7">
        <v>45895</v>
      </c>
      <c r="I1549" s="7">
        <v>45901</v>
      </c>
      <c r="J1549" s="8">
        <v>100</v>
      </c>
      <c r="K1549" s="7">
        <v>45903</v>
      </c>
      <c r="L1549" s="5"/>
      <c r="P1549" s="23"/>
      <c r="Q1549" s="23"/>
      <c r="R1549" s="23"/>
      <c r="S1549" s="23"/>
    </row>
    <row r="1550" spans="1:19" ht="14.4" customHeight="1" x14ac:dyDescent="0.3">
      <c r="A1550" s="5">
        <v>1551</v>
      </c>
      <c r="B1550" s="5" t="s">
        <v>3209</v>
      </c>
      <c r="C1550" s="5" t="s">
        <v>3210</v>
      </c>
      <c r="D1550" s="5" t="s">
        <v>3210</v>
      </c>
      <c r="E1550" s="5" t="s">
        <v>3308</v>
      </c>
      <c r="F1550" s="5">
        <v>59026136</v>
      </c>
      <c r="G1550" s="5" t="s">
        <v>3082</v>
      </c>
      <c r="H1550" s="7">
        <v>45895</v>
      </c>
      <c r="I1550" s="7">
        <v>45901</v>
      </c>
      <c r="J1550" s="8">
        <v>100</v>
      </c>
      <c r="K1550" s="7">
        <v>45903</v>
      </c>
      <c r="L1550" s="5"/>
      <c r="P1550" s="23"/>
      <c r="Q1550" s="23"/>
      <c r="R1550" s="23"/>
      <c r="S1550" s="23"/>
    </row>
    <row r="1551" spans="1:19" ht="14.4" customHeight="1" x14ac:dyDescent="0.3">
      <c r="A1551" s="5">
        <v>1552</v>
      </c>
      <c r="B1551" s="5" t="s">
        <v>3211</v>
      </c>
      <c r="C1551" s="5" t="s">
        <v>3212</v>
      </c>
      <c r="D1551" s="5" t="s">
        <v>3212</v>
      </c>
      <c r="E1551" s="5" t="s">
        <v>3314</v>
      </c>
      <c r="F1551" s="5">
        <v>57611902</v>
      </c>
      <c r="G1551" s="5" t="s">
        <v>3082</v>
      </c>
      <c r="H1551" s="7">
        <v>45895</v>
      </c>
      <c r="I1551" s="7">
        <v>45901</v>
      </c>
      <c r="J1551" s="8">
        <v>100</v>
      </c>
      <c r="K1551" s="7">
        <v>45903</v>
      </c>
      <c r="L1551" s="5"/>
      <c r="P1551" s="23"/>
      <c r="Q1551" s="23"/>
      <c r="R1551" s="23"/>
      <c r="S1551" s="23"/>
    </row>
    <row r="1552" spans="1:19" ht="14.4" customHeight="1" x14ac:dyDescent="0.3">
      <c r="A1552" s="5">
        <v>1553</v>
      </c>
      <c r="B1552" s="5" t="s">
        <v>3213</v>
      </c>
      <c r="C1552" s="5" t="s">
        <v>3214</v>
      </c>
      <c r="D1552" s="5" t="s">
        <v>3214</v>
      </c>
      <c r="E1552" s="5" t="s">
        <v>223</v>
      </c>
      <c r="F1552" s="5">
        <v>57835363</v>
      </c>
      <c r="G1552" s="5" t="s">
        <v>3082</v>
      </c>
      <c r="H1552" s="7">
        <v>45895</v>
      </c>
      <c r="I1552" s="7">
        <v>45901</v>
      </c>
      <c r="J1552" s="8">
        <v>100</v>
      </c>
      <c r="K1552" s="7">
        <v>45903</v>
      </c>
      <c r="L1552" s="5"/>
      <c r="P1552" s="23"/>
      <c r="Q1552" s="23"/>
      <c r="R1552" s="23"/>
    </row>
    <row r="1553" spans="1:18" ht="14.4" customHeight="1" x14ac:dyDescent="0.3">
      <c r="A1553" s="5">
        <v>1554</v>
      </c>
      <c r="B1553" s="5" t="s">
        <v>3215</v>
      </c>
      <c r="C1553" s="5" t="s">
        <v>3216</v>
      </c>
      <c r="D1553" s="5" t="s">
        <v>3216</v>
      </c>
      <c r="E1553" s="5" t="s">
        <v>223</v>
      </c>
      <c r="F1553" s="5">
        <v>59114101</v>
      </c>
      <c r="G1553" s="5" t="s">
        <v>3082</v>
      </c>
      <c r="H1553" s="7">
        <v>45895</v>
      </c>
      <c r="I1553" s="7">
        <v>45901</v>
      </c>
      <c r="J1553" s="8">
        <v>100</v>
      </c>
      <c r="K1553" s="7">
        <v>45903</v>
      </c>
      <c r="L1553" s="5"/>
      <c r="P1553" s="23"/>
      <c r="Q1553" s="23"/>
      <c r="R1553" s="23"/>
    </row>
    <row r="1554" spans="1:18" ht="14.4" customHeight="1" x14ac:dyDescent="0.3">
      <c r="A1554" s="5">
        <v>1555</v>
      </c>
      <c r="B1554" s="5" t="s">
        <v>3217</v>
      </c>
      <c r="C1554" s="5" t="s">
        <v>3216</v>
      </c>
      <c r="D1554" s="5" t="s">
        <v>3216</v>
      </c>
      <c r="E1554" s="5" t="s">
        <v>223</v>
      </c>
      <c r="F1554" s="5">
        <v>57217237</v>
      </c>
      <c r="G1554" s="5" t="s">
        <v>3082</v>
      </c>
      <c r="H1554" s="7">
        <v>45895</v>
      </c>
      <c r="I1554" s="7">
        <v>45901</v>
      </c>
      <c r="J1554" s="8">
        <v>100</v>
      </c>
      <c r="K1554" s="7">
        <v>45903</v>
      </c>
      <c r="L1554" s="5"/>
      <c r="P1554" s="23"/>
      <c r="Q1554" s="23"/>
      <c r="R1554" s="23"/>
    </row>
    <row r="1555" spans="1:18" ht="14.4" customHeight="1" x14ac:dyDescent="0.3">
      <c r="A1555" s="5">
        <v>1556</v>
      </c>
      <c r="B1555" s="5" t="s">
        <v>3218</v>
      </c>
      <c r="C1555" s="5" t="s">
        <v>3219</v>
      </c>
      <c r="D1555" s="5" t="s">
        <v>3219</v>
      </c>
      <c r="E1555" s="5" t="s">
        <v>3344</v>
      </c>
      <c r="F1555" s="5">
        <v>59093155</v>
      </c>
      <c r="G1555" s="5" t="s">
        <v>3082</v>
      </c>
      <c r="H1555" s="7">
        <v>45895</v>
      </c>
      <c r="I1555" s="7">
        <v>45901</v>
      </c>
      <c r="J1555" s="8">
        <v>100</v>
      </c>
      <c r="K1555" s="7">
        <v>45903</v>
      </c>
      <c r="L1555" s="5"/>
      <c r="P1555" s="23"/>
      <c r="Q1555" s="23"/>
      <c r="R1555" s="23"/>
    </row>
    <row r="1556" spans="1:18" ht="14.4" customHeight="1" x14ac:dyDescent="0.3">
      <c r="A1556" s="5">
        <v>1557</v>
      </c>
      <c r="B1556" s="5" t="s">
        <v>3220</v>
      </c>
      <c r="C1556" s="5" t="s">
        <v>3221</v>
      </c>
      <c r="D1556" s="5" t="s">
        <v>3221</v>
      </c>
      <c r="E1556" s="5" t="s">
        <v>3334</v>
      </c>
      <c r="F1556" s="5">
        <v>57716080</v>
      </c>
      <c r="G1556" s="5" t="s">
        <v>3082</v>
      </c>
      <c r="H1556" s="7">
        <v>45895</v>
      </c>
      <c r="I1556" s="7">
        <v>45901</v>
      </c>
      <c r="J1556" s="8">
        <v>100</v>
      </c>
      <c r="K1556" s="7">
        <v>45903</v>
      </c>
      <c r="L1556" s="5"/>
      <c r="P1556" s="23"/>
      <c r="Q1556" s="23"/>
      <c r="R1556" s="23"/>
    </row>
    <row r="1557" spans="1:18" ht="14.4" customHeight="1" x14ac:dyDescent="0.3">
      <c r="A1557" s="5">
        <v>1558</v>
      </c>
      <c r="B1557" s="5" t="s">
        <v>3222</v>
      </c>
      <c r="C1557" s="5" t="s">
        <v>3223</v>
      </c>
      <c r="D1557" s="5" t="s">
        <v>3223</v>
      </c>
      <c r="E1557" s="5" t="s">
        <v>3300</v>
      </c>
      <c r="F1557" s="5">
        <v>59251761</v>
      </c>
      <c r="G1557" s="5" t="s">
        <v>3082</v>
      </c>
      <c r="H1557" s="7">
        <v>45895</v>
      </c>
      <c r="I1557" s="7">
        <v>45901</v>
      </c>
      <c r="J1557" s="8">
        <v>100</v>
      </c>
      <c r="K1557" s="7">
        <v>45903</v>
      </c>
      <c r="L1557" s="5"/>
      <c r="P1557" s="23"/>
      <c r="Q1557" s="23"/>
      <c r="R1557" s="23"/>
    </row>
    <row r="1558" spans="1:18" ht="14.4" customHeight="1" x14ac:dyDescent="0.3">
      <c r="A1558" s="5">
        <v>1559</v>
      </c>
      <c r="B1558" s="5" t="s">
        <v>3224</v>
      </c>
      <c r="C1558" s="5" t="s">
        <v>3225</v>
      </c>
      <c r="D1558" s="5" t="s">
        <v>3225</v>
      </c>
      <c r="E1558" s="5" t="s">
        <v>3338</v>
      </c>
      <c r="F1558" s="5">
        <v>57853135</v>
      </c>
      <c r="G1558" s="5" t="s">
        <v>3082</v>
      </c>
      <c r="H1558" s="7">
        <v>45895</v>
      </c>
      <c r="I1558" s="7">
        <v>45901</v>
      </c>
      <c r="J1558" s="8">
        <v>300</v>
      </c>
      <c r="K1558" s="7">
        <v>45903</v>
      </c>
      <c r="L1558" s="5"/>
      <c r="P1558" s="23"/>
      <c r="Q1558" s="23"/>
      <c r="R1558" s="23"/>
    </row>
    <row r="1559" spans="1:18" ht="14.4" customHeight="1" x14ac:dyDescent="0.3">
      <c r="A1559" s="5">
        <v>1560</v>
      </c>
      <c r="B1559" s="5" t="s">
        <v>3226</v>
      </c>
      <c r="C1559" s="5" t="s">
        <v>3227</v>
      </c>
      <c r="D1559" s="5" t="s">
        <v>3227</v>
      </c>
      <c r="E1559" s="5" t="s">
        <v>3315</v>
      </c>
      <c r="F1559" s="5">
        <v>55029138</v>
      </c>
      <c r="G1559" s="5" t="s">
        <v>3082</v>
      </c>
      <c r="H1559" s="7">
        <v>45895</v>
      </c>
      <c r="I1559" s="7">
        <v>45901</v>
      </c>
      <c r="J1559" s="8">
        <v>100</v>
      </c>
      <c r="K1559" s="7">
        <v>45903</v>
      </c>
      <c r="L1559" s="5"/>
      <c r="P1559" s="23"/>
      <c r="Q1559" s="23"/>
      <c r="R1559" s="23"/>
    </row>
    <row r="1560" spans="1:18" ht="14.4" customHeight="1" x14ac:dyDescent="0.3">
      <c r="A1560" s="5">
        <v>1561</v>
      </c>
      <c r="B1560" s="5" t="s">
        <v>3228</v>
      </c>
      <c r="C1560" s="5" t="s">
        <v>3227</v>
      </c>
      <c r="D1560" s="5" t="s">
        <v>3227</v>
      </c>
      <c r="E1560" s="5" t="s">
        <v>3315</v>
      </c>
      <c r="F1560" s="5">
        <v>59403788</v>
      </c>
      <c r="G1560" s="5" t="s">
        <v>3082</v>
      </c>
      <c r="H1560" s="7">
        <v>45895</v>
      </c>
      <c r="I1560" s="7">
        <v>45901</v>
      </c>
      <c r="J1560" s="8">
        <v>100</v>
      </c>
      <c r="K1560" s="7">
        <v>45903</v>
      </c>
      <c r="L1560" s="5"/>
      <c r="P1560" s="23"/>
      <c r="Q1560" s="23"/>
      <c r="R1560" s="23"/>
    </row>
    <row r="1561" spans="1:18" ht="14.4" customHeight="1" x14ac:dyDescent="0.3">
      <c r="A1561" s="5">
        <v>1564</v>
      </c>
      <c r="B1561" s="5" t="s">
        <v>3234</v>
      </c>
      <c r="C1561" s="5" t="s">
        <v>3235</v>
      </c>
      <c r="D1561" s="5" t="s">
        <v>214</v>
      </c>
      <c r="E1561" s="5" t="s">
        <v>497</v>
      </c>
      <c r="F1561" s="5">
        <v>58598832</v>
      </c>
      <c r="G1561" s="5" t="s">
        <v>16</v>
      </c>
      <c r="H1561" s="7">
        <v>45897</v>
      </c>
      <c r="I1561" s="7">
        <v>45901</v>
      </c>
      <c r="J1561" s="8">
        <v>150</v>
      </c>
      <c r="K1561" s="7">
        <v>45903</v>
      </c>
      <c r="L1561" s="5"/>
      <c r="P1561" s="23"/>
      <c r="Q1561" s="23"/>
      <c r="R1561" s="23"/>
    </row>
    <row r="1562" spans="1:18" ht="14.4" customHeight="1" x14ac:dyDescent="0.3">
      <c r="A1562" s="5">
        <v>1565</v>
      </c>
      <c r="B1562" s="5" t="s">
        <v>2698</v>
      </c>
      <c r="C1562" s="5" t="s">
        <v>3236</v>
      </c>
      <c r="D1562" s="5" t="s">
        <v>84</v>
      </c>
      <c r="E1562" s="5" t="s">
        <v>2699</v>
      </c>
      <c r="F1562" s="5">
        <v>58381496</v>
      </c>
      <c r="G1562" s="5" t="s">
        <v>16</v>
      </c>
      <c r="H1562" s="7">
        <v>45897</v>
      </c>
      <c r="I1562" s="7">
        <v>45901</v>
      </c>
      <c r="J1562" s="8">
        <v>150</v>
      </c>
      <c r="K1562" s="7">
        <v>45903</v>
      </c>
      <c r="L1562" s="5"/>
      <c r="P1562" s="23"/>
      <c r="Q1562" s="23"/>
      <c r="R1562" s="23"/>
    </row>
    <row r="1563" spans="1:18" ht="14.4" customHeight="1" x14ac:dyDescent="0.3">
      <c r="A1563" s="5">
        <v>1566</v>
      </c>
      <c r="B1563" s="5" t="s">
        <v>3237</v>
      </c>
      <c r="C1563" s="5" t="s">
        <v>3238</v>
      </c>
      <c r="D1563" s="5" t="s">
        <v>3239</v>
      </c>
      <c r="E1563" s="5" t="s">
        <v>49</v>
      </c>
      <c r="F1563" s="5" t="s">
        <v>3240</v>
      </c>
      <c r="G1563" s="5" t="s">
        <v>16</v>
      </c>
      <c r="H1563" s="7">
        <v>45897</v>
      </c>
      <c r="I1563" s="7">
        <v>45901</v>
      </c>
      <c r="J1563" s="8">
        <v>150</v>
      </c>
      <c r="K1563" s="7">
        <v>45903</v>
      </c>
      <c r="L1563" s="5"/>
      <c r="P1563" s="23"/>
      <c r="Q1563" s="23"/>
      <c r="R1563" s="23"/>
    </row>
    <row r="1564" spans="1:18" ht="14.4" customHeight="1" x14ac:dyDescent="0.3">
      <c r="A1564" s="5">
        <v>1567</v>
      </c>
      <c r="B1564" s="5" t="s">
        <v>1613</v>
      </c>
      <c r="C1564" s="5" t="s">
        <v>1614</v>
      </c>
      <c r="D1564" s="5"/>
      <c r="E1564" s="5" t="s">
        <v>1615</v>
      </c>
      <c r="F1564" s="5">
        <v>57651014</v>
      </c>
      <c r="G1564" s="5" t="s">
        <v>16</v>
      </c>
      <c r="H1564" s="7">
        <v>45897</v>
      </c>
      <c r="I1564" s="7">
        <v>45901</v>
      </c>
      <c r="J1564" s="8">
        <v>150</v>
      </c>
      <c r="K1564" s="7">
        <v>45903</v>
      </c>
      <c r="L1564" s="5"/>
      <c r="P1564" s="23"/>
      <c r="Q1564" s="23"/>
      <c r="R1564" s="23"/>
    </row>
    <row r="1565" spans="1:18" ht="14.4" customHeight="1" x14ac:dyDescent="0.3">
      <c r="A1565" s="5">
        <v>1568</v>
      </c>
      <c r="B1565" s="5" t="s">
        <v>3241</v>
      </c>
      <c r="C1565" s="5" t="s">
        <v>3242</v>
      </c>
      <c r="D1565" s="5" t="s">
        <v>22</v>
      </c>
      <c r="E1565" s="5" t="s">
        <v>31</v>
      </c>
      <c r="F1565" s="5">
        <v>58172285</v>
      </c>
      <c r="G1565" s="5" t="s">
        <v>16</v>
      </c>
      <c r="H1565" s="7">
        <v>45897</v>
      </c>
      <c r="I1565" s="7">
        <v>45901</v>
      </c>
      <c r="J1565" s="8">
        <v>150</v>
      </c>
      <c r="K1565" s="7">
        <v>45903</v>
      </c>
      <c r="L1565" s="5"/>
      <c r="P1565" s="23"/>
      <c r="Q1565" s="23"/>
      <c r="R1565" s="23"/>
    </row>
    <row r="1566" spans="1:18" ht="14.4" customHeight="1" x14ac:dyDescent="0.3">
      <c r="A1566" s="5">
        <v>1569</v>
      </c>
      <c r="B1566" s="5" t="s">
        <v>3243</v>
      </c>
      <c r="C1566" s="5" t="s">
        <v>3244</v>
      </c>
      <c r="D1566" s="5" t="s">
        <v>30</v>
      </c>
      <c r="E1566" s="5" t="s">
        <v>223</v>
      </c>
      <c r="F1566" s="5">
        <v>54965550</v>
      </c>
      <c r="G1566" s="5" t="s">
        <v>16</v>
      </c>
      <c r="H1566" s="7">
        <v>45897</v>
      </c>
      <c r="I1566" s="7">
        <v>45901</v>
      </c>
      <c r="J1566" s="8">
        <v>150</v>
      </c>
      <c r="K1566" s="7">
        <v>45903</v>
      </c>
      <c r="L1566" s="5"/>
      <c r="P1566" s="23"/>
      <c r="Q1566" s="23"/>
      <c r="R1566" s="23"/>
    </row>
    <row r="1567" spans="1:18" ht="28.95" customHeight="1" x14ac:dyDescent="0.3">
      <c r="A1567" s="5">
        <v>1571</v>
      </c>
      <c r="B1567" s="5" t="s">
        <v>3248</v>
      </c>
      <c r="C1567" s="5" t="s">
        <v>3249</v>
      </c>
      <c r="D1567" s="5" t="s">
        <v>22</v>
      </c>
      <c r="E1567" s="5" t="s">
        <v>3250</v>
      </c>
      <c r="F1567" s="5">
        <v>57570693</v>
      </c>
      <c r="G1567" s="5" t="s">
        <v>16</v>
      </c>
      <c r="H1567" s="7">
        <v>45897</v>
      </c>
      <c r="I1567" s="7">
        <v>45901</v>
      </c>
      <c r="J1567" s="8">
        <v>150</v>
      </c>
      <c r="K1567" s="7">
        <v>45903</v>
      </c>
      <c r="L1567" s="5"/>
      <c r="P1567" s="23"/>
      <c r="Q1567" s="23"/>
      <c r="R1567" s="23"/>
    </row>
    <row r="1568" spans="1:18" ht="14.4" customHeight="1" x14ac:dyDescent="0.3">
      <c r="A1568" s="5">
        <v>1572</v>
      </c>
      <c r="B1568" s="5" t="s">
        <v>650</v>
      </c>
      <c r="C1568" s="5" t="s">
        <v>651</v>
      </c>
      <c r="D1568" s="5" t="s">
        <v>22</v>
      </c>
      <c r="E1568" s="5" t="s">
        <v>291</v>
      </c>
      <c r="F1568" s="5">
        <v>57722084</v>
      </c>
      <c r="G1568" s="5" t="s">
        <v>16</v>
      </c>
      <c r="H1568" s="7">
        <v>45897</v>
      </c>
      <c r="I1568" s="7">
        <v>45901</v>
      </c>
      <c r="J1568" s="8">
        <v>150</v>
      </c>
      <c r="K1568" s="7">
        <v>45903</v>
      </c>
      <c r="L1568" s="5"/>
      <c r="P1568" s="23"/>
      <c r="Q1568" s="23"/>
      <c r="R1568" s="23"/>
    </row>
    <row r="1569" spans="1:18" ht="14.4" customHeight="1" x14ac:dyDescent="0.3">
      <c r="A1569" s="5">
        <v>1573</v>
      </c>
      <c r="B1569" s="5" t="s">
        <v>3251</v>
      </c>
      <c r="C1569" s="5" t="s">
        <v>3252</v>
      </c>
      <c r="D1569" s="5" t="s">
        <v>30</v>
      </c>
      <c r="E1569" s="5" t="s">
        <v>223</v>
      </c>
      <c r="F1569" s="5">
        <v>59224843</v>
      </c>
      <c r="G1569" s="5" t="s">
        <v>16</v>
      </c>
      <c r="H1569" s="7">
        <v>45897</v>
      </c>
      <c r="I1569" s="7">
        <v>45901</v>
      </c>
      <c r="J1569" s="8">
        <v>150</v>
      </c>
      <c r="K1569" s="7">
        <v>45903</v>
      </c>
      <c r="L1569" s="5"/>
      <c r="P1569" s="23"/>
      <c r="Q1569" s="23"/>
      <c r="R1569" s="23"/>
    </row>
    <row r="1570" spans="1:18" ht="14.4" customHeight="1" x14ac:dyDescent="0.3">
      <c r="A1570" s="5">
        <v>1579</v>
      </c>
      <c r="B1570" s="5" t="s">
        <v>1298</v>
      </c>
      <c r="C1570" s="5" t="s">
        <v>3262</v>
      </c>
      <c r="D1570" s="5" t="s">
        <v>30</v>
      </c>
      <c r="E1570" s="5" t="s">
        <v>137</v>
      </c>
      <c r="F1570" s="5">
        <v>57901986</v>
      </c>
      <c r="G1570" s="5" t="s">
        <v>16</v>
      </c>
      <c r="H1570" s="7">
        <v>45897</v>
      </c>
      <c r="I1570" s="7">
        <v>45901</v>
      </c>
      <c r="J1570" s="8">
        <v>150</v>
      </c>
      <c r="K1570" s="7">
        <v>45903</v>
      </c>
      <c r="L1570" s="5"/>
      <c r="P1570" s="23"/>
      <c r="Q1570" s="23"/>
      <c r="R1570" s="23"/>
    </row>
    <row r="1571" spans="1:18" ht="14.4" customHeight="1" x14ac:dyDescent="0.3">
      <c r="A1571" s="5">
        <v>1581</v>
      </c>
      <c r="B1571" s="5" t="s">
        <v>3265</v>
      </c>
      <c r="C1571" s="5" t="s">
        <v>3266</v>
      </c>
      <c r="D1571" s="5" t="s">
        <v>3239</v>
      </c>
      <c r="E1571" s="5" t="s">
        <v>74</v>
      </c>
      <c r="F1571" s="5">
        <v>57620728</v>
      </c>
      <c r="G1571" s="5" t="s">
        <v>16</v>
      </c>
      <c r="H1571" s="7">
        <v>45897</v>
      </c>
      <c r="I1571" s="7">
        <v>45901</v>
      </c>
      <c r="J1571" s="8">
        <v>150</v>
      </c>
      <c r="K1571" s="7">
        <v>45903</v>
      </c>
      <c r="L1571" s="5"/>
      <c r="P1571" s="23"/>
      <c r="Q1571" s="23"/>
      <c r="R1571" s="23"/>
    </row>
    <row r="1572" spans="1:18" ht="14.4" customHeight="1" x14ac:dyDescent="0.3">
      <c r="A1572" s="5">
        <v>1582</v>
      </c>
      <c r="B1572" s="5" t="s">
        <v>282</v>
      </c>
      <c r="C1572" s="5" t="s">
        <v>2126</v>
      </c>
      <c r="D1572" s="5" t="s">
        <v>84</v>
      </c>
      <c r="E1572" s="5" t="s">
        <v>149</v>
      </c>
      <c r="F1572" s="5">
        <v>58963808</v>
      </c>
      <c r="G1572" s="5" t="s">
        <v>16</v>
      </c>
      <c r="H1572" s="7">
        <v>45897</v>
      </c>
      <c r="I1572" s="7">
        <v>45901</v>
      </c>
      <c r="J1572" s="8">
        <v>150</v>
      </c>
      <c r="K1572" s="7">
        <v>45903</v>
      </c>
      <c r="L1572" s="5"/>
      <c r="P1572" s="23"/>
      <c r="Q1572" s="23"/>
      <c r="R1572" s="23"/>
    </row>
    <row r="1573" spans="1:18" ht="14.4" customHeight="1" x14ac:dyDescent="0.3">
      <c r="A1573" s="5">
        <v>1584</v>
      </c>
      <c r="B1573" s="5" t="s">
        <v>3269</v>
      </c>
      <c r="C1573" s="5" t="s">
        <v>290</v>
      </c>
      <c r="D1573" s="5" t="s">
        <v>22</v>
      </c>
      <c r="E1573" s="5" t="s">
        <v>291</v>
      </c>
      <c r="F1573" s="5">
        <v>58346491</v>
      </c>
      <c r="G1573" s="5" t="s">
        <v>16</v>
      </c>
      <c r="H1573" s="7">
        <v>45897</v>
      </c>
      <c r="I1573" s="7">
        <v>45901</v>
      </c>
      <c r="J1573" s="8">
        <v>150</v>
      </c>
      <c r="K1573" s="7">
        <v>45903</v>
      </c>
      <c r="L1573" s="5"/>
      <c r="P1573" s="23"/>
      <c r="Q1573" s="23"/>
      <c r="R1573" s="23"/>
    </row>
    <row r="1574" spans="1:18" ht="14.4" customHeight="1" x14ac:dyDescent="0.3">
      <c r="A1574" s="5">
        <v>1585</v>
      </c>
      <c r="B1574" s="5" t="s">
        <v>3270</v>
      </c>
      <c r="C1574" s="5" t="s">
        <v>3271</v>
      </c>
      <c r="D1574" s="5" t="s">
        <v>30</v>
      </c>
      <c r="E1574" s="5" t="s">
        <v>720</v>
      </c>
      <c r="F1574" s="5">
        <v>59451251</v>
      </c>
      <c r="G1574" s="5" t="s">
        <v>16</v>
      </c>
      <c r="H1574" s="7">
        <v>45897</v>
      </c>
      <c r="I1574" s="7">
        <v>45901</v>
      </c>
      <c r="J1574" s="8">
        <v>150</v>
      </c>
      <c r="K1574" s="7">
        <v>45903</v>
      </c>
      <c r="L1574" s="5"/>
      <c r="P1574" s="23"/>
      <c r="Q1574" s="23"/>
      <c r="R1574" s="23"/>
    </row>
    <row r="1575" spans="1:18" ht="14.4" customHeight="1" x14ac:dyDescent="0.3">
      <c r="A1575" s="5">
        <v>1587</v>
      </c>
      <c r="B1575" s="5" t="s">
        <v>3273</v>
      </c>
      <c r="C1575" s="5" t="s">
        <v>3274</v>
      </c>
      <c r="D1575" s="5" t="s">
        <v>84</v>
      </c>
      <c r="E1575" s="5" t="s">
        <v>84</v>
      </c>
      <c r="F1575" s="5">
        <v>59157334</v>
      </c>
      <c r="G1575" s="5" t="s">
        <v>16</v>
      </c>
      <c r="H1575" s="7">
        <v>45897</v>
      </c>
      <c r="I1575" s="7">
        <v>45901</v>
      </c>
      <c r="J1575" s="8">
        <v>150</v>
      </c>
      <c r="K1575" s="7">
        <v>45903</v>
      </c>
      <c r="L1575" s="5"/>
      <c r="P1575" s="23"/>
      <c r="Q1575" s="23"/>
      <c r="R1575" s="23"/>
    </row>
    <row r="1576" spans="1:18" ht="14.4" customHeight="1" x14ac:dyDescent="0.3">
      <c r="A1576" s="5">
        <v>1592</v>
      </c>
      <c r="B1576" s="5" t="s">
        <v>3281</v>
      </c>
      <c r="C1576" s="5" t="s">
        <v>3282</v>
      </c>
      <c r="D1576" s="5" t="s">
        <v>144</v>
      </c>
      <c r="E1576" s="5" t="s">
        <v>144</v>
      </c>
      <c r="F1576" s="5">
        <v>57532722</v>
      </c>
      <c r="G1576" s="5" t="s">
        <v>1024</v>
      </c>
      <c r="H1576" s="7">
        <v>45900</v>
      </c>
      <c r="I1576" s="7">
        <v>45901</v>
      </c>
      <c r="J1576" s="8">
        <v>150</v>
      </c>
      <c r="K1576" s="7">
        <v>45903</v>
      </c>
      <c r="L1576" s="5"/>
      <c r="P1576" s="23"/>
      <c r="Q1576" s="23"/>
      <c r="R1576" s="23"/>
    </row>
    <row r="1577" spans="1:18" ht="14.4" customHeight="1" x14ac:dyDescent="0.3">
      <c r="A1577" s="5">
        <v>1593</v>
      </c>
      <c r="B1577" s="5" t="s">
        <v>3283</v>
      </c>
      <c r="C1577" s="5" t="s">
        <v>651</v>
      </c>
      <c r="D1577" s="5" t="s">
        <v>291</v>
      </c>
      <c r="E1577" s="5" t="s">
        <v>291</v>
      </c>
      <c r="F1577" s="5">
        <v>59260102</v>
      </c>
      <c r="G1577" s="5" t="s">
        <v>1024</v>
      </c>
      <c r="H1577" s="7">
        <v>45900</v>
      </c>
      <c r="I1577" s="7">
        <v>45901</v>
      </c>
      <c r="J1577" s="8">
        <v>150</v>
      </c>
      <c r="K1577" s="7">
        <v>45903</v>
      </c>
      <c r="L1577" s="5"/>
      <c r="P1577" s="23"/>
      <c r="Q1577" s="23"/>
      <c r="R1577" s="23"/>
    </row>
    <row r="1578" spans="1:18" ht="14.4" customHeight="1" x14ac:dyDescent="0.3">
      <c r="A1578" s="5">
        <v>1594</v>
      </c>
      <c r="B1578" s="5" t="s">
        <v>3284</v>
      </c>
      <c r="C1578" s="5" t="s">
        <v>3285</v>
      </c>
      <c r="D1578" s="5" t="s">
        <v>144</v>
      </c>
      <c r="E1578" s="5" t="s">
        <v>144</v>
      </c>
      <c r="F1578" s="5">
        <v>58165751</v>
      </c>
      <c r="G1578" s="5" t="s">
        <v>1024</v>
      </c>
      <c r="H1578" s="7">
        <v>45900</v>
      </c>
      <c r="I1578" s="7">
        <v>45901</v>
      </c>
      <c r="J1578" s="8">
        <v>150</v>
      </c>
      <c r="K1578" s="7">
        <v>45903</v>
      </c>
      <c r="L1578" s="5"/>
      <c r="P1578" s="23"/>
      <c r="Q1578" s="23"/>
      <c r="R1578" s="23"/>
    </row>
    <row r="1579" spans="1:18" ht="14.4" customHeight="1" x14ac:dyDescent="0.3">
      <c r="A1579" s="5">
        <v>1595</v>
      </c>
      <c r="B1579" s="5" t="s">
        <v>3286</v>
      </c>
      <c r="C1579" s="5" t="s">
        <v>3287</v>
      </c>
      <c r="D1579" s="5" t="s">
        <v>501</v>
      </c>
      <c r="E1579" s="5" t="s">
        <v>501</v>
      </c>
      <c r="F1579" s="5">
        <v>57891564</v>
      </c>
      <c r="G1579" s="5" t="s">
        <v>1024</v>
      </c>
      <c r="H1579" s="7">
        <v>45900</v>
      </c>
      <c r="I1579" s="7">
        <v>45901</v>
      </c>
      <c r="J1579" s="8">
        <v>150</v>
      </c>
      <c r="K1579" s="7">
        <v>45903</v>
      </c>
      <c r="L1579" s="5"/>
      <c r="P1579" s="23"/>
      <c r="Q1579" s="23"/>
      <c r="R1579" s="23"/>
    </row>
    <row r="1580" spans="1:18" ht="14.4" customHeight="1" x14ac:dyDescent="0.3">
      <c r="A1580" s="5">
        <v>1596</v>
      </c>
      <c r="B1580" s="5" t="s">
        <v>748</v>
      </c>
      <c r="C1580" s="5" t="s">
        <v>3288</v>
      </c>
      <c r="D1580" s="5" t="s">
        <v>3289</v>
      </c>
      <c r="E1580" s="5" t="s">
        <v>3289</v>
      </c>
      <c r="F1580" s="5">
        <v>52599150</v>
      </c>
      <c r="G1580" s="5" t="s">
        <v>1024</v>
      </c>
      <c r="H1580" s="7">
        <v>45900</v>
      </c>
      <c r="I1580" s="7">
        <v>45901</v>
      </c>
      <c r="J1580" s="8">
        <v>150</v>
      </c>
      <c r="K1580" s="7">
        <v>45903</v>
      </c>
      <c r="L1580" s="5"/>
      <c r="P1580" s="23"/>
      <c r="Q1580" s="23"/>
      <c r="R1580" s="23"/>
    </row>
    <row r="1581" spans="1:18" ht="14.4" customHeight="1" x14ac:dyDescent="0.3">
      <c r="A1581" s="5">
        <v>1597</v>
      </c>
      <c r="B1581" s="5" t="s">
        <v>3291</v>
      </c>
      <c r="C1581" s="5" t="s">
        <v>3292</v>
      </c>
      <c r="D1581" s="5" t="s">
        <v>3290</v>
      </c>
      <c r="E1581" s="5" t="s">
        <v>3290</v>
      </c>
      <c r="F1581" s="5">
        <v>59177510</v>
      </c>
      <c r="G1581" s="5" t="s">
        <v>1024</v>
      </c>
      <c r="H1581" s="7">
        <v>45900</v>
      </c>
      <c r="I1581" s="7">
        <v>45901</v>
      </c>
      <c r="J1581" s="8">
        <v>150</v>
      </c>
      <c r="K1581" s="7">
        <v>45903</v>
      </c>
      <c r="L1581" s="5"/>
      <c r="P1581" s="23"/>
      <c r="Q1581" s="23"/>
      <c r="R1581" s="23"/>
    </row>
    <row r="1582" spans="1:18" ht="14.4" customHeight="1" x14ac:dyDescent="0.3">
      <c r="A1582" s="5">
        <v>1598</v>
      </c>
      <c r="B1582" s="5" t="s">
        <v>2921</v>
      </c>
      <c r="C1582" s="5" t="s">
        <v>2923</v>
      </c>
      <c r="D1582" s="5" t="s">
        <v>84</v>
      </c>
      <c r="E1582" s="5" t="s">
        <v>84</v>
      </c>
      <c r="F1582" s="5">
        <v>58384830</v>
      </c>
      <c r="G1582" s="5" t="s">
        <v>1024</v>
      </c>
      <c r="H1582" s="7">
        <v>45900</v>
      </c>
      <c r="I1582" s="7">
        <v>45901</v>
      </c>
      <c r="J1582" s="8">
        <v>150</v>
      </c>
      <c r="K1582" s="7">
        <v>45903</v>
      </c>
      <c r="L1582" s="5">
        <v>2000</v>
      </c>
      <c r="P1582" s="23"/>
      <c r="Q1582" s="23"/>
      <c r="R1582" s="23"/>
    </row>
    <row r="1583" spans="1:18" ht="14.4" customHeight="1" x14ac:dyDescent="0.3">
      <c r="A1583" s="5">
        <v>1599</v>
      </c>
      <c r="B1583" s="5" t="s">
        <v>3297</v>
      </c>
      <c r="C1583" s="5" t="s">
        <v>1897</v>
      </c>
      <c r="D1583" s="5" t="s">
        <v>923</v>
      </c>
      <c r="E1583" s="5" t="s">
        <v>923</v>
      </c>
      <c r="F1583" s="5">
        <v>57866786</v>
      </c>
      <c r="G1583" s="5" t="s">
        <v>1024</v>
      </c>
      <c r="H1583" s="7">
        <v>45900</v>
      </c>
      <c r="I1583" s="7">
        <v>45901</v>
      </c>
      <c r="J1583" s="8">
        <v>150</v>
      </c>
      <c r="K1583" s="7">
        <v>45903</v>
      </c>
      <c r="L1583" s="5"/>
      <c r="P1583" s="23"/>
      <c r="Q1583" s="23"/>
      <c r="R1583" s="23"/>
    </row>
    <row r="1584" spans="1:18" ht="14.4" customHeight="1" x14ac:dyDescent="0.3">
      <c r="A1584" s="5">
        <v>1600</v>
      </c>
      <c r="B1584" s="5" t="s">
        <v>3293</v>
      </c>
      <c r="C1584" s="5" t="s">
        <v>3294</v>
      </c>
      <c r="D1584" s="5" t="s">
        <v>49</v>
      </c>
      <c r="E1584" s="5" t="s">
        <v>49</v>
      </c>
      <c r="F1584" s="5">
        <v>57607231</v>
      </c>
      <c r="G1584" s="5" t="s">
        <v>963</v>
      </c>
      <c r="H1584" s="7">
        <v>45901</v>
      </c>
      <c r="I1584" s="9">
        <v>45902</v>
      </c>
      <c r="J1584" s="8">
        <v>150</v>
      </c>
      <c r="K1584" s="7">
        <v>45932</v>
      </c>
      <c r="L1584" s="5">
        <v>1149</v>
      </c>
      <c r="P1584" s="23"/>
      <c r="Q1584" s="23"/>
      <c r="R1584" s="23"/>
    </row>
    <row r="1585" spans="1:18" ht="14.4" customHeight="1" x14ac:dyDescent="0.3">
      <c r="A1585" s="5">
        <v>1601</v>
      </c>
      <c r="B1585" s="5" t="s">
        <v>3353</v>
      </c>
      <c r="C1585" s="5" t="s">
        <v>3354</v>
      </c>
      <c r="D1585" s="5" t="s">
        <v>31</v>
      </c>
      <c r="E1585" s="5" t="s">
        <v>31</v>
      </c>
      <c r="F1585" s="5">
        <v>58222760</v>
      </c>
      <c r="G1585" s="5" t="s">
        <v>16</v>
      </c>
      <c r="H1585" s="7">
        <v>45901</v>
      </c>
      <c r="I1585" s="9">
        <v>45902</v>
      </c>
      <c r="J1585" s="8">
        <v>150</v>
      </c>
      <c r="K1585" s="7">
        <v>45932</v>
      </c>
      <c r="L1585" s="5"/>
      <c r="P1585" s="23"/>
      <c r="Q1585" s="23"/>
      <c r="R1585" s="23"/>
    </row>
    <row r="1586" spans="1:18" ht="14.4" customHeight="1" x14ac:dyDescent="0.3">
      <c r="A1586" s="5">
        <v>1602</v>
      </c>
      <c r="B1586" s="5" t="s">
        <v>3355</v>
      </c>
      <c r="C1586" s="5" t="s">
        <v>2369</v>
      </c>
      <c r="D1586" s="5" t="s">
        <v>259</v>
      </c>
      <c r="E1586" s="5" t="s">
        <v>259</v>
      </c>
      <c r="F1586" s="5">
        <v>58142373</v>
      </c>
      <c r="G1586" s="5" t="s">
        <v>16</v>
      </c>
      <c r="H1586" s="7">
        <v>45901</v>
      </c>
      <c r="I1586" s="9">
        <v>45902</v>
      </c>
      <c r="J1586" s="8">
        <v>150</v>
      </c>
      <c r="K1586" s="7">
        <v>45932</v>
      </c>
      <c r="L1586" s="5"/>
      <c r="P1586" s="23"/>
      <c r="Q1586" s="23"/>
      <c r="R1586" s="23"/>
    </row>
    <row r="1587" spans="1:18" ht="14.4" customHeight="1" x14ac:dyDescent="0.3">
      <c r="A1587" s="5">
        <v>1603</v>
      </c>
      <c r="B1587" s="5" t="s">
        <v>3356</v>
      </c>
      <c r="C1587" s="5" t="s">
        <v>3357</v>
      </c>
      <c r="D1587" s="5" t="s">
        <v>706</v>
      </c>
      <c r="E1587" s="5" t="s">
        <v>706</v>
      </c>
      <c r="F1587" s="5">
        <v>57085951</v>
      </c>
      <c r="G1587" s="5" t="s">
        <v>16</v>
      </c>
      <c r="H1587" s="7">
        <v>45901</v>
      </c>
      <c r="I1587" s="9">
        <v>45902</v>
      </c>
      <c r="J1587" s="8">
        <v>150</v>
      </c>
      <c r="K1587" s="7">
        <v>45932</v>
      </c>
      <c r="L1587" s="5"/>
      <c r="P1587" s="23"/>
      <c r="Q1587" s="23"/>
      <c r="R1587" s="23"/>
    </row>
    <row r="1588" spans="1:18" ht="14.4" customHeight="1" x14ac:dyDescent="0.3">
      <c r="A1588" s="5">
        <v>1604</v>
      </c>
      <c r="B1588" s="5" t="s">
        <v>3358</v>
      </c>
      <c r="C1588" s="5" t="s">
        <v>3427</v>
      </c>
      <c r="D1588" s="5" t="s">
        <v>3359</v>
      </c>
      <c r="E1588" s="5" t="s">
        <v>3359</v>
      </c>
      <c r="F1588" s="5">
        <v>59170160</v>
      </c>
      <c r="G1588" s="5" t="s">
        <v>16</v>
      </c>
      <c r="H1588" s="7">
        <v>45901</v>
      </c>
      <c r="I1588" s="9">
        <v>45902</v>
      </c>
      <c r="J1588" s="8">
        <v>150</v>
      </c>
      <c r="K1588" s="7">
        <v>45932</v>
      </c>
      <c r="L1588" s="5"/>
      <c r="P1588" s="23"/>
      <c r="Q1588" s="23"/>
      <c r="R1588" s="23"/>
    </row>
    <row r="1589" spans="1:18" ht="14.4" customHeight="1" x14ac:dyDescent="0.3">
      <c r="A1589" s="5">
        <v>1605</v>
      </c>
      <c r="B1589" s="5" t="s">
        <v>3360</v>
      </c>
      <c r="C1589" s="5" t="s">
        <v>3361</v>
      </c>
      <c r="D1589" s="5" t="s">
        <v>1741</v>
      </c>
      <c r="E1589" s="5" t="s">
        <v>1741</v>
      </c>
      <c r="F1589" s="5" t="s">
        <v>3362</v>
      </c>
      <c r="G1589" s="5" t="s">
        <v>16</v>
      </c>
      <c r="H1589" s="7">
        <v>45901</v>
      </c>
      <c r="I1589" s="9">
        <v>45902</v>
      </c>
      <c r="J1589" s="8">
        <v>150</v>
      </c>
      <c r="K1589" s="7">
        <v>45932</v>
      </c>
      <c r="L1589" s="5" t="s">
        <v>3428</v>
      </c>
      <c r="P1589" s="23"/>
      <c r="Q1589" s="23"/>
      <c r="R1589" s="23"/>
    </row>
    <row r="1590" spans="1:18" ht="14.4" customHeight="1" x14ac:dyDescent="0.3">
      <c r="A1590" s="5">
        <v>1606</v>
      </c>
      <c r="B1590" s="5" t="s">
        <v>2881</v>
      </c>
      <c r="C1590" s="5" t="s">
        <v>2434</v>
      </c>
      <c r="D1590" s="5" t="s">
        <v>414</v>
      </c>
      <c r="E1590" s="5" t="s">
        <v>414</v>
      </c>
      <c r="F1590" s="5">
        <v>55073629</v>
      </c>
      <c r="G1590" s="5" t="s">
        <v>16</v>
      </c>
      <c r="H1590" s="7">
        <v>45901</v>
      </c>
      <c r="I1590" s="9">
        <v>45902</v>
      </c>
      <c r="J1590" s="8">
        <v>150</v>
      </c>
      <c r="K1590" s="7">
        <v>45932</v>
      </c>
      <c r="L1590" s="5"/>
      <c r="P1590" s="23"/>
      <c r="Q1590" s="23"/>
      <c r="R1590" s="23"/>
    </row>
    <row r="1591" spans="1:18" ht="14.4" customHeight="1" x14ac:dyDescent="0.3">
      <c r="A1591" s="5">
        <v>1607</v>
      </c>
      <c r="B1591" s="5" t="s">
        <v>3363</v>
      </c>
      <c r="C1591" s="5" t="s">
        <v>3364</v>
      </c>
      <c r="D1591" s="5" t="s">
        <v>63</v>
      </c>
      <c r="E1591" s="5" t="s">
        <v>63</v>
      </c>
      <c r="F1591" s="5">
        <v>57504097</v>
      </c>
      <c r="G1591" s="5" t="s">
        <v>16</v>
      </c>
      <c r="H1591" s="7">
        <v>45901</v>
      </c>
      <c r="I1591" s="9">
        <v>45902</v>
      </c>
      <c r="J1591" s="8">
        <v>150</v>
      </c>
      <c r="K1591" s="7">
        <v>45932</v>
      </c>
      <c r="L1591" s="5"/>
      <c r="P1591" s="23"/>
      <c r="Q1591" s="23"/>
      <c r="R1591" s="23"/>
    </row>
    <row r="1592" spans="1:18" ht="14.4" customHeight="1" x14ac:dyDescent="0.3">
      <c r="A1592" s="5">
        <v>1608</v>
      </c>
      <c r="B1592" s="5" t="s">
        <v>2296</v>
      </c>
      <c r="C1592" s="5" t="s">
        <v>3429</v>
      </c>
      <c r="D1592" s="5" t="s">
        <v>84</v>
      </c>
      <c r="E1592" s="5" t="s">
        <v>84</v>
      </c>
      <c r="F1592" s="5">
        <v>57581578</v>
      </c>
      <c r="G1592" s="5" t="s">
        <v>16</v>
      </c>
      <c r="H1592" s="7">
        <v>45901</v>
      </c>
      <c r="I1592" s="9">
        <v>45902</v>
      </c>
      <c r="J1592" s="8">
        <v>150</v>
      </c>
      <c r="K1592" s="7">
        <v>45932</v>
      </c>
      <c r="L1592" s="5"/>
      <c r="P1592" s="23"/>
      <c r="Q1592" s="23"/>
      <c r="R1592" s="23"/>
    </row>
    <row r="1593" spans="1:18" ht="14.4" customHeight="1" x14ac:dyDescent="0.3">
      <c r="A1593" s="5">
        <v>1609</v>
      </c>
      <c r="B1593" s="5" t="s">
        <v>3365</v>
      </c>
      <c r="C1593" s="5" t="s">
        <v>3446</v>
      </c>
      <c r="D1593" s="5" t="s">
        <v>69</v>
      </c>
      <c r="E1593" s="5" t="s">
        <v>69</v>
      </c>
      <c r="F1593" s="5">
        <v>58808319</v>
      </c>
      <c r="G1593" s="5" t="s">
        <v>16</v>
      </c>
      <c r="H1593" s="7">
        <v>45901</v>
      </c>
      <c r="I1593" s="9">
        <v>45902</v>
      </c>
      <c r="J1593" s="8">
        <v>150</v>
      </c>
      <c r="K1593" s="7">
        <v>45932</v>
      </c>
      <c r="L1593" s="5"/>
      <c r="P1593" s="23"/>
      <c r="Q1593" s="23"/>
      <c r="R1593" s="23"/>
    </row>
    <row r="1594" spans="1:18" ht="14.4" customHeight="1" x14ac:dyDescent="0.3">
      <c r="A1594" s="5">
        <v>1610</v>
      </c>
      <c r="B1594" s="5" t="s">
        <v>3366</v>
      </c>
      <c r="C1594" s="5" t="s">
        <v>3367</v>
      </c>
      <c r="D1594" s="5" t="s">
        <v>696</v>
      </c>
      <c r="E1594" s="5" t="s">
        <v>696</v>
      </c>
      <c r="F1594" s="5">
        <v>57588981</v>
      </c>
      <c r="G1594" s="5" t="s">
        <v>16</v>
      </c>
      <c r="H1594" s="7">
        <v>45901</v>
      </c>
      <c r="I1594" s="9">
        <v>45902</v>
      </c>
      <c r="J1594" s="8">
        <v>150</v>
      </c>
      <c r="K1594" s="7">
        <v>45932</v>
      </c>
      <c r="L1594" s="5" t="s">
        <v>3430</v>
      </c>
      <c r="P1594" s="23"/>
      <c r="Q1594" s="23"/>
      <c r="R1594" s="23"/>
    </row>
    <row r="1595" spans="1:18" ht="14.4" customHeight="1" x14ac:dyDescent="0.3">
      <c r="A1595" s="5">
        <v>1612</v>
      </c>
      <c r="B1595" s="5" t="s">
        <v>3241</v>
      </c>
      <c r="C1595" s="5" t="s">
        <v>3242</v>
      </c>
      <c r="D1595" s="5" t="s">
        <v>31</v>
      </c>
      <c r="E1595" s="5" t="s">
        <v>31</v>
      </c>
      <c r="F1595" s="5">
        <v>58172285</v>
      </c>
      <c r="G1595" s="5" t="s">
        <v>16</v>
      </c>
      <c r="H1595" s="7">
        <v>45901</v>
      </c>
      <c r="I1595" s="9">
        <v>45902</v>
      </c>
      <c r="J1595" s="8">
        <v>150</v>
      </c>
      <c r="K1595" s="7">
        <v>45932</v>
      </c>
      <c r="L1595" s="5"/>
      <c r="P1595" s="23"/>
      <c r="Q1595" s="23"/>
      <c r="R1595" s="23"/>
    </row>
    <row r="1596" spans="1:18" ht="14.4" customHeight="1" x14ac:dyDescent="0.3">
      <c r="A1596" s="5">
        <v>1613</v>
      </c>
      <c r="B1596" s="5" t="s">
        <v>3445</v>
      </c>
      <c r="C1596" s="5" t="s">
        <v>101</v>
      </c>
      <c r="D1596" s="5" t="s">
        <v>101</v>
      </c>
      <c r="E1596" s="5" t="s">
        <v>101</v>
      </c>
      <c r="F1596" s="5">
        <v>58263890</v>
      </c>
      <c r="G1596" s="5" t="s">
        <v>16</v>
      </c>
      <c r="H1596" s="7">
        <v>45901</v>
      </c>
      <c r="I1596" s="9">
        <v>45902</v>
      </c>
      <c r="J1596" s="8">
        <v>150</v>
      </c>
      <c r="K1596" s="7">
        <v>45932</v>
      </c>
      <c r="L1596" s="5"/>
      <c r="P1596" s="23"/>
      <c r="Q1596" s="23"/>
      <c r="R1596" s="23"/>
    </row>
    <row r="1597" spans="1:18" ht="14.4" customHeight="1" x14ac:dyDescent="0.3">
      <c r="A1597" s="5">
        <v>1615</v>
      </c>
      <c r="B1597" s="5" t="s">
        <v>2026</v>
      </c>
      <c r="C1597" s="5" t="s">
        <v>3431</v>
      </c>
      <c r="D1597" s="5" t="s">
        <v>49</v>
      </c>
      <c r="E1597" s="5" t="s">
        <v>49</v>
      </c>
      <c r="F1597" s="5">
        <v>59378240</v>
      </c>
      <c r="G1597" s="5" t="s">
        <v>16</v>
      </c>
      <c r="H1597" s="7">
        <v>45901</v>
      </c>
      <c r="I1597" s="9">
        <v>45902</v>
      </c>
      <c r="J1597" s="8">
        <v>150</v>
      </c>
      <c r="K1597" s="7">
        <v>45932</v>
      </c>
      <c r="L1597" s="5"/>
      <c r="P1597" s="23"/>
      <c r="Q1597" s="23"/>
      <c r="R1597" s="23"/>
    </row>
    <row r="1598" spans="1:18" ht="14.4" customHeight="1" x14ac:dyDescent="0.3">
      <c r="A1598" s="5">
        <v>1616</v>
      </c>
      <c r="B1598" s="5" t="s">
        <v>3371</v>
      </c>
      <c r="C1598" s="5" t="s">
        <v>3372</v>
      </c>
      <c r="D1598" s="5" t="s">
        <v>41</v>
      </c>
      <c r="E1598" s="5" t="s">
        <v>41</v>
      </c>
      <c r="F1598" s="5">
        <v>58068182</v>
      </c>
      <c r="G1598" s="5" t="s">
        <v>16</v>
      </c>
      <c r="H1598" s="7">
        <v>45901</v>
      </c>
      <c r="I1598" s="9">
        <v>45902</v>
      </c>
      <c r="J1598" s="8">
        <v>150</v>
      </c>
      <c r="K1598" s="7">
        <v>45932</v>
      </c>
      <c r="L1598" s="5"/>
      <c r="P1598" s="23"/>
      <c r="Q1598" s="23"/>
      <c r="R1598" s="23"/>
    </row>
    <row r="1599" spans="1:18" ht="14.4" customHeight="1" x14ac:dyDescent="0.3">
      <c r="A1599" s="5">
        <v>1617</v>
      </c>
      <c r="B1599" s="5" t="s">
        <v>1357</v>
      </c>
      <c r="C1599" s="5" t="s">
        <v>3432</v>
      </c>
      <c r="D1599" s="5" t="s">
        <v>3433</v>
      </c>
      <c r="E1599" s="5" t="s">
        <v>3433</v>
      </c>
      <c r="F1599" s="5">
        <v>59444636</v>
      </c>
      <c r="G1599" s="5" t="s">
        <v>16</v>
      </c>
      <c r="H1599" s="7">
        <v>45901</v>
      </c>
      <c r="I1599" s="9">
        <v>45902</v>
      </c>
      <c r="J1599" s="8">
        <v>150</v>
      </c>
      <c r="K1599" s="7">
        <v>45932</v>
      </c>
      <c r="L1599" s="5"/>
      <c r="P1599" s="23"/>
      <c r="Q1599" s="23"/>
      <c r="R1599" s="23"/>
    </row>
    <row r="1600" spans="1:18" ht="14.4" customHeight="1" x14ac:dyDescent="0.3">
      <c r="A1600" s="5">
        <v>1618</v>
      </c>
      <c r="B1600" s="5" t="s">
        <v>3373</v>
      </c>
      <c r="C1600" s="5" t="s">
        <v>3374</v>
      </c>
      <c r="D1600" s="5" t="s">
        <v>74</v>
      </c>
      <c r="E1600" s="5" t="s">
        <v>74</v>
      </c>
      <c r="F1600" s="5">
        <v>58274417</v>
      </c>
      <c r="G1600" s="5" t="s">
        <v>16</v>
      </c>
      <c r="H1600" s="7">
        <v>45901</v>
      </c>
      <c r="I1600" s="9">
        <v>45902</v>
      </c>
      <c r="J1600" s="8">
        <v>150</v>
      </c>
      <c r="K1600" s="7">
        <v>45932</v>
      </c>
      <c r="L1600" s="5"/>
      <c r="P1600" s="23"/>
      <c r="Q1600" s="23"/>
      <c r="R1600" s="23"/>
    </row>
    <row r="1601" spans="1:22" ht="14.4" customHeight="1" x14ac:dyDescent="0.3">
      <c r="A1601" s="5">
        <v>1619</v>
      </c>
      <c r="B1601" s="5" t="s">
        <v>3375</v>
      </c>
      <c r="C1601" s="5" t="s">
        <v>3376</v>
      </c>
      <c r="D1601" s="5" t="s">
        <v>74</v>
      </c>
      <c r="E1601" s="5" t="s">
        <v>74</v>
      </c>
      <c r="F1601" s="5">
        <v>57816057</v>
      </c>
      <c r="G1601" s="5" t="s">
        <v>16</v>
      </c>
      <c r="H1601" s="7">
        <v>45901</v>
      </c>
      <c r="I1601" s="9">
        <v>45902</v>
      </c>
      <c r="J1601" s="8">
        <v>150</v>
      </c>
      <c r="K1601" s="7">
        <v>45932</v>
      </c>
      <c r="L1601" s="5"/>
      <c r="R1601" s="23"/>
      <c r="S1601" s="23"/>
      <c r="T1601" s="23"/>
      <c r="U1601" s="23"/>
      <c r="V1601" s="23"/>
    </row>
    <row r="1602" spans="1:22" ht="14.4" customHeight="1" x14ac:dyDescent="0.3">
      <c r="A1602" s="5">
        <v>1620</v>
      </c>
      <c r="B1602" s="5" t="s">
        <v>3377</v>
      </c>
      <c r="C1602" s="5" t="s">
        <v>3444</v>
      </c>
      <c r="D1602" s="5" t="s">
        <v>69</v>
      </c>
      <c r="E1602" s="5" t="s">
        <v>69</v>
      </c>
      <c r="F1602" s="5">
        <v>57342932</v>
      </c>
      <c r="G1602" s="5" t="s">
        <v>16</v>
      </c>
      <c r="H1602" s="7">
        <v>45901</v>
      </c>
      <c r="I1602" s="9">
        <v>45902</v>
      </c>
      <c r="J1602" s="8">
        <v>150</v>
      </c>
      <c r="K1602" s="7">
        <v>45932</v>
      </c>
      <c r="L1602" s="5"/>
      <c r="P1602" s="23"/>
      <c r="Q1602" s="23"/>
      <c r="R1602" s="23"/>
    </row>
    <row r="1603" spans="1:22" ht="14.4" customHeight="1" x14ac:dyDescent="0.3">
      <c r="A1603" s="5">
        <v>1622</v>
      </c>
      <c r="B1603" s="5" t="s">
        <v>3380</v>
      </c>
      <c r="C1603" s="5" t="s">
        <v>84</v>
      </c>
      <c r="D1603" s="5" t="s">
        <v>84</v>
      </c>
      <c r="E1603" s="5" t="s">
        <v>84</v>
      </c>
      <c r="F1603" s="5">
        <v>57814798</v>
      </c>
      <c r="G1603" s="5" t="s">
        <v>16</v>
      </c>
      <c r="H1603" s="7">
        <v>45901</v>
      </c>
      <c r="I1603" s="9">
        <v>45902</v>
      </c>
      <c r="J1603" s="8">
        <v>150</v>
      </c>
      <c r="K1603" s="7">
        <v>45932</v>
      </c>
      <c r="L1603" s="5"/>
      <c r="P1603" s="23"/>
      <c r="Q1603" s="23"/>
      <c r="R1603" s="23"/>
    </row>
    <row r="1604" spans="1:22" ht="14.4" customHeight="1" x14ac:dyDescent="0.3">
      <c r="A1604" s="5">
        <v>1624</v>
      </c>
      <c r="B1604" s="5" t="s">
        <v>1982</v>
      </c>
      <c r="C1604" s="5" t="s">
        <v>1983</v>
      </c>
      <c r="D1604" s="5" t="s">
        <v>204</v>
      </c>
      <c r="E1604" s="5" t="s">
        <v>204</v>
      </c>
      <c r="F1604" s="5">
        <v>57976562</v>
      </c>
      <c r="G1604" s="5" t="s">
        <v>16</v>
      </c>
      <c r="H1604" s="7">
        <v>45901</v>
      </c>
      <c r="I1604" s="9">
        <v>45902</v>
      </c>
      <c r="J1604" s="8">
        <v>150</v>
      </c>
      <c r="K1604" s="7">
        <v>45932</v>
      </c>
      <c r="L1604" s="5"/>
      <c r="P1604" s="23"/>
      <c r="Q1604" s="23"/>
      <c r="R1604" s="23"/>
    </row>
    <row r="1605" spans="1:22" ht="28.95" customHeight="1" x14ac:dyDescent="0.3">
      <c r="A1605" s="5">
        <v>1625</v>
      </c>
      <c r="B1605" s="5" t="s">
        <v>3383</v>
      </c>
      <c r="C1605" s="5" t="s">
        <v>3384</v>
      </c>
      <c r="D1605" s="5" t="s">
        <v>3385</v>
      </c>
      <c r="E1605" s="5" t="s">
        <v>3385</v>
      </c>
      <c r="F1605" s="5">
        <v>57787548</v>
      </c>
      <c r="G1605" s="5" t="s">
        <v>16</v>
      </c>
      <c r="H1605" s="7">
        <v>45901</v>
      </c>
      <c r="I1605" s="9">
        <v>45902</v>
      </c>
      <c r="J1605" s="8">
        <v>150</v>
      </c>
      <c r="K1605" s="7">
        <v>45932</v>
      </c>
      <c r="L1605" s="5"/>
      <c r="P1605" s="23"/>
      <c r="Q1605" s="23"/>
      <c r="R1605" s="23"/>
    </row>
    <row r="1606" spans="1:22" ht="28.95" customHeight="1" x14ac:dyDescent="0.3">
      <c r="A1606" s="5">
        <v>1628</v>
      </c>
      <c r="B1606" s="5" t="s">
        <v>3389</v>
      </c>
      <c r="C1606" s="5" t="s">
        <v>3390</v>
      </c>
      <c r="D1606" s="5" t="s">
        <v>69</v>
      </c>
      <c r="E1606" s="5" t="s">
        <v>69</v>
      </c>
      <c r="F1606" s="5">
        <v>58566989</v>
      </c>
      <c r="G1606" s="5" t="s">
        <v>16</v>
      </c>
      <c r="H1606" s="7">
        <v>45901</v>
      </c>
      <c r="I1606" s="9">
        <v>45902</v>
      </c>
      <c r="J1606" s="8">
        <v>150</v>
      </c>
      <c r="K1606" s="7">
        <v>45932</v>
      </c>
      <c r="L1606" s="5"/>
    </row>
    <row r="1607" spans="1:22" ht="14.4" customHeight="1" x14ac:dyDescent="0.3">
      <c r="A1607" s="5">
        <v>1629</v>
      </c>
      <c r="B1607" s="5" t="s">
        <v>2791</v>
      </c>
      <c r="C1607" s="5" t="s">
        <v>819</v>
      </c>
      <c r="D1607" s="5" t="s">
        <v>696</v>
      </c>
      <c r="E1607" s="5" t="s">
        <v>696</v>
      </c>
      <c r="F1607" s="5">
        <v>59347288</v>
      </c>
      <c r="G1607" s="5" t="s">
        <v>16</v>
      </c>
      <c r="H1607" s="7">
        <v>45901</v>
      </c>
      <c r="I1607" s="9">
        <v>45902</v>
      </c>
      <c r="J1607" s="8">
        <v>150</v>
      </c>
      <c r="K1607" s="7">
        <v>45932</v>
      </c>
      <c r="L1607" s="5"/>
    </row>
    <row r="1608" spans="1:22" ht="14.4" customHeight="1" x14ac:dyDescent="0.3">
      <c r="A1608" s="5">
        <v>1630</v>
      </c>
      <c r="B1608" s="5" t="s">
        <v>3272</v>
      </c>
      <c r="C1608" s="5" t="s">
        <v>3447</v>
      </c>
      <c r="D1608" s="5" t="s">
        <v>3448</v>
      </c>
      <c r="E1608" s="5" t="s">
        <v>3448</v>
      </c>
      <c r="F1608" s="5" t="s">
        <v>3435</v>
      </c>
      <c r="G1608" s="5" t="s">
        <v>16</v>
      </c>
      <c r="H1608" s="7">
        <v>45901</v>
      </c>
      <c r="I1608" s="9">
        <v>45902</v>
      </c>
      <c r="J1608" s="8">
        <v>150</v>
      </c>
      <c r="K1608" s="7">
        <v>45932</v>
      </c>
      <c r="L1608" s="5"/>
    </row>
    <row r="1609" spans="1:22" ht="14.4" customHeight="1" x14ac:dyDescent="0.3">
      <c r="A1609" s="5">
        <v>1632</v>
      </c>
      <c r="B1609" s="5" t="s">
        <v>3001</v>
      </c>
      <c r="C1609" s="5" t="s">
        <v>3002</v>
      </c>
      <c r="D1609" s="5" t="s">
        <v>3003</v>
      </c>
      <c r="E1609" s="5" t="s">
        <v>3003</v>
      </c>
      <c r="F1609" s="5">
        <v>54966565</v>
      </c>
      <c r="G1609" s="5" t="s">
        <v>16</v>
      </c>
      <c r="H1609" s="7">
        <v>45901</v>
      </c>
      <c r="I1609" s="9">
        <v>45902</v>
      </c>
      <c r="J1609" s="8">
        <v>150</v>
      </c>
      <c r="K1609" s="7">
        <v>45932</v>
      </c>
      <c r="L1609" s="5"/>
    </row>
    <row r="1610" spans="1:22" ht="14.4" customHeight="1" x14ac:dyDescent="0.3">
      <c r="A1610" s="5">
        <v>1634</v>
      </c>
      <c r="B1610" s="5" t="s">
        <v>1535</v>
      </c>
      <c r="C1610" s="5" t="s">
        <v>3393</v>
      </c>
      <c r="D1610" s="5" t="s">
        <v>69</v>
      </c>
      <c r="E1610" s="5" t="s">
        <v>69</v>
      </c>
      <c r="F1610" s="5">
        <v>59225275</v>
      </c>
      <c r="G1610" s="5" t="s">
        <v>16</v>
      </c>
      <c r="H1610" s="7">
        <v>45901</v>
      </c>
      <c r="I1610" s="9">
        <v>45902</v>
      </c>
      <c r="J1610" s="8">
        <v>150</v>
      </c>
      <c r="K1610" s="7">
        <v>45932</v>
      </c>
      <c r="L1610" s="5"/>
    </row>
    <row r="1611" spans="1:22" ht="14.4" customHeight="1" x14ac:dyDescent="0.3">
      <c r="A1611" s="5">
        <v>1635</v>
      </c>
      <c r="B1611" s="5" t="s">
        <v>829</v>
      </c>
      <c r="C1611" s="5" t="s">
        <v>830</v>
      </c>
      <c r="D1611" s="5" t="s">
        <v>74</v>
      </c>
      <c r="E1611" s="5" t="s">
        <v>74</v>
      </c>
      <c r="F1611" s="5">
        <v>57663201</v>
      </c>
      <c r="G1611" s="5" t="s">
        <v>16</v>
      </c>
      <c r="H1611" s="7">
        <v>45901</v>
      </c>
      <c r="I1611" s="9">
        <v>45902</v>
      </c>
      <c r="J1611" s="8">
        <v>150</v>
      </c>
      <c r="K1611" s="7">
        <v>45932</v>
      </c>
      <c r="L1611" s="5" t="s">
        <v>3436</v>
      </c>
    </row>
    <row r="1612" spans="1:22" ht="14.4" customHeight="1" x14ac:dyDescent="0.3">
      <c r="A1612" s="5">
        <v>1636</v>
      </c>
      <c r="B1612" s="5" t="s">
        <v>1827</v>
      </c>
      <c r="C1612" s="5" t="s">
        <v>3394</v>
      </c>
      <c r="D1612" s="5" t="s">
        <v>49</v>
      </c>
      <c r="E1612" s="5" t="s">
        <v>49</v>
      </c>
      <c r="F1612" s="5">
        <v>59451648</v>
      </c>
      <c r="G1612" s="5" t="s">
        <v>16</v>
      </c>
      <c r="H1612" s="7">
        <v>45901</v>
      </c>
      <c r="I1612" s="9">
        <v>45902</v>
      </c>
      <c r="J1612" s="8">
        <v>150</v>
      </c>
      <c r="K1612" s="7">
        <v>45932</v>
      </c>
      <c r="L1612" s="5"/>
    </row>
    <row r="1613" spans="1:22" ht="14.4" customHeight="1" x14ac:dyDescent="0.3">
      <c r="A1613" s="5">
        <v>1637</v>
      </c>
      <c r="B1613" s="5" t="s">
        <v>774</v>
      </c>
      <c r="C1613" s="5" t="s">
        <v>3395</v>
      </c>
      <c r="D1613" s="5" t="s">
        <v>63</v>
      </c>
      <c r="E1613" s="5" t="s">
        <v>63</v>
      </c>
      <c r="F1613" s="5">
        <v>59064475</v>
      </c>
      <c r="G1613" s="5" t="s">
        <v>16</v>
      </c>
      <c r="H1613" s="7">
        <v>45901</v>
      </c>
      <c r="I1613" s="9">
        <v>45902</v>
      </c>
      <c r="J1613" s="8">
        <v>150</v>
      </c>
      <c r="K1613" s="7">
        <v>45932</v>
      </c>
      <c r="L1613" s="5"/>
    </row>
    <row r="1614" spans="1:22" ht="14.4" customHeight="1" x14ac:dyDescent="0.3">
      <c r="A1614" s="5">
        <v>1638</v>
      </c>
      <c r="B1614" s="5" t="s">
        <v>3396</v>
      </c>
      <c r="C1614" s="5" t="s">
        <v>3397</v>
      </c>
      <c r="D1614" s="5" t="s">
        <v>3398</v>
      </c>
      <c r="E1614" s="5" t="s">
        <v>3398</v>
      </c>
      <c r="F1614" s="5">
        <v>52823675</v>
      </c>
      <c r="G1614" s="5" t="s">
        <v>16</v>
      </c>
      <c r="H1614" s="7">
        <v>45901</v>
      </c>
      <c r="I1614" s="9">
        <v>45902</v>
      </c>
      <c r="J1614" s="8">
        <v>150</v>
      </c>
      <c r="K1614" s="7">
        <v>45932</v>
      </c>
      <c r="L1614" s="5"/>
    </row>
    <row r="1615" spans="1:22" ht="14.4" customHeight="1" x14ac:dyDescent="0.3">
      <c r="A1615" s="5">
        <v>1639</v>
      </c>
      <c r="B1615" s="5" t="s">
        <v>3399</v>
      </c>
      <c r="C1615" s="5" t="s">
        <v>3400</v>
      </c>
      <c r="D1615" s="5" t="s">
        <v>594</v>
      </c>
      <c r="E1615" s="5" t="s">
        <v>594</v>
      </c>
      <c r="F1615" s="5">
        <v>57731634</v>
      </c>
      <c r="G1615" s="5" t="s">
        <v>16</v>
      </c>
      <c r="H1615" s="7">
        <v>45901</v>
      </c>
      <c r="I1615" s="9">
        <v>45902</v>
      </c>
      <c r="J1615" s="8">
        <v>150</v>
      </c>
      <c r="K1615" s="7">
        <v>45932</v>
      </c>
      <c r="L1615" s="5"/>
    </row>
    <row r="1616" spans="1:22" ht="14.4" customHeight="1" x14ac:dyDescent="0.3">
      <c r="A1616" s="5">
        <v>1640</v>
      </c>
      <c r="B1616" s="5" t="s">
        <v>895</v>
      </c>
      <c r="C1616" s="5" t="s">
        <v>3401</v>
      </c>
      <c r="D1616" s="5" t="s">
        <v>696</v>
      </c>
      <c r="E1616" s="5" t="s">
        <v>696</v>
      </c>
      <c r="F1616" s="5">
        <v>59297458</v>
      </c>
      <c r="G1616" s="5" t="s">
        <v>16</v>
      </c>
      <c r="H1616" s="7">
        <v>45901</v>
      </c>
      <c r="I1616" s="9">
        <v>45902</v>
      </c>
      <c r="J1616" s="8">
        <v>150</v>
      </c>
      <c r="K1616" s="7">
        <v>45932</v>
      </c>
      <c r="L1616" s="5"/>
    </row>
    <row r="1617" spans="1:12" ht="14.4" customHeight="1" x14ac:dyDescent="0.3">
      <c r="A1617" s="5">
        <v>1641</v>
      </c>
      <c r="B1617" s="5" t="s">
        <v>1729</v>
      </c>
      <c r="C1617" s="5" t="s">
        <v>2276</v>
      </c>
      <c r="D1617" s="5" t="s">
        <v>144</v>
      </c>
      <c r="E1617" s="5" t="s">
        <v>144</v>
      </c>
      <c r="F1617" s="5">
        <v>57669015</v>
      </c>
      <c r="G1617" s="5" t="s">
        <v>16</v>
      </c>
      <c r="H1617" s="7">
        <v>45901</v>
      </c>
      <c r="I1617" s="9">
        <v>45902</v>
      </c>
      <c r="J1617" s="8">
        <v>150</v>
      </c>
      <c r="K1617" s="7">
        <v>45932</v>
      </c>
      <c r="L1617" s="5"/>
    </row>
    <row r="1618" spans="1:12" ht="14.4" customHeight="1" x14ac:dyDescent="0.3">
      <c r="A1618" s="5">
        <v>1642</v>
      </c>
      <c r="B1618" s="5" t="s">
        <v>3402</v>
      </c>
      <c r="C1618" s="5" t="s">
        <v>3403</v>
      </c>
      <c r="D1618" s="5" t="s">
        <v>101</v>
      </c>
      <c r="E1618" s="5" t="s">
        <v>101</v>
      </c>
      <c r="F1618" s="5">
        <v>59845102</v>
      </c>
      <c r="G1618" s="5" t="s">
        <v>16</v>
      </c>
      <c r="H1618" s="7">
        <v>45901</v>
      </c>
      <c r="I1618" s="9">
        <v>45902</v>
      </c>
      <c r="J1618" s="8">
        <v>150</v>
      </c>
      <c r="K1618" s="7">
        <v>45932</v>
      </c>
      <c r="L1618" s="5"/>
    </row>
    <row r="1619" spans="1:12" ht="14.4" customHeight="1" x14ac:dyDescent="0.3">
      <c r="A1619" s="5">
        <v>1643</v>
      </c>
      <c r="B1619" s="5" t="s">
        <v>3404</v>
      </c>
      <c r="C1619" s="5" t="s">
        <v>3405</v>
      </c>
      <c r="D1619" s="5" t="s">
        <v>126</v>
      </c>
      <c r="E1619" s="5" t="s">
        <v>126</v>
      </c>
      <c r="F1619" s="5">
        <v>58273818</v>
      </c>
      <c r="G1619" s="5" t="s">
        <v>16</v>
      </c>
      <c r="H1619" s="7">
        <v>45901</v>
      </c>
      <c r="I1619" s="9">
        <v>45902</v>
      </c>
      <c r="J1619" s="8">
        <v>150</v>
      </c>
      <c r="K1619" s="7">
        <v>45932</v>
      </c>
      <c r="L1619" s="5"/>
    </row>
    <row r="1620" spans="1:12" ht="14.4" customHeight="1" x14ac:dyDescent="0.3">
      <c r="A1620" s="5">
        <v>1644</v>
      </c>
      <c r="B1620" s="5" t="s">
        <v>3406</v>
      </c>
      <c r="C1620" s="5" t="s">
        <v>3407</v>
      </c>
      <c r="D1620" s="5" t="s">
        <v>3407</v>
      </c>
      <c r="E1620" s="5" t="s">
        <v>3407</v>
      </c>
      <c r="F1620" s="5">
        <v>59099227</v>
      </c>
      <c r="G1620" s="5" t="s">
        <v>16</v>
      </c>
      <c r="H1620" s="7">
        <v>45901</v>
      </c>
      <c r="I1620" s="9">
        <v>45902</v>
      </c>
      <c r="J1620" s="8">
        <v>150</v>
      </c>
      <c r="K1620" s="7">
        <v>45932</v>
      </c>
      <c r="L1620" s="5"/>
    </row>
    <row r="1621" spans="1:12" ht="14.4" customHeight="1" x14ac:dyDescent="0.3">
      <c r="A1621" s="5">
        <v>1646</v>
      </c>
      <c r="B1621" s="5" t="s">
        <v>3409</v>
      </c>
      <c r="C1621" s="5" t="s">
        <v>3410</v>
      </c>
      <c r="D1621" s="5" t="s">
        <v>63</v>
      </c>
      <c r="E1621" s="5" t="s">
        <v>63</v>
      </c>
      <c r="F1621" s="5">
        <v>58054953</v>
      </c>
      <c r="G1621" s="5" t="s">
        <v>16</v>
      </c>
      <c r="H1621" s="7">
        <v>45901</v>
      </c>
      <c r="I1621" s="9">
        <v>45902</v>
      </c>
      <c r="J1621" s="8">
        <v>150</v>
      </c>
      <c r="K1621" s="7">
        <v>45932</v>
      </c>
      <c r="L1621" s="5"/>
    </row>
    <row r="1622" spans="1:12" ht="14.4" customHeight="1" x14ac:dyDescent="0.3">
      <c r="A1622" s="5">
        <v>1647</v>
      </c>
      <c r="B1622" s="5" t="s">
        <v>3411</v>
      </c>
      <c r="C1622" s="5" t="s">
        <v>3412</v>
      </c>
      <c r="D1622" s="5" t="s">
        <v>1315</v>
      </c>
      <c r="E1622" s="5" t="s">
        <v>1315</v>
      </c>
      <c r="F1622" s="5">
        <v>57463028</v>
      </c>
      <c r="G1622" s="5" t="s">
        <v>16</v>
      </c>
      <c r="H1622" s="7">
        <v>45901</v>
      </c>
      <c r="I1622" s="9">
        <v>45902</v>
      </c>
      <c r="J1622" s="8">
        <v>150</v>
      </c>
      <c r="K1622" s="7">
        <v>45932</v>
      </c>
      <c r="L1622" s="5"/>
    </row>
    <row r="1623" spans="1:12" ht="14.4" customHeight="1" x14ac:dyDescent="0.3">
      <c r="A1623" s="5">
        <v>1649</v>
      </c>
      <c r="B1623" s="5" t="s">
        <v>3415</v>
      </c>
      <c r="C1623" s="5" t="s">
        <v>3416</v>
      </c>
      <c r="D1623" s="5" t="s">
        <v>149</v>
      </c>
      <c r="E1623" s="5" t="s">
        <v>149</v>
      </c>
      <c r="F1623" s="5">
        <v>57783587</v>
      </c>
      <c r="G1623" s="5" t="s">
        <v>16</v>
      </c>
      <c r="H1623" s="7">
        <v>45901</v>
      </c>
      <c r="I1623" s="9">
        <v>45902</v>
      </c>
      <c r="J1623" s="8">
        <v>150</v>
      </c>
      <c r="K1623" s="7">
        <v>45932</v>
      </c>
      <c r="L1623" s="5"/>
    </row>
    <row r="1624" spans="1:12" ht="14.4" customHeight="1" x14ac:dyDescent="0.3">
      <c r="A1624" s="5">
        <v>1650</v>
      </c>
      <c r="B1624" s="5" t="s">
        <v>3391</v>
      </c>
      <c r="C1624" s="5" t="s">
        <v>3392</v>
      </c>
      <c r="D1624" s="5" t="s">
        <v>3433</v>
      </c>
      <c r="E1624" s="5" t="s">
        <v>3433</v>
      </c>
      <c r="F1624" s="5">
        <v>58173435</v>
      </c>
      <c r="G1624" s="5" t="s">
        <v>16</v>
      </c>
      <c r="H1624" s="7">
        <v>45901</v>
      </c>
      <c r="I1624" s="9">
        <v>45902</v>
      </c>
      <c r="J1624" s="8">
        <v>150</v>
      </c>
      <c r="K1624" s="7">
        <v>45932</v>
      </c>
      <c r="L1624" s="5" t="s">
        <v>3440</v>
      </c>
    </row>
    <row r="1625" spans="1:12" ht="14.4" customHeight="1" x14ac:dyDescent="0.3">
      <c r="A1625" s="5">
        <v>1651</v>
      </c>
      <c r="B1625" s="5" t="s">
        <v>3417</v>
      </c>
      <c r="C1625" s="5" t="s">
        <v>3418</v>
      </c>
      <c r="D1625" s="5" t="s">
        <v>63</v>
      </c>
      <c r="E1625" s="5" t="s">
        <v>63</v>
      </c>
      <c r="F1625" s="5">
        <v>59701771</v>
      </c>
      <c r="G1625" s="5" t="s">
        <v>16</v>
      </c>
      <c r="H1625" s="7">
        <v>45901</v>
      </c>
      <c r="I1625" s="9">
        <v>45902</v>
      </c>
      <c r="J1625" s="8">
        <v>150</v>
      </c>
      <c r="K1625" s="7">
        <v>45932</v>
      </c>
      <c r="L1625" s="5"/>
    </row>
    <row r="1626" spans="1:12" ht="14.4" customHeight="1" x14ac:dyDescent="0.3">
      <c r="A1626" s="5">
        <v>1652</v>
      </c>
      <c r="B1626" s="5" t="s">
        <v>3419</v>
      </c>
      <c r="C1626" s="5" t="s">
        <v>3410</v>
      </c>
      <c r="D1626" s="5" t="s">
        <v>63</v>
      </c>
      <c r="E1626" s="5" t="s">
        <v>63</v>
      </c>
      <c r="F1626" s="5">
        <v>57639083</v>
      </c>
      <c r="G1626" s="5" t="s">
        <v>16</v>
      </c>
      <c r="H1626" s="7">
        <v>45901</v>
      </c>
      <c r="I1626" s="9">
        <v>45902</v>
      </c>
      <c r="J1626" s="8">
        <v>150</v>
      </c>
      <c r="K1626" s="7">
        <v>45932</v>
      </c>
      <c r="L1626" s="5"/>
    </row>
    <row r="1627" spans="1:12" ht="14.4" customHeight="1" x14ac:dyDescent="0.3">
      <c r="A1627" s="5">
        <v>1653</v>
      </c>
      <c r="B1627" s="5" t="s">
        <v>3420</v>
      </c>
      <c r="C1627" s="5" t="s">
        <v>3421</v>
      </c>
      <c r="D1627" s="5" t="s">
        <v>3441</v>
      </c>
      <c r="E1627" s="5" t="s">
        <v>3441</v>
      </c>
      <c r="F1627" s="5">
        <v>52584692</v>
      </c>
      <c r="G1627" s="5" t="s">
        <v>16</v>
      </c>
      <c r="H1627" s="7">
        <v>45901</v>
      </c>
      <c r="I1627" s="9">
        <v>45902</v>
      </c>
      <c r="J1627" s="8">
        <v>150</v>
      </c>
      <c r="K1627" s="7">
        <v>45932</v>
      </c>
      <c r="L1627" s="5" t="s">
        <v>3442</v>
      </c>
    </row>
    <row r="1628" spans="1:12" ht="28.95" customHeight="1" x14ac:dyDescent="0.3">
      <c r="A1628" s="5">
        <v>1654</v>
      </c>
      <c r="B1628" s="5" t="s">
        <v>3422</v>
      </c>
      <c r="C1628" s="5" t="s">
        <v>3011</v>
      </c>
      <c r="D1628" s="5" t="s">
        <v>368</v>
      </c>
      <c r="E1628" s="5" t="s">
        <v>368</v>
      </c>
      <c r="F1628" s="5">
        <v>58057665</v>
      </c>
      <c r="G1628" s="5" t="s">
        <v>16</v>
      </c>
      <c r="H1628" s="7">
        <v>45901</v>
      </c>
      <c r="I1628" s="9">
        <v>45902</v>
      </c>
      <c r="J1628" s="8">
        <v>150</v>
      </c>
      <c r="K1628" s="7">
        <v>45932</v>
      </c>
      <c r="L1628" s="5"/>
    </row>
    <row r="1629" spans="1:12" ht="14.4" customHeight="1" x14ac:dyDescent="0.3">
      <c r="A1629" s="5">
        <v>1655</v>
      </c>
      <c r="B1629" s="5" t="s">
        <v>707</v>
      </c>
      <c r="C1629" s="5" t="s">
        <v>708</v>
      </c>
      <c r="D1629" s="5" t="s">
        <v>709</v>
      </c>
      <c r="E1629" s="5" t="s">
        <v>709</v>
      </c>
      <c r="F1629" s="5">
        <v>58096679</v>
      </c>
      <c r="G1629" s="5" t="s">
        <v>16</v>
      </c>
      <c r="H1629" s="7">
        <v>45901</v>
      </c>
      <c r="I1629" s="9">
        <v>45902</v>
      </c>
      <c r="J1629" s="8">
        <v>150</v>
      </c>
      <c r="K1629" s="7">
        <v>45932</v>
      </c>
      <c r="L1629" s="5"/>
    </row>
    <row r="1630" spans="1:12" ht="14.4" customHeight="1" x14ac:dyDescent="0.3">
      <c r="A1630" s="5">
        <v>1656</v>
      </c>
      <c r="B1630" s="5" t="s">
        <v>3423</v>
      </c>
      <c r="C1630" s="5" t="s">
        <v>3424</v>
      </c>
      <c r="D1630" s="5" t="s">
        <v>501</v>
      </c>
      <c r="E1630" s="5" t="s">
        <v>501</v>
      </c>
      <c r="F1630" s="5">
        <v>58881686</v>
      </c>
      <c r="G1630" s="5" t="s">
        <v>16</v>
      </c>
      <c r="H1630" s="7">
        <v>45901</v>
      </c>
      <c r="I1630" s="9">
        <v>45902</v>
      </c>
      <c r="J1630" s="8">
        <v>150</v>
      </c>
      <c r="K1630" s="7">
        <v>45932</v>
      </c>
      <c r="L1630" s="5"/>
    </row>
    <row r="1631" spans="1:12" ht="28.95" customHeight="1" x14ac:dyDescent="0.3">
      <c r="A1631" s="5">
        <v>1658</v>
      </c>
      <c r="B1631" s="5" t="s">
        <v>1237</v>
      </c>
      <c r="C1631" s="5" t="s">
        <v>1238</v>
      </c>
      <c r="D1631" s="5" t="s">
        <v>226</v>
      </c>
      <c r="E1631" s="5" t="s">
        <v>226</v>
      </c>
      <c r="F1631" s="5">
        <v>58444248</v>
      </c>
      <c r="G1631" s="5" t="s">
        <v>16</v>
      </c>
      <c r="H1631" s="7">
        <v>45901</v>
      </c>
      <c r="I1631" s="9">
        <v>45902</v>
      </c>
      <c r="J1631" s="8">
        <v>150</v>
      </c>
      <c r="K1631" s="7">
        <v>45932</v>
      </c>
      <c r="L1631" s="5"/>
    </row>
    <row r="1632" spans="1:12" ht="14.4" customHeight="1" x14ac:dyDescent="0.3">
      <c r="A1632" s="5">
        <v>1659</v>
      </c>
      <c r="B1632" s="5" t="s">
        <v>2711</v>
      </c>
      <c r="C1632" s="5" t="s">
        <v>2747</v>
      </c>
      <c r="D1632" s="5" t="s">
        <v>2746</v>
      </c>
      <c r="E1632" s="5" t="s">
        <v>2746</v>
      </c>
      <c r="F1632" s="5">
        <v>57895098</v>
      </c>
      <c r="G1632" s="5" t="s">
        <v>1024</v>
      </c>
      <c r="H1632" s="7">
        <v>45901</v>
      </c>
      <c r="I1632" s="9">
        <v>45902</v>
      </c>
      <c r="J1632" s="8">
        <v>150</v>
      </c>
      <c r="K1632" s="7">
        <v>45932</v>
      </c>
      <c r="L1632" s="5"/>
    </row>
    <row r="1633" spans="1:12" ht="14.4" customHeight="1" x14ac:dyDescent="0.3">
      <c r="A1633" s="5">
        <v>1660</v>
      </c>
      <c r="B1633" s="5" t="s">
        <v>3498</v>
      </c>
      <c r="C1633" s="5" t="s">
        <v>3499</v>
      </c>
      <c r="D1633" s="5" t="s">
        <v>1700</v>
      </c>
      <c r="E1633" s="5" t="s">
        <v>1700</v>
      </c>
      <c r="F1633" s="5">
        <v>57966018</v>
      </c>
      <c r="G1633" s="5" t="s">
        <v>1024</v>
      </c>
      <c r="H1633" s="7">
        <v>45901</v>
      </c>
      <c r="I1633" s="9">
        <v>45902</v>
      </c>
      <c r="J1633" s="8">
        <v>150</v>
      </c>
      <c r="K1633" s="7">
        <v>45932</v>
      </c>
      <c r="L1633" s="5"/>
    </row>
    <row r="1634" spans="1:12" ht="14.4" customHeight="1" x14ac:dyDescent="0.3">
      <c r="A1634" s="5">
        <v>1614</v>
      </c>
      <c r="B1634" s="5" t="s">
        <v>3369</v>
      </c>
      <c r="C1634" s="5" t="s">
        <v>3370</v>
      </c>
      <c r="D1634" s="5" t="s">
        <v>1999</v>
      </c>
      <c r="E1634" s="5" t="s">
        <v>1999</v>
      </c>
      <c r="F1634" s="5">
        <v>58242824</v>
      </c>
      <c r="G1634" s="5" t="s">
        <v>16</v>
      </c>
      <c r="H1634" s="7">
        <v>45901</v>
      </c>
      <c r="I1634" s="9">
        <v>45903</v>
      </c>
      <c r="J1634" s="8">
        <v>150</v>
      </c>
      <c r="K1634" s="7">
        <v>45932</v>
      </c>
      <c r="L1634" s="5"/>
    </row>
    <row r="1635" spans="1:12" ht="14.4" customHeight="1" x14ac:dyDescent="0.3">
      <c r="A1635" s="5">
        <v>1626</v>
      </c>
      <c r="B1635" s="5" t="s">
        <v>752</v>
      </c>
      <c r="C1635" s="5" t="s">
        <v>3386</v>
      </c>
      <c r="D1635" s="5" t="s">
        <v>546</v>
      </c>
      <c r="E1635" s="5" t="s">
        <v>546</v>
      </c>
      <c r="F1635" s="5">
        <v>58220347</v>
      </c>
      <c r="G1635" s="5" t="s">
        <v>16</v>
      </c>
      <c r="H1635" s="7">
        <v>45901</v>
      </c>
      <c r="I1635" s="9">
        <v>45903</v>
      </c>
      <c r="J1635" s="8">
        <v>150</v>
      </c>
      <c r="K1635" s="7">
        <v>45932</v>
      </c>
      <c r="L1635" s="5"/>
    </row>
    <row r="1636" spans="1:12" ht="14.4" customHeight="1" x14ac:dyDescent="0.3">
      <c r="A1636" s="5">
        <v>1627</v>
      </c>
      <c r="B1636" s="5" t="s">
        <v>3387</v>
      </c>
      <c r="C1636" s="5" t="s">
        <v>3388</v>
      </c>
      <c r="D1636" s="5" t="s">
        <v>3434</v>
      </c>
      <c r="E1636" s="5" t="s">
        <v>3434</v>
      </c>
      <c r="F1636" s="5">
        <v>52501057</v>
      </c>
      <c r="G1636" s="5" t="s">
        <v>16</v>
      </c>
      <c r="H1636" s="7">
        <v>45901</v>
      </c>
      <c r="I1636" s="9">
        <v>45903</v>
      </c>
      <c r="J1636" s="8">
        <v>150</v>
      </c>
      <c r="K1636" s="7">
        <v>45932</v>
      </c>
      <c r="L1636" s="5"/>
    </row>
    <row r="1637" spans="1:12" ht="14.4" customHeight="1" x14ac:dyDescent="0.3">
      <c r="A1637" s="5">
        <v>1631</v>
      </c>
      <c r="B1637" s="5" t="s">
        <v>1045</v>
      </c>
      <c r="C1637" s="5" t="s">
        <v>1046</v>
      </c>
      <c r="D1637" s="5" t="s">
        <v>546</v>
      </c>
      <c r="E1637" s="5" t="s">
        <v>546</v>
      </c>
      <c r="F1637" s="5">
        <v>58167198</v>
      </c>
      <c r="G1637" s="5" t="s">
        <v>16</v>
      </c>
      <c r="H1637" s="7">
        <v>45901</v>
      </c>
      <c r="I1637" s="9">
        <v>45903</v>
      </c>
      <c r="J1637" s="8">
        <v>150</v>
      </c>
      <c r="K1637" s="7">
        <v>45932</v>
      </c>
      <c r="L1637" s="5"/>
    </row>
    <row r="1638" spans="1:12" ht="14.4" customHeight="1" x14ac:dyDescent="0.3">
      <c r="A1638" s="5">
        <v>1633</v>
      </c>
      <c r="B1638" s="5" t="s">
        <v>613</v>
      </c>
      <c r="C1638" s="5" t="s">
        <v>614</v>
      </c>
      <c r="D1638" s="5" t="s">
        <v>155</v>
      </c>
      <c r="E1638" s="5" t="s">
        <v>155</v>
      </c>
      <c r="F1638" s="5">
        <v>59153043</v>
      </c>
      <c r="G1638" s="5" t="s">
        <v>16</v>
      </c>
      <c r="H1638" s="7">
        <v>45901</v>
      </c>
      <c r="I1638" s="9">
        <v>45903</v>
      </c>
      <c r="J1638" s="8">
        <v>150</v>
      </c>
      <c r="K1638" s="7">
        <v>45932</v>
      </c>
      <c r="L1638" s="5"/>
    </row>
    <row r="1639" spans="1:12" ht="14.4" customHeight="1" x14ac:dyDescent="0.3">
      <c r="A1639" s="5">
        <v>1611</v>
      </c>
      <c r="B1639" s="5" t="s">
        <v>3368</v>
      </c>
      <c r="C1639" s="5" t="s">
        <v>992</v>
      </c>
      <c r="D1639" s="5" t="s">
        <v>993</v>
      </c>
      <c r="E1639" s="5" t="s">
        <v>993</v>
      </c>
      <c r="F1639" s="5">
        <v>59143903</v>
      </c>
      <c r="G1639" s="5" t="s">
        <v>16</v>
      </c>
      <c r="H1639" s="7">
        <v>45901</v>
      </c>
      <c r="I1639" s="9">
        <v>45904</v>
      </c>
      <c r="J1639" s="8">
        <v>150</v>
      </c>
      <c r="K1639" s="7">
        <v>45932</v>
      </c>
      <c r="L1639" s="5"/>
    </row>
    <row r="1640" spans="1:12" ht="14.4" customHeight="1" x14ac:dyDescent="0.3">
      <c r="A1640" s="5">
        <v>1621</v>
      </c>
      <c r="B1640" s="5" t="s">
        <v>3378</v>
      </c>
      <c r="C1640" s="5" t="s">
        <v>3379</v>
      </c>
      <c r="D1640" s="5" t="s">
        <v>226</v>
      </c>
      <c r="E1640" s="5" t="s">
        <v>226</v>
      </c>
      <c r="F1640" s="5">
        <v>57571937</v>
      </c>
      <c r="G1640" s="5" t="s">
        <v>16</v>
      </c>
      <c r="H1640" s="7">
        <v>45901</v>
      </c>
      <c r="I1640" s="9">
        <v>45905</v>
      </c>
      <c r="J1640" s="8">
        <v>150</v>
      </c>
      <c r="K1640" s="7">
        <v>45932</v>
      </c>
      <c r="L1640" s="5"/>
    </row>
    <row r="1641" spans="1:12" ht="14.4" customHeight="1" x14ac:dyDescent="0.3">
      <c r="A1641" s="5">
        <v>1623</v>
      </c>
      <c r="B1641" s="5" t="s">
        <v>3381</v>
      </c>
      <c r="C1641" s="5" t="s">
        <v>3382</v>
      </c>
      <c r="D1641" s="5" t="s">
        <v>1116</v>
      </c>
      <c r="E1641" s="5" t="s">
        <v>1116</v>
      </c>
      <c r="F1641" s="5">
        <v>58327231</v>
      </c>
      <c r="G1641" s="5" t="s">
        <v>16</v>
      </c>
      <c r="H1641" s="7">
        <v>45901</v>
      </c>
      <c r="I1641" s="9">
        <v>45905</v>
      </c>
      <c r="J1641" s="8">
        <v>150</v>
      </c>
      <c r="K1641" s="7">
        <v>45932</v>
      </c>
      <c r="L1641" s="5"/>
    </row>
    <row r="1642" spans="1:12" ht="14.4" customHeight="1" x14ac:dyDescent="0.3">
      <c r="A1642" s="5">
        <v>1645</v>
      </c>
      <c r="B1642" s="5" t="s">
        <v>3408</v>
      </c>
      <c r="C1642" s="5" t="s">
        <v>3437</v>
      </c>
      <c r="D1642" s="5" t="s">
        <v>3438</v>
      </c>
      <c r="E1642" s="5" t="s">
        <v>3438</v>
      </c>
      <c r="F1642" s="5">
        <v>58940407</v>
      </c>
      <c r="G1642" s="5" t="s">
        <v>16</v>
      </c>
      <c r="H1642" s="7">
        <v>45901</v>
      </c>
      <c r="I1642" s="9">
        <v>45905</v>
      </c>
      <c r="J1642" s="8">
        <v>150</v>
      </c>
      <c r="K1642" s="7">
        <v>45932</v>
      </c>
      <c r="L1642" s="5" t="s">
        <v>3439</v>
      </c>
    </row>
    <row r="1643" spans="1:12" ht="14.4" customHeight="1" x14ac:dyDescent="0.3">
      <c r="A1643" s="5">
        <v>1648</v>
      </c>
      <c r="B1643" s="5" t="s">
        <v>3413</v>
      </c>
      <c r="C1643" s="5" t="s">
        <v>3414</v>
      </c>
      <c r="D1643" s="5" t="s">
        <v>63</v>
      </c>
      <c r="E1643" s="5" t="s">
        <v>63</v>
      </c>
      <c r="F1643" s="5">
        <v>57193750</v>
      </c>
      <c r="G1643" s="5" t="s">
        <v>16</v>
      </c>
      <c r="H1643" s="7">
        <v>45901</v>
      </c>
      <c r="I1643" s="9">
        <v>45905</v>
      </c>
      <c r="J1643" s="8">
        <v>150</v>
      </c>
      <c r="K1643" s="7">
        <v>45932</v>
      </c>
      <c r="L1643" s="5"/>
    </row>
    <row r="1644" spans="1:12" ht="14.4" customHeight="1" x14ac:dyDescent="0.3">
      <c r="A1644" s="5">
        <v>1657</v>
      </c>
      <c r="B1644" s="5" t="s">
        <v>3425</v>
      </c>
      <c r="C1644" s="5" t="s">
        <v>3426</v>
      </c>
      <c r="D1644" s="5" t="s">
        <v>3434</v>
      </c>
      <c r="E1644" s="5" t="s">
        <v>3434</v>
      </c>
      <c r="F1644" s="5">
        <v>58311215</v>
      </c>
      <c r="G1644" s="5" t="s">
        <v>16</v>
      </c>
      <c r="H1644" s="7">
        <v>45901</v>
      </c>
      <c r="I1644" s="9">
        <v>45905</v>
      </c>
      <c r="J1644" s="8">
        <v>150</v>
      </c>
      <c r="K1644" s="7">
        <v>45932</v>
      </c>
      <c r="L1644" s="5"/>
    </row>
    <row r="1645" spans="1:12" ht="14.4" customHeight="1" x14ac:dyDescent="0.3">
      <c r="A1645" s="5">
        <v>1661</v>
      </c>
      <c r="B1645" s="5" t="s">
        <v>188</v>
      </c>
      <c r="C1645" s="5" t="s">
        <v>3449</v>
      </c>
      <c r="D1645" s="5" t="s">
        <v>3450</v>
      </c>
      <c r="E1645" s="5" t="s">
        <v>3451</v>
      </c>
      <c r="F1645" s="5">
        <v>57816878</v>
      </c>
      <c r="G1645" s="5" t="s">
        <v>16</v>
      </c>
      <c r="H1645" s="7">
        <v>45904</v>
      </c>
      <c r="I1645" s="9">
        <v>45905</v>
      </c>
      <c r="J1645" s="8">
        <v>150</v>
      </c>
      <c r="K1645" s="7">
        <v>45932</v>
      </c>
      <c r="L1645" s="5"/>
    </row>
    <row r="1646" spans="1:12" ht="14.4" customHeight="1" x14ac:dyDescent="0.3">
      <c r="A1646" s="5">
        <v>1662</v>
      </c>
      <c r="B1646" s="5" t="s">
        <v>3452</v>
      </c>
      <c r="C1646" s="5" t="s">
        <v>3453</v>
      </c>
      <c r="D1646" s="5" t="s">
        <v>426</v>
      </c>
      <c r="E1646" s="5" t="s">
        <v>1143</v>
      </c>
      <c r="F1646" s="5">
        <v>58004439</v>
      </c>
      <c r="G1646" s="5" t="s">
        <v>16</v>
      </c>
      <c r="H1646" s="7">
        <v>45904</v>
      </c>
      <c r="I1646" s="9">
        <v>45905</v>
      </c>
      <c r="J1646" s="8">
        <v>150</v>
      </c>
      <c r="K1646" s="7">
        <v>45932</v>
      </c>
      <c r="L1646" s="5"/>
    </row>
    <row r="1647" spans="1:12" ht="14.4" customHeight="1" x14ac:dyDescent="0.3">
      <c r="A1647" s="5">
        <v>1663</v>
      </c>
      <c r="B1647" s="5" t="s">
        <v>180</v>
      </c>
      <c r="C1647" s="5" t="s">
        <v>2194</v>
      </c>
      <c r="D1647" s="5" t="s">
        <v>68</v>
      </c>
      <c r="E1647" s="5" t="s">
        <v>1597</v>
      </c>
      <c r="F1647" s="5">
        <v>57060726</v>
      </c>
      <c r="G1647" s="5" t="s">
        <v>16</v>
      </c>
      <c r="H1647" s="7">
        <v>45904</v>
      </c>
      <c r="I1647" s="9">
        <v>45905</v>
      </c>
      <c r="J1647" s="8">
        <v>150</v>
      </c>
      <c r="K1647" s="7">
        <v>45932</v>
      </c>
      <c r="L1647" s="5"/>
    </row>
    <row r="1648" spans="1:12" ht="14.4" customHeight="1" x14ac:dyDescent="0.3">
      <c r="A1648" s="5">
        <v>1664</v>
      </c>
      <c r="B1648" s="5" t="s">
        <v>3371</v>
      </c>
      <c r="C1648" s="5" t="s">
        <v>3372</v>
      </c>
      <c r="D1648" s="5" t="s">
        <v>41</v>
      </c>
      <c r="E1648" s="5" t="s">
        <v>3454</v>
      </c>
      <c r="F1648" s="5">
        <v>58068182</v>
      </c>
      <c r="G1648" s="5" t="s">
        <v>16</v>
      </c>
      <c r="H1648" s="7">
        <v>45904</v>
      </c>
      <c r="I1648" s="9">
        <v>45905</v>
      </c>
      <c r="J1648" s="8">
        <v>150</v>
      </c>
      <c r="K1648" s="7">
        <v>45932</v>
      </c>
      <c r="L1648" s="5"/>
    </row>
    <row r="1649" spans="1:12" ht="14.4" customHeight="1" x14ac:dyDescent="0.3">
      <c r="A1649" s="5">
        <v>1665</v>
      </c>
      <c r="B1649" s="5" t="s">
        <v>1192</v>
      </c>
      <c r="C1649" s="5" t="s">
        <v>3455</v>
      </c>
      <c r="D1649" s="5"/>
      <c r="E1649" s="5"/>
      <c r="F1649" s="5" t="s">
        <v>1195</v>
      </c>
      <c r="G1649" s="5" t="s">
        <v>16</v>
      </c>
      <c r="H1649" s="7">
        <v>45904</v>
      </c>
      <c r="I1649" s="9">
        <v>45905</v>
      </c>
      <c r="J1649" s="8">
        <v>150</v>
      </c>
      <c r="K1649" s="7">
        <v>45932</v>
      </c>
      <c r="L1649" s="5"/>
    </row>
    <row r="1650" spans="1:12" ht="14.4" customHeight="1" x14ac:dyDescent="0.3">
      <c r="A1650" s="5">
        <v>1666</v>
      </c>
      <c r="B1650" s="5" t="s">
        <v>1973</v>
      </c>
      <c r="C1650" s="5" t="s">
        <v>1974</v>
      </c>
      <c r="D1650" s="5" t="s">
        <v>84</v>
      </c>
      <c r="E1650" s="5" t="s">
        <v>117</v>
      </c>
      <c r="F1650" s="5">
        <v>59420122</v>
      </c>
      <c r="G1650" s="5" t="s">
        <v>16</v>
      </c>
      <c r="H1650" s="7">
        <v>45904</v>
      </c>
      <c r="I1650" s="9">
        <v>45905</v>
      </c>
      <c r="J1650" s="8">
        <v>150</v>
      </c>
      <c r="K1650" s="7">
        <v>45932</v>
      </c>
      <c r="L1650" s="5"/>
    </row>
    <row r="1651" spans="1:12" ht="14.4" customHeight="1" x14ac:dyDescent="0.3">
      <c r="A1651" s="5">
        <v>1667</v>
      </c>
      <c r="B1651" s="5" t="s">
        <v>3456</v>
      </c>
      <c r="C1651" s="5" t="s">
        <v>3457</v>
      </c>
      <c r="D1651" s="5" t="s">
        <v>84</v>
      </c>
      <c r="E1651" s="5" t="s">
        <v>84</v>
      </c>
      <c r="F1651" s="5">
        <v>57723828</v>
      </c>
      <c r="G1651" s="5" t="s">
        <v>16</v>
      </c>
      <c r="H1651" s="7">
        <v>45904</v>
      </c>
      <c r="I1651" s="9">
        <v>45905</v>
      </c>
      <c r="J1651" s="8">
        <v>150</v>
      </c>
      <c r="K1651" s="7">
        <v>45932</v>
      </c>
      <c r="L1651" s="5"/>
    </row>
    <row r="1652" spans="1:12" ht="14.4" customHeight="1" x14ac:dyDescent="0.3">
      <c r="A1652" s="5">
        <v>1668</v>
      </c>
      <c r="B1652" s="5" t="s">
        <v>121</v>
      </c>
      <c r="C1652" s="5" t="s">
        <v>122</v>
      </c>
      <c r="D1652" s="5" t="s">
        <v>137</v>
      </c>
      <c r="E1652" s="5" t="s">
        <v>123</v>
      </c>
      <c r="F1652" s="5">
        <v>57801348</v>
      </c>
      <c r="G1652" s="5" t="s">
        <v>16</v>
      </c>
      <c r="H1652" s="7">
        <v>45904</v>
      </c>
      <c r="I1652" s="9">
        <v>45905</v>
      </c>
      <c r="J1652" s="8">
        <v>150</v>
      </c>
      <c r="K1652" s="7">
        <v>45932</v>
      </c>
      <c r="L1652" s="5"/>
    </row>
    <row r="1653" spans="1:12" ht="14.4" customHeight="1" x14ac:dyDescent="0.3">
      <c r="A1653" s="5">
        <v>1669</v>
      </c>
      <c r="B1653" s="5" t="s">
        <v>3458</v>
      </c>
      <c r="C1653" s="5" t="s">
        <v>3459</v>
      </c>
      <c r="D1653" s="5" t="s">
        <v>68</v>
      </c>
      <c r="E1653" s="5" t="s">
        <v>101</v>
      </c>
      <c r="F1653" s="5">
        <v>57426350</v>
      </c>
      <c r="G1653" s="5" t="s">
        <v>16</v>
      </c>
      <c r="H1653" s="7">
        <v>45904</v>
      </c>
      <c r="I1653" s="9">
        <v>45905</v>
      </c>
      <c r="J1653" s="8">
        <v>150</v>
      </c>
      <c r="K1653" s="7">
        <v>45932</v>
      </c>
      <c r="L1653" s="5"/>
    </row>
    <row r="1654" spans="1:12" ht="14.4" customHeight="1" x14ac:dyDescent="0.3">
      <c r="A1654" s="5">
        <v>1670</v>
      </c>
      <c r="B1654" s="5" t="s">
        <v>3377</v>
      </c>
      <c r="C1654" s="5" t="s">
        <v>3460</v>
      </c>
      <c r="D1654" s="5" t="s">
        <v>68</v>
      </c>
      <c r="E1654" s="5" t="s">
        <v>3461</v>
      </c>
      <c r="F1654" s="5">
        <v>57342932</v>
      </c>
      <c r="G1654" s="5" t="s">
        <v>16</v>
      </c>
      <c r="H1654" s="7">
        <v>45904</v>
      </c>
      <c r="I1654" s="9">
        <v>45905</v>
      </c>
      <c r="J1654" s="8">
        <v>150</v>
      </c>
      <c r="K1654" s="7">
        <v>45932</v>
      </c>
      <c r="L1654" s="5"/>
    </row>
    <row r="1655" spans="1:12" ht="14.4" customHeight="1" x14ac:dyDescent="0.3">
      <c r="A1655" s="5">
        <v>1671</v>
      </c>
      <c r="B1655" s="5" t="s">
        <v>3462</v>
      </c>
      <c r="C1655" s="5" t="s">
        <v>3463</v>
      </c>
      <c r="D1655" s="5" t="s">
        <v>68</v>
      </c>
      <c r="E1655" s="5" t="s">
        <v>2007</v>
      </c>
      <c r="F1655" s="5">
        <v>57556109</v>
      </c>
      <c r="G1655" s="5" t="s">
        <v>16</v>
      </c>
      <c r="H1655" s="7">
        <v>45904</v>
      </c>
      <c r="I1655" s="9">
        <v>45905</v>
      </c>
      <c r="J1655" s="8">
        <v>150</v>
      </c>
      <c r="K1655" s="7">
        <v>45932</v>
      </c>
      <c r="L1655" s="5"/>
    </row>
    <row r="1656" spans="1:12" ht="14.4" customHeight="1" x14ac:dyDescent="0.3">
      <c r="A1656" s="5">
        <v>1672</v>
      </c>
      <c r="B1656" s="5" t="s">
        <v>406</v>
      </c>
      <c r="C1656" s="5" t="s">
        <v>3464</v>
      </c>
      <c r="D1656" s="5" t="s">
        <v>569</v>
      </c>
      <c r="E1656" s="5" t="s">
        <v>368</v>
      </c>
      <c r="F1656" s="5">
        <v>52516583</v>
      </c>
      <c r="G1656" s="5" t="s">
        <v>16</v>
      </c>
      <c r="H1656" s="7">
        <v>45904</v>
      </c>
      <c r="I1656" s="9">
        <v>45905</v>
      </c>
      <c r="J1656" s="8">
        <v>150</v>
      </c>
      <c r="K1656" s="7">
        <v>45932</v>
      </c>
      <c r="L1656" s="5"/>
    </row>
    <row r="1657" spans="1:12" ht="14.4" customHeight="1" x14ac:dyDescent="0.3">
      <c r="A1657" s="5">
        <v>1673</v>
      </c>
      <c r="B1657" s="5" t="s">
        <v>3378</v>
      </c>
      <c r="C1657" s="5" t="s">
        <v>3379</v>
      </c>
      <c r="D1657" s="5" t="s">
        <v>475</v>
      </c>
      <c r="E1657" s="5" t="s">
        <v>226</v>
      </c>
      <c r="F1657" s="5">
        <v>57571937</v>
      </c>
      <c r="G1657" s="5" t="s">
        <v>16</v>
      </c>
      <c r="H1657" s="7">
        <v>45904</v>
      </c>
      <c r="I1657" s="9">
        <v>45905</v>
      </c>
      <c r="J1657" s="8">
        <v>150</v>
      </c>
      <c r="K1657" s="7">
        <v>45932</v>
      </c>
      <c r="L1657" s="5"/>
    </row>
    <row r="1658" spans="1:12" ht="14.4" customHeight="1" x14ac:dyDescent="0.3">
      <c r="A1658" s="5">
        <v>1674</v>
      </c>
      <c r="B1658" s="5" t="s">
        <v>2133</v>
      </c>
      <c r="C1658" s="5" t="s">
        <v>3465</v>
      </c>
      <c r="D1658" s="5" t="s">
        <v>84</v>
      </c>
      <c r="E1658" s="5" t="s">
        <v>3466</v>
      </c>
      <c r="F1658" s="5">
        <v>57764673</v>
      </c>
      <c r="G1658" s="5" t="s">
        <v>16</v>
      </c>
      <c r="H1658" s="7">
        <v>45904</v>
      </c>
      <c r="I1658" s="9">
        <v>45905</v>
      </c>
      <c r="J1658" s="8">
        <v>150</v>
      </c>
      <c r="K1658" s="7">
        <v>45932</v>
      </c>
      <c r="L1658" s="5"/>
    </row>
    <row r="1659" spans="1:12" ht="14.4" customHeight="1" x14ac:dyDescent="0.3">
      <c r="A1659" s="5">
        <v>1675</v>
      </c>
      <c r="B1659" s="5" t="s">
        <v>3467</v>
      </c>
      <c r="C1659" s="5" t="s">
        <v>3468</v>
      </c>
      <c r="D1659" s="5" t="s">
        <v>68</v>
      </c>
      <c r="E1659" s="5" t="s">
        <v>447</v>
      </c>
      <c r="F1659" s="5">
        <v>57943288</v>
      </c>
      <c r="G1659" s="5" t="s">
        <v>16</v>
      </c>
      <c r="H1659" s="7">
        <v>45904</v>
      </c>
      <c r="I1659" s="9">
        <v>45905</v>
      </c>
      <c r="J1659" s="8">
        <v>150</v>
      </c>
      <c r="K1659" s="7">
        <v>45932</v>
      </c>
      <c r="L1659" s="5"/>
    </row>
    <row r="1660" spans="1:12" x14ac:dyDescent="0.3">
      <c r="A1660" s="5">
        <v>1676</v>
      </c>
      <c r="B1660" s="5" t="s">
        <v>3469</v>
      </c>
      <c r="C1660" s="5" t="s">
        <v>3470</v>
      </c>
      <c r="D1660" s="5" t="s">
        <v>137</v>
      </c>
      <c r="E1660" s="5" t="s">
        <v>998</v>
      </c>
      <c r="F1660" s="5">
        <v>57631015</v>
      </c>
      <c r="G1660" s="5" t="s">
        <v>16</v>
      </c>
      <c r="H1660" s="7">
        <v>45904</v>
      </c>
      <c r="I1660" s="9">
        <v>45905</v>
      </c>
      <c r="J1660" s="8">
        <v>150</v>
      </c>
      <c r="K1660" s="7">
        <v>45932</v>
      </c>
      <c r="L1660" s="5"/>
    </row>
    <row r="1661" spans="1:12" x14ac:dyDescent="0.3">
      <c r="A1661" s="5">
        <v>1677</v>
      </c>
      <c r="B1661" s="5" t="s">
        <v>3471</v>
      </c>
      <c r="C1661" s="5" t="s">
        <v>3472</v>
      </c>
      <c r="D1661" s="5" t="s">
        <v>68</v>
      </c>
      <c r="E1661" s="5" t="s">
        <v>49</v>
      </c>
      <c r="F1661" s="5">
        <v>57729175</v>
      </c>
      <c r="G1661" s="5" t="s">
        <v>16</v>
      </c>
      <c r="H1661" s="7">
        <v>45904</v>
      </c>
      <c r="I1661" s="9">
        <v>45905</v>
      </c>
      <c r="J1661" s="8">
        <v>150</v>
      </c>
      <c r="K1661" s="7">
        <v>45932</v>
      </c>
      <c r="L1661" s="5"/>
    </row>
    <row r="1662" spans="1:12" x14ac:dyDescent="0.3">
      <c r="A1662" s="5">
        <v>1678</v>
      </c>
      <c r="B1662" s="5" t="s">
        <v>3473</v>
      </c>
      <c r="C1662" s="5" t="s">
        <v>3474</v>
      </c>
      <c r="D1662" s="5" t="s">
        <v>475</v>
      </c>
      <c r="E1662" s="5" t="s">
        <v>204</v>
      </c>
      <c r="F1662" s="5">
        <v>58004202</v>
      </c>
      <c r="G1662" s="5" t="s">
        <v>16</v>
      </c>
      <c r="H1662" s="7">
        <v>45904</v>
      </c>
      <c r="I1662" s="9">
        <v>45905</v>
      </c>
      <c r="J1662" s="8">
        <v>150</v>
      </c>
      <c r="K1662" s="7">
        <v>45932</v>
      </c>
      <c r="L1662" s="5"/>
    </row>
    <row r="1663" spans="1:12" x14ac:dyDescent="0.3">
      <c r="A1663" s="5">
        <v>1679</v>
      </c>
      <c r="B1663" s="5" t="s">
        <v>3475</v>
      </c>
      <c r="C1663" s="5" t="s">
        <v>3476</v>
      </c>
      <c r="D1663" s="5" t="s">
        <v>137</v>
      </c>
      <c r="E1663" s="5" t="s">
        <v>1279</v>
      </c>
      <c r="F1663" s="5">
        <v>59151091</v>
      </c>
      <c r="G1663" s="5" t="s">
        <v>16</v>
      </c>
      <c r="H1663" s="7">
        <v>45904</v>
      </c>
      <c r="I1663" s="9">
        <v>45905</v>
      </c>
      <c r="J1663" s="8">
        <v>150</v>
      </c>
      <c r="K1663" s="7">
        <v>45932</v>
      </c>
      <c r="L1663" s="5"/>
    </row>
    <row r="1664" spans="1:12" x14ac:dyDescent="0.3">
      <c r="A1664" s="5">
        <v>1680</v>
      </c>
      <c r="B1664" s="5" t="s">
        <v>3477</v>
      </c>
      <c r="C1664" s="5" t="s">
        <v>3478</v>
      </c>
      <c r="D1664" s="5" t="s">
        <v>68</v>
      </c>
      <c r="E1664" s="5" t="s">
        <v>696</v>
      </c>
      <c r="F1664" s="5">
        <v>58084298</v>
      </c>
      <c r="G1664" s="5" t="s">
        <v>16</v>
      </c>
      <c r="H1664" s="7">
        <v>45904</v>
      </c>
      <c r="I1664" s="9">
        <v>45905</v>
      </c>
      <c r="J1664" s="8">
        <v>150</v>
      </c>
      <c r="K1664" s="7">
        <v>45932</v>
      </c>
      <c r="L1664" s="5"/>
    </row>
    <row r="1665" spans="1:12" x14ac:dyDescent="0.3">
      <c r="A1665" s="5">
        <v>1681</v>
      </c>
      <c r="B1665" s="5" t="s">
        <v>3479</v>
      </c>
      <c r="C1665" s="5" t="s">
        <v>3480</v>
      </c>
      <c r="D1665" s="5" t="s">
        <v>569</v>
      </c>
      <c r="E1665" s="5" t="s">
        <v>458</v>
      </c>
      <c r="F1665" s="5" t="s">
        <v>3481</v>
      </c>
      <c r="G1665" s="5" t="s">
        <v>16</v>
      </c>
      <c r="H1665" s="7">
        <v>45904</v>
      </c>
      <c r="I1665" s="9">
        <v>45905</v>
      </c>
      <c r="J1665" s="8">
        <v>150</v>
      </c>
      <c r="K1665" s="7">
        <v>45932</v>
      </c>
      <c r="L1665" s="5"/>
    </row>
    <row r="1666" spans="1:12" x14ac:dyDescent="0.3">
      <c r="A1666" s="5">
        <v>1682</v>
      </c>
      <c r="B1666" s="5" t="s">
        <v>3482</v>
      </c>
      <c r="C1666" s="5" t="s">
        <v>3483</v>
      </c>
      <c r="D1666" s="5" t="s">
        <v>68</v>
      </c>
      <c r="E1666" s="5" t="s">
        <v>101</v>
      </c>
      <c r="F1666" s="5">
        <v>57735246</v>
      </c>
      <c r="G1666" s="5" t="s">
        <v>16</v>
      </c>
      <c r="H1666" s="7">
        <v>45904</v>
      </c>
      <c r="I1666" s="9">
        <v>45905</v>
      </c>
      <c r="J1666" s="8">
        <v>150</v>
      </c>
      <c r="K1666" s="7">
        <v>45932</v>
      </c>
      <c r="L1666" s="5"/>
    </row>
    <row r="1667" spans="1:12" x14ac:dyDescent="0.3">
      <c r="A1667" s="5">
        <v>1683</v>
      </c>
      <c r="B1667" s="5" t="s">
        <v>3484</v>
      </c>
      <c r="C1667" s="5" t="s">
        <v>3485</v>
      </c>
      <c r="D1667" s="5" t="s">
        <v>137</v>
      </c>
      <c r="E1667" s="5" t="s">
        <v>3433</v>
      </c>
      <c r="F1667" s="5">
        <v>58370554</v>
      </c>
      <c r="G1667" s="5" t="s">
        <v>16</v>
      </c>
      <c r="H1667" s="7">
        <v>45904</v>
      </c>
      <c r="I1667" s="9">
        <v>45905</v>
      </c>
      <c r="J1667" s="8">
        <v>150</v>
      </c>
      <c r="K1667" s="7">
        <v>45932</v>
      </c>
      <c r="L1667" s="5"/>
    </row>
    <row r="1668" spans="1:12" x14ac:dyDescent="0.3">
      <c r="A1668" s="5">
        <v>1684</v>
      </c>
      <c r="B1668" s="5" t="s">
        <v>3486</v>
      </c>
      <c r="C1668" s="5" t="s">
        <v>3487</v>
      </c>
      <c r="D1668" s="5" t="s">
        <v>569</v>
      </c>
      <c r="E1668" s="5" t="s">
        <v>494</v>
      </c>
      <c r="F1668" s="5">
        <v>57615049</v>
      </c>
      <c r="G1668" s="5" t="s">
        <v>16</v>
      </c>
      <c r="H1668" s="7">
        <v>45904</v>
      </c>
      <c r="I1668" s="9">
        <v>45905</v>
      </c>
      <c r="J1668" s="8">
        <v>150</v>
      </c>
      <c r="K1668" s="7">
        <v>45932</v>
      </c>
      <c r="L1668" s="5"/>
    </row>
    <row r="1669" spans="1:12" x14ac:dyDescent="0.3">
      <c r="A1669" s="5">
        <v>1685</v>
      </c>
      <c r="B1669" s="5" t="s">
        <v>3488</v>
      </c>
      <c r="C1669" s="5" t="s">
        <v>3489</v>
      </c>
      <c r="D1669" s="5" t="s">
        <v>41</v>
      </c>
      <c r="E1669" s="5"/>
      <c r="F1669" s="5">
        <v>59188979</v>
      </c>
      <c r="G1669" s="5" t="s">
        <v>1024</v>
      </c>
      <c r="H1669" s="7">
        <v>45904</v>
      </c>
      <c r="I1669" s="9">
        <v>45905</v>
      </c>
      <c r="J1669" s="8">
        <v>150</v>
      </c>
      <c r="K1669" s="7">
        <v>45932</v>
      </c>
      <c r="L1669" s="5"/>
    </row>
    <row r="1670" spans="1:12" x14ac:dyDescent="0.3">
      <c r="A1670" s="5">
        <v>1686</v>
      </c>
      <c r="B1670" s="7" t="s">
        <v>342</v>
      </c>
      <c r="C1670" s="5" t="s">
        <v>343</v>
      </c>
      <c r="D1670" s="5" t="s">
        <v>30</v>
      </c>
      <c r="E1670" s="5" t="s">
        <v>344</v>
      </c>
      <c r="F1670" s="6">
        <v>52526373</v>
      </c>
      <c r="G1670" s="5" t="s">
        <v>1024</v>
      </c>
      <c r="H1670" s="7">
        <v>45904</v>
      </c>
      <c r="I1670" s="9">
        <v>45905</v>
      </c>
      <c r="J1670" s="8">
        <v>150</v>
      </c>
      <c r="K1670" s="7">
        <v>45932</v>
      </c>
      <c r="L1670" s="5">
        <v>6600</v>
      </c>
    </row>
    <row r="1671" spans="1:12" x14ac:dyDescent="0.3">
      <c r="A1671" s="5">
        <v>1687</v>
      </c>
      <c r="B1671" s="5" t="s">
        <v>3490</v>
      </c>
      <c r="C1671" s="5" t="s">
        <v>3491</v>
      </c>
      <c r="D1671" s="5" t="s">
        <v>84</v>
      </c>
      <c r="E1671" s="5" t="s">
        <v>1020</v>
      </c>
      <c r="F1671" s="5" t="s">
        <v>3492</v>
      </c>
      <c r="G1671" s="5" t="s">
        <v>1024</v>
      </c>
      <c r="H1671" s="7">
        <v>45904</v>
      </c>
      <c r="I1671" s="9">
        <v>45905</v>
      </c>
      <c r="J1671" s="8">
        <v>150</v>
      </c>
      <c r="K1671" s="7">
        <v>45932</v>
      </c>
      <c r="L1671" s="5"/>
    </row>
    <row r="1672" spans="1:12" x14ac:dyDescent="0.3">
      <c r="A1672" s="5">
        <v>1688</v>
      </c>
      <c r="B1672" s="5" t="s">
        <v>3493</v>
      </c>
      <c r="C1672" s="5" t="s">
        <v>3497</v>
      </c>
      <c r="D1672" s="5" t="s">
        <v>84</v>
      </c>
      <c r="E1672" s="5" t="s">
        <v>84</v>
      </c>
      <c r="F1672" s="5">
        <v>59192603</v>
      </c>
      <c r="G1672" s="5" t="s">
        <v>1024</v>
      </c>
      <c r="H1672" s="7">
        <v>45904</v>
      </c>
      <c r="I1672" s="9">
        <v>45905</v>
      </c>
      <c r="J1672" s="8">
        <v>150</v>
      </c>
      <c r="K1672" s="7">
        <v>45932</v>
      </c>
      <c r="L1672" s="5"/>
    </row>
    <row r="1673" spans="1:12" x14ac:dyDescent="0.3">
      <c r="A1673" s="5">
        <v>1690</v>
      </c>
      <c r="B1673" s="5" t="s">
        <v>3283</v>
      </c>
      <c r="C1673" s="5" t="s">
        <v>651</v>
      </c>
      <c r="D1673" s="5" t="s">
        <v>569</v>
      </c>
      <c r="E1673" s="5" t="s">
        <v>291</v>
      </c>
      <c r="F1673" s="5">
        <v>59260102</v>
      </c>
      <c r="G1673" s="5" t="s">
        <v>1024</v>
      </c>
      <c r="H1673" s="7">
        <v>45904</v>
      </c>
      <c r="I1673" s="9">
        <v>45905</v>
      </c>
      <c r="J1673" s="8">
        <v>150</v>
      </c>
      <c r="K1673" s="7">
        <v>45932</v>
      </c>
      <c r="L1673" s="5"/>
    </row>
    <row r="1674" spans="1:12" x14ac:dyDescent="0.3">
      <c r="A1674" s="5">
        <v>1691</v>
      </c>
      <c r="B1674" s="5" t="s">
        <v>3495</v>
      </c>
      <c r="C1674" s="5" t="s">
        <v>3496</v>
      </c>
      <c r="D1674" s="5" t="s">
        <v>49</v>
      </c>
      <c r="E1674" s="5" t="s">
        <v>49</v>
      </c>
      <c r="F1674" s="5">
        <v>57026204</v>
      </c>
      <c r="G1674" s="5" t="s">
        <v>1024</v>
      </c>
      <c r="H1674" s="7">
        <v>45904</v>
      </c>
      <c r="I1674" s="9">
        <v>45905</v>
      </c>
      <c r="J1674" s="8">
        <v>150</v>
      </c>
      <c r="K1674" s="7">
        <v>45932</v>
      </c>
      <c r="L1674" s="5"/>
    </row>
    <row r="1675" spans="1:12" x14ac:dyDescent="0.3">
      <c r="A1675" s="5">
        <v>1692</v>
      </c>
      <c r="B1675" s="5" t="s">
        <v>2213</v>
      </c>
      <c r="C1675" s="5" t="s">
        <v>2214</v>
      </c>
      <c r="D1675" s="5" t="s">
        <v>23</v>
      </c>
      <c r="E1675" s="5"/>
      <c r="F1675" s="5">
        <v>59170039</v>
      </c>
      <c r="G1675" s="5" t="s">
        <v>16</v>
      </c>
      <c r="H1675" s="7">
        <v>45908</v>
      </c>
      <c r="I1675" s="7">
        <v>45909</v>
      </c>
      <c r="J1675" s="8">
        <v>150</v>
      </c>
      <c r="K1675" s="7">
        <v>45932</v>
      </c>
      <c r="L1675" s="5"/>
    </row>
    <row r="1676" spans="1:12" x14ac:dyDescent="0.3">
      <c r="A1676" s="5">
        <v>1693</v>
      </c>
      <c r="B1676" s="5" t="s">
        <v>3500</v>
      </c>
      <c r="C1676" s="5" t="s">
        <v>3501</v>
      </c>
      <c r="D1676" s="5" t="s">
        <v>601</v>
      </c>
      <c r="E1676" s="5" t="s">
        <v>2012</v>
      </c>
      <c r="F1676" s="5">
        <v>57905766</v>
      </c>
      <c r="G1676" s="5" t="s">
        <v>16</v>
      </c>
      <c r="H1676" s="7">
        <v>45908</v>
      </c>
      <c r="I1676" s="7">
        <v>45909</v>
      </c>
      <c r="J1676" s="8">
        <v>150</v>
      </c>
      <c r="K1676" s="7">
        <v>45932</v>
      </c>
      <c r="L1676" s="5"/>
    </row>
    <row r="1677" spans="1:12" x14ac:dyDescent="0.3">
      <c r="A1677" s="5">
        <v>1694</v>
      </c>
      <c r="B1677" s="5" t="s">
        <v>3502</v>
      </c>
      <c r="C1677" s="5" t="s">
        <v>3503</v>
      </c>
      <c r="D1677" s="5" t="s">
        <v>137</v>
      </c>
      <c r="E1677" s="5" t="s">
        <v>3504</v>
      </c>
      <c r="F1677" s="5">
        <v>59386654</v>
      </c>
      <c r="G1677" s="5" t="s">
        <v>16</v>
      </c>
      <c r="H1677" s="7">
        <v>45908</v>
      </c>
      <c r="I1677" s="7">
        <v>45909</v>
      </c>
      <c r="J1677" s="8">
        <v>150</v>
      </c>
      <c r="K1677" s="7">
        <v>45932</v>
      </c>
      <c r="L1677" s="5"/>
    </row>
    <row r="1678" spans="1:12" x14ac:dyDescent="0.3">
      <c r="A1678" s="5">
        <v>1695</v>
      </c>
      <c r="B1678" s="5" t="s">
        <v>3505</v>
      </c>
      <c r="C1678" s="5" t="s">
        <v>3506</v>
      </c>
      <c r="D1678" s="5" t="s">
        <v>601</v>
      </c>
      <c r="E1678" s="5" t="s">
        <v>259</v>
      </c>
      <c r="F1678" s="5">
        <v>57833574</v>
      </c>
      <c r="G1678" s="5" t="s">
        <v>16</v>
      </c>
      <c r="H1678" s="7">
        <v>45908</v>
      </c>
      <c r="I1678" s="7">
        <v>45909</v>
      </c>
      <c r="J1678" s="8">
        <v>150</v>
      </c>
      <c r="K1678" s="7">
        <v>45932</v>
      </c>
      <c r="L1678" s="5"/>
    </row>
    <row r="1679" spans="1:12" x14ac:dyDescent="0.3">
      <c r="A1679" s="5">
        <v>1696</v>
      </c>
      <c r="B1679" s="5" t="s">
        <v>3507</v>
      </c>
      <c r="C1679" s="5" t="s">
        <v>2655</v>
      </c>
      <c r="D1679" s="5" t="s">
        <v>601</v>
      </c>
      <c r="E1679" s="5" t="s">
        <v>262</v>
      </c>
      <c r="F1679" s="5">
        <v>54965664</v>
      </c>
      <c r="G1679" s="5" t="s">
        <v>16</v>
      </c>
      <c r="H1679" s="7">
        <v>45908</v>
      </c>
      <c r="I1679" s="7">
        <v>45909</v>
      </c>
      <c r="J1679" s="8">
        <v>150</v>
      </c>
      <c r="K1679" s="7">
        <v>45932</v>
      </c>
      <c r="L1679" s="5"/>
    </row>
    <row r="1680" spans="1:12" x14ac:dyDescent="0.3">
      <c r="A1680" s="5">
        <v>1697</v>
      </c>
      <c r="B1680" s="5" t="s">
        <v>1441</v>
      </c>
      <c r="C1680" s="5" t="s">
        <v>3508</v>
      </c>
      <c r="D1680" s="5" t="s">
        <v>569</v>
      </c>
      <c r="E1680" s="5" t="s">
        <v>276</v>
      </c>
      <c r="F1680" s="5">
        <v>58173590</v>
      </c>
      <c r="G1680" s="5" t="s">
        <v>16</v>
      </c>
      <c r="H1680" s="7">
        <v>45908</v>
      </c>
      <c r="I1680" s="7">
        <v>45909</v>
      </c>
      <c r="J1680" s="8">
        <v>150</v>
      </c>
      <c r="K1680" s="7">
        <v>45932</v>
      </c>
      <c r="L1680" s="5"/>
    </row>
    <row r="1681" spans="1:12" x14ac:dyDescent="0.3">
      <c r="A1681" s="5">
        <v>1698</v>
      </c>
      <c r="B1681" s="5" t="s">
        <v>3509</v>
      </c>
      <c r="C1681" s="5" t="s">
        <v>3510</v>
      </c>
      <c r="D1681" s="5" t="s">
        <v>601</v>
      </c>
      <c r="E1681" s="5" t="s">
        <v>254</v>
      </c>
      <c r="F1681" s="5">
        <v>59150990</v>
      </c>
      <c r="G1681" s="5" t="s">
        <v>16</v>
      </c>
      <c r="H1681" s="7">
        <v>45908</v>
      </c>
      <c r="I1681" s="7">
        <v>45909</v>
      </c>
      <c r="J1681" s="8">
        <v>150</v>
      </c>
      <c r="K1681" s="7">
        <v>45932</v>
      </c>
      <c r="L1681" s="5"/>
    </row>
    <row r="1682" spans="1:12" x14ac:dyDescent="0.3">
      <c r="A1682" s="5">
        <v>1699</v>
      </c>
      <c r="B1682" s="5" t="s">
        <v>3511</v>
      </c>
      <c r="C1682" s="5" t="s">
        <v>3512</v>
      </c>
      <c r="D1682" s="5" t="s">
        <v>68</v>
      </c>
      <c r="E1682" s="5" t="s">
        <v>49</v>
      </c>
      <c r="F1682" s="5">
        <v>57162469</v>
      </c>
      <c r="G1682" s="5" t="s">
        <v>16</v>
      </c>
      <c r="H1682" s="7">
        <v>45908</v>
      </c>
      <c r="I1682" s="7">
        <v>45909</v>
      </c>
      <c r="J1682" s="8">
        <v>150</v>
      </c>
      <c r="K1682" s="7">
        <v>45932</v>
      </c>
      <c r="L1682" s="5"/>
    </row>
    <row r="1683" spans="1:12" x14ac:dyDescent="0.3">
      <c r="A1683" s="5">
        <v>1700</v>
      </c>
      <c r="B1683" s="5" t="s">
        <v>3513</v>
      </c>
      <c r="C1683" s="5" t="s">
        <v>3514</v>
      </c>
      <c r="D1683" s="5" t="s">
        <v>137</v>
      </c>
      <c r="E1683" s="5" t="s">
        <v>27</v>
      </c>
      <c r="F1683" s="5">
        <v>58625928</v>
      </c>
      <c r="G1683" s="5" t="s">
        <v>16</v>
      </c>
      <c r="H1683" s="7">
        <v>45908</v>
      </c>
      <c r="I1683" s="7">
        <v>45909</v>
      </c>
      <c r="J1683" s="8">
        <v>150</v>
      </c>
      <c r="K1683" s="7">
        <v>45932</v>
      </c>
      <c r="L1683" s="5"/>
    </row>
    <row r="1684" spans="1:12" x14ac:dyDescent="0.3">
      <c r="A1684" s="5">
        <v>1701</v>
      </c>
      <c r="B1684" s="5" t="s">
        <v>3515</v>
      </c>
      <c r="C1684" s="5" t="s">
        <v>3516</v>
      </c>
      <c r="D1684" s="5" t="s">
        <v>68</v>
      </c>
      <c r="E1684" s="5" t="s">
        <v>69</v>
      </c>
      <c r="F1684" s="5">
        <v>58446255</v>
      </c>
      <c r="G1684" s="5" t="s">
        <v>16</v>
      </c>
      <c r="H1684" s="7">
        <v>45908</v>
      </c>
      <c r="I1684" s="7">
        <v>45909</v>
      </c>
      <c r="J1684" s="8">
        <v>150</v>
      </c>
      <c r="K1684" s="7">
        <v>45932</v>
      </c>
      <c r="L1684" s="5"/>
    </row>
    <row r="1685" spans="1:12" x14ac:dyDescent="0.3">
      <c r="A1685" s="5">
        <v>1702</v>
      </c>
      <c r="B1685" s="5" t="s">
        <v>3517</v>
      </c>
      <c r="C1685" s="5" t="s">
        <v>3518</v>
      </c>
      <c r="D1685" s="5" t="s">
        <v>68</v>
      </c>
      <c r="E1685" s="5" t="s">
        <v>69</v>
      </c>
      <c r="F1685" s="5">
        <v>59036425</v>
      </c>
      <c r="G1685" s="5" t="s">
        <v>16</v>
      </c>
      <c r="H1685" s="7">
        <v>45908</v>
      </c>
      <c r="I1685" s="7">
        <v>45909</v>
      </c>
      <c r="J1685" s="8">
        <v>150</v>
      </c>
      <c r="K1685" s="7">
        <v>45932</v>
      </c>
      <c r="L1685" s="5"/>
    </row>
    <row r="1686" spans="1:12" x14ac:dyDescent="0.3">
      <c r="A1686" s="5">
        <v>1703</v>
      </c>
      <c r="B1686" s="5" t="s">
        <v>3519</v>
      </c>
      <c r="C1686" s="5" t="s">
        <v>3520</v>
      </c>
      <c r="D1686" s="5" t="s">
        <v>68</v>
      </c>
      <c r="E1686" s="5" t="s">
        <v>63</v>
      </c>
      <c r="F1686" s="5">
        <v>59168034</v>
      </c>
      <c r="G1686" s="5" t="s">
        <v>16</v>
      </c>
      <c r="H1686" s="7">
        <v>45908</v>
      </c>
      <c r="I1686" s="7">
        <v>45909</v>
      </c>
      <c r="J1686" s="8">
        <v>150</v>
      </c>
      <c r="K1686" s="7">
        <v>45932</v>
      </c>
      <c r="L1686" s="5"/>
    </row>
    <row r="1687" spans="1:12" x14ac:dyDescent="0.3">
      <c r="A1687" s="5">
        <v>1704</v>
      </c>
      <c r="B1687" s="5" t="s">
        <v>3521</v>
      </c>
      <c r="C1687" s="5" t="s">
        <v>3522</v>
      </c>
      <c r="D1687" s="5" t="s">
        <v>68</v>
      </c>
      <c r="E1687" s="5" t="s">
        <v>49</v>
      </c>
      <c r="F1687" s="5">
        <v>57824771</v>
      </c>
      <c r="G1687" s="5" t="s">
        <v>16</v>
      </c>
      <c r="H1687" s="7">
        <v>45908</v>
      </c>
      <c r="I1687" s="7">
        <v>45909</v>
      </c>
      <c r="J1687" s="8">
        <v>150</v>
      </c>
      <c r="K1687" s="7">
        <v>45932</v>
      </c>
      <c r="L1687" s="5"/>
    </row>
    <row r="1688" spans="1:12" x14ac:dyDescent="0.3">
      <c r="A1688" s="5">
        <v>1705</v>
      </c>
      <c r="B1688" s="5" t="s">
        <v>3523</v>
      </c>
      <c r="C1688" s="5" t="s">
        <v>3524</v>
      </c>
      <c r="D1688" s="5" t="s">
        <v>68</v>
      </c>
      <c r="E1688" s="5" t="s">
        <v>49</v>
      </c>
      <c r="F1688" s="5">
        <v>55390655</v>
      </c>
      <c r="G1688" s="5" t="s">
        <v>16</v>
      </c>
      <c r="H1688" s="7">
        <v>45908</v>
      </c>
      <c r="I1688" s="7">
        <v>45909</v>
      </c>
      <c r="J1688" s="8">
        <v>150</v>
      </c>
      <c r="K1688" s="7">
        <v>45932</v>
      </c>
      <c r="L1688" s="5"/>
    </row>
    <row r="1689" spans="1:12" x14ac:dyDescent="0.3">
      <c r="A1689" s="5">
        <v>1706</v>
      </c>
      <c r="B1689" s="5" t="s">
        <v>3525</v>
      </c>
      <c r="C1689" s="5" t="s">
        <v>3526</v>
      </c>
      <c r="D1689" s="5" t="s">
        <v>569</v>
      </c>
      <c r="E1689" s="5" t="s">
        <v>706</v>
      </c>
      <c r="F1689" s="5">
        <v>58083400</v>
      </c>
      <c r="G1689" s="5" t="s">
        <v>16</v>
      </c>
      <c r="H1689" s="7">
        <v>45908</v>
      </c>
      <c r="I1689" s="7">
        <v>45909</v>
      </c>
      <c r="J1689" s="8">
        <v>150</v>
      </c>
      <c r="K1689" s="7">
        <v>45932</v>
      </c>
      <c r="L1689" s="5"/>
    </row>
    <row r="1690" spans="1:12" x14ac:dyDescent="0.3">
      <c r="A1690" s="5">
        <v>1707</v>
      </c>
      <c r="B1690" s="5" t="s">
        <v>56</v>
      </c>
      <c r="C1690" s="5" t="s">
        <v>3527</v>
      </c>
      <c r="D1690" s="5" t="s">
        <v>68</v>
      </c>
      <c r="E1690" s="5" t="s">
        <v>49</v>
      </c>
      <c r="F1690" s="5">
        <v>59120160</v>
      </c>
      <c r="G1690" s="5" t="s">
        <v>16</v>
      </c>
      <c r="H1690" s="7">
        <v>45908</v>
      </c>
      <c r="I1690" s="7">
        <v>45909</v>
      </c>
      <c r="J1690" s="8">
        <v>150</v>
      </c>
      <c r="K1690" s="7">
        <v>45932</v>
      </c>
      <c r="L1690" s="5"/>
    </row>
    <row r="1691" spans="1:12" x14ac:dyDescent="0.3">
      <c r="A1691" s="5">
        <v>1708</v>
      </c>
      <c r="B1691" s="5" t="s">
        <v>3528</v>
      </c>
      <c r="C1691" s="5" t="s">
        <v>3529</v>
      </c>
      <c r="D1691" s="5" t="s">
        <v>137</v>
      </c>
      <c r="E1691" s="5" t="s">
        <v>1155</v>
      </c>
      <c r="F1691" s="5">
        <v>59460805</v>
      </c>
      <c r="G1691" s="5" t="s">
        <v>16</v>
      </c>
      <c r="H1691" s="7">
        <v>45908</v>
      </c>
      <c r="I1691" s="7">
        <v>45909</v>
      </c>
      <c r="J1691" s="8">
        <v>150</v>
      </c>
      <c r="K1691" s="7">
        <v>45932</v>
      </c>
      <c r="L1691" s="5"/>
    </row>
    <row r="1692" spans="1:12" x14ac:dyDescent="0.3">
      <c r="A1692" s="5">
        <v>1709</v>
      </c>
      <c r="B1692" s="5" t="s">
        <v>3530</v>
      </c>
      <c r="C1692" s="5" t="s">
        <v>3531</v>
      </c>
      <c r="D1692" s="5" t="s">
        <v>601</v>
      </c>
      <c r="E1692" s="5" t="s">
        <v>357</v>
      </c>
      <c r="F1692" s="5">
        <v>57951963</v>
      </c>
      <c r="G1692" s="5" t="s">
        <v>16</v>
      </c>
      <c r="H1692" s="7">
        <v>45908</v>
      </c>
      <c r="I1692" s="7">
        <v>45909</v>
      </c>
      <c r="J1692" s="8">
        <v>150</v>
      </c>
      <c r="K1692" s="7">
        <v>45932</v>
      </c>
      <c r="L1692" s="5"/>
    </row>
    <row r="1693" spans="1:12" x14ac:dyDescent="0.3">
      <c r="A1693" s="5">
        <v>1710</v>
      </c>
      <c r="B1693" s="5" t="s">
        <v>3532</v>
      </c>
      <c r="C1693" s="5" t="s">
        <v>3533</v>
      </c>
      <c r="D1693" s="5" t="s">
        <v>601</v>
      </c>
      <c r="E1693" s="5" t="s">
        <v>3534</v>
      </c>
      <c r="F1693" s="5">
        <v>59272579</v>
      </c>
      <c r="G1693" s="5" t="s">
        <v>16</v>
      </c>
      <c r="H1693" s="7">
        <v>45908</v>
      </c>
      <c r="I1693" s="7">
        <v>45909</v>
      </c>
      <c r="J1693" s="8">
        <v>150</v>
      </c>
      <c r="K1693" s="7">
        <v>45932</v>
      </c>
      <c r="L1693" s="5"/>
    </row>
    <row r="1694" spans="1:12" x14ac:dyDescent="0.3">
      <c r="A1694" s="5">
        <v>1711</v>
      </c>
      <c r="B1694" s="5" t="s">
        <v>3535</v>
      </c>
      <c r="C1694" s="5" t="s">
        <v>3536</v>
      </c>
      <c r="D1694" s="5" t="s">
        <v>41</v>
      </c>
      <c r="E1694" s="5" t="s">
        <v>144</v>
      </c>
      <c r="F1694" s="5">
        <v>57894906</v>
      </c>
      <c r="G1694" s="5" t="s">
        <v>16</v>
      </c>
      <c r="H1694" s="7">
        <v>45908</v>
      </c>
      <c r="I1694" s="7">
        <v>45909</v>
      </c>
      <c r="J1694" s="8">
        <v>150</v>
      </c>
      <c r="K1694" s="7">
        <v>45932</v>
      </c>
      <c r="L1694" s="5"/>
    </row>
    <row r="1695" spans="1:12" x14ac:dyDescent="0.3">
      <c r="A1695" s="5">
        <v>1712</v>
      </c>
      <c r="B1695" s="5" t="s">
        <v>3537</v>
      </c>
      <c r="C1695" s="5" t="s">
        <v>3538</v>
      </c>
      <c r="D1695" s="5" t="s">
        <v>601</v>
      </c>
      <c r="E1695" s="5" t="s">
        <v>259</v>
      </c>
      <c r="F1695" s="5" t="s">
        <v>3539</v>
      </c>
      <c r="G1695" s="5" t="s">
        <v>16</v>
      </c>
      <c r="H1695" s="7">
        <v>45908</v>
      </c>
      <c r="I1695" s="7">
        <v>45909</v>
      </c>
      <c r="J1695" s="8">
        <v>150</v>
      </c>
      <c r="K1695" s="7">
        <v>45932</v>
      </c>
      <c r="L1695" s="5"/>
    </row>
    <row r="1696" spans="1:12" x14ac:dyDescent="0.3">
      <c r="A1696" s="5">
        <v>1713</v>
      </c>
      <c r="B1696" s="5" t="s">
        <v>3540</v>
      </c>
      <c r="C1696" s="5" t="s">
        <v>3541</v>
      </c>
      <c r="D1696" s="5" t="s">
        <v>41</v>
      </c>
      <c r="E1696" s="5" t="s">
        <v>1818</v>
      </c>
      <c r="F1696" s="5">
        <v>57733090</v>
      </c>
      <c r="G1696" s="5" t="s">
        <v>16</v>
      </c>
      <c r="H1696" s="7">
        <v>45908</v>
      </c>
      <c r="I1696" s="7">
        <v>45909</v>
      </c>
      <c r="J1696" s="8">
        <v>150</v>
      </c>
      <c r="K1696" s="7">
        <v>45932</v>
      </c>
      <c r="L1696" s="5"/>
    </row>
    <row r="1697" spans="1:12" x14ac:dyDescent="0.3">
      <c r="A1697" s="5">
        <v>1714</v>
      </c>
      <c r="B1697" s="5" t="s">
        <v>3542</v>
      </c>
      <c r="C1697" s="5" t="s">
        <v>3543</v>
      </c>
      <c r="D1697" s="5" t="s">
        <v>601</v>
      </c>
      <c r="E1697" s="5" t="s">
        <v>19</v>
      </c>
      <c r="F1697" s="5">
        <v>57946205</v>
      </c>
      <c r="G1697" s="5" t="s">
        <v>16</v>
      </c>
      <c r="H1697" s="7">
        <v>45908</v>
      </c>
      <c r="I1697" s="7">
        <v>45909</v>
      </c>
      <c r="J1697" s="8">
        <v>150</v>
      </c>
      <c r="K1697" s="7">
        <v>45932</v>
      </c>
      <c r="L1697" s="5"/>
    </row>
    <row r="1698" spans="1:12" x14ac:dyDescent="0.3">
      <c r="A1698" s="5">
        <v>1715</v>
      </c>
      <c r="B1698" s="5" t="s">
        <v>81</v>
      </c>
      <c r="C1698" s="5" t="s">
        <v>3544</v>
      </c>
      <c r="D1698" s="5" t="s">
        <v>84</v>
      </c>
      <c r="E1698" s="5" t="s">
        <v>2699</v>
      </c>
      <c r="F1698" s="5">
        <v>59385363</v>
      </c>
      <c r="G1698" s="5" t="s">
        <v>16</v>
      </c>
      <c r="H1698" s="7">
        <v>45908</v>
      </c>
      <c r="I1698" s="7">
        <v>45909</v>
      </c>
      <c r="J1698" s="8">
        <v>150</v>
      </c>
      <c r="K1698" s="7">
        <v>45932</v>
      </c>
      <c r="L1698" s="5"/>
    </row>
    <row r="1699" spans="1:12" x14ac:dyDescent="0.3">
      <c r="A1699" s="5">
        <v>1716</v>
      </c>
      <c r="B1699" s="5" t="s">
        <v>3545</v>
      </c>
      <c r="C1699" s="5" t="s">
        <v>3546</v>
      </c>
      <c r="D1699" s="5" t="s">
        <v>68</v>
      </c>
      <c r="E1699" s="5" t="s">
        <v>74</v>
      </c>
      <c r="F1699" s="5">
        <v>54232646</v>
      </c>
      <c r="G1699" s="5" t="s">
        <v>16</v>
      </c>
      <c r="H1699" s="7">
        <v>45908</v>
      </c>
      <c r="I1699" s="7">
        <v>45909</v>
      </c>
      <c r="J1699" s="8">
        <v>150</v>
      </c>
      <c r="K1699" s="7">
        <v>45932</v>
      </c>
      <c r="L1699" s="5"/>
    </row>
    <row r="1700" spans="1:12" x14ac:dyDescent="0.3">
      <c r="A1700" s="5">
        <v>1717</v>
      </c>
      <c r="B1700" s="5" t="s">
        <v>2798</v>
      </c>
      <c r="C1700" s="5" t="s">
        <v>3547</v>
      </c>
      <c r="D1700" s="5" t="s">
        <v>68</v>
      </c>
      <c r="E1700" s="5" t="s">
        <v>63</v>
      </c>
      <c r="F1700" s="5">
        <v>59453635</v>
      </c>
      <c r="G1700" s="5" t="s">
        <v>16</v>
      </c>
      <c r="H1700" s="7">
        <v>45908</v>
      </c>
      <c r="I1700" s="7">
        <v>45909</v>
      </c>
      <c r="J1700" s="8">
        <v>150</v>
      </c>
      <c r="K1700" s="7">
        <v>45932</v>
      </c>
      <c r="L1700" s="5"/>
    </row>
    <row r="1701" spans="1:12" x14ac:dyDescent="0.3">
      <c r="A1701" s="5">
        <v>1718</v>
      </c>
      <c r="B1701" s="5" t="s">
        <v>3548</v>
      </c>
      <c r="C1701" s="5" t="s">
        <v>3549</v>
      </c>
      <c r="D1701" s="5" t="s">
        <v>84</v>
      </c>
      <c r="E1701" s="5" t="s">
        <v>84</v>
      </c>
      <c r="F1701" s="5">
        <v>57760091</v>
      </c>
      <c r="G1701" s="5" t="s">
        <v>16</v>
      </c>
      <c r="H1701" s="7">
        <v>45908</v>
      </c>
      <c r="I1701" s="7">
        <v>45909</v>
      </c>
      <c r="J1701" s="8">
        <v>150</v>
      </c>
      <c r="K1701" s="7">
        <v>45932</v>
      </c>
      <c r="L1701" s="5"/>
    </row>
    <row r="1702" spans="1:12" x14ac:dyDescent="0.3">
      <c r="A1702" s="5">
        <v>1719</v>
      </c>
      <c r="B1702" s="5" t="s">
        <v>604</v>
      </c>
      <c r="C1702" s="5" t="s">
        <v>605</v>
      </c>
      <c r="D1702" s="5" t="s">
        <v>137</v>
      </c>
      <c r="E1702" s="5" t="s">
        <v>204</v>
      </c>
      <c r="F1702" s="5">
        <v>58137442</v>
      </c>
      <c r="G1702" s="5" t="s">
        <v>16</v>
      </c>
      <c r="H1702" s="7">
        <v>45908</v>
      </c>
      <c r="I1702" s="7">
        <v>45909</v>
      </c>
      <c r="J1702" s="8">
        <v>150</v>
      </c>
      <c r="K1702" s="7">
        <v>45932</v>
      </c>
      <c r="L1702" s="5"/>
    </row>
    <row r="1703" spans="1:12" x14ac:dyDescent="0.3">
      <c r="A1703" s="5">
        <v>1720</v>
      </c>
      <c r="B1703" s="5" t="s">
        <v>1207</v>
      </c>
      <c r="C1703" s="5" t="s">
        <v>1683</v>
      </c>
      <c r="D1703" s="5" t="s">
        <v>137</v>
      </c>
      <c r="E1703" s="5" t="s">
        <v>1833</v>
      </c>
      <c r="F1703" s="5">
        <v>57867050</v>
      </c>
      <c r="G1703" s="5" t="s">
        <v>16</v>
      </c>
      <c r="H1703" s="7">
        <v>45908</v>
      </c>
      <c r="I1703" s="7">
        <v>45909</v>
      </c>
      <c r="J1703" s="8">
        <v>150</v>
      </c>
      <c r="K1703" s="7">
        <v>45932</v>
      </c>
      <c r="L1703" s="5"/>
    </row>
    <row r="1704" spans="1:12" x14ac:dyDescent="0.3">
      <c r="A1704" s="5">
        <v>1721</v>
      </c>
      <c r="B1704" s="5" t="s">
        <v>3550</v>
      </c>
      <c r="C1704" s="5" t="s">
        <v>3551</v>
      </c>
      <c r="D1704" s="5" t="s">
        <v>137</v>
      </c>
      <c r="E1704" s="5" t="s">
        <v>1833</v>
      </c>
      <c r="F1704" s="5">
        <v>57147141</v>
      </c>
      <c r="G1704" s="5" t="s">
        <v>16</v>
      </c>
      <c r="H1704" s="7">
        <v>45908</v>
      </c>
      <c r="I1704" s="7">
        <v>45909</v>
      </c>
      <c r="J1704" s="8">
        <v>150</v>
      </c>
      <c r="K1704" s="7">
        <v>45932</v>
      </c>
      <c r="L1704" s="5"/>
    </row>
    <row r="1705" spans="1:12" x14ac:dyDescent="0.3">
      <c r="A1705" s="5">
        <v>1722</v>
      </c>
      <c r="B1705" s="5" t="s">
        <v>3552</v>
      </c>
      <c r="C1705" s="5" t="s">
        <v>3553</v>
      </c>
      <c r="D1705" s="5" t="s">
        <v>903</v>
      </c>
      <c r="E1705" s="5" t="s">
        <v>1040</v>
      </c>
      <c r="F1705" s="5">
        <v>59612675</v>
      </c>
      <c r="G1705" s="5" t="s">
        <v>16</v>
      </c>
      <c r="H1705" s="7">
        <v>45908</v>
      </c>
      <c r="I1705" s="7">
        <v>45909</v>
      </c>
      <c r="J1705" s="8">
        <v>150</v>
      </c>
      <c r="K1705" s="7">
        <v>45932</v>
      </c>
      <c r="L1705" s="5"/>
    </row>
    <row r="1706" spans="1:12" x14ac:dyDescent="0.3">
      <c r="A1706" s="5">
        <v>1723</v>
      </c>
      <c r="B1706" s="5" t="s">
        <v>642</v>
      </c>
      <c r="C1706" s="5" t="s">
        <v>3554</v>
      </c>
      <c r="D1706" s="5" t="s">
        <v>68</v>
      </c>
      <c r="E1706" s="5" t="s">
        <v>49</v>
      </c>
      <c r="F1706" s="5">
        <v>57873113</v>
      </c>
      <c r="G1706" s="5" t="s">
        <v>16</v>
      </c>
      <c r="H1706" s="7">
        <v>45908</v>
      </c>
      <c r="I1706" s="7">
        <v>45909</v>
      </c>
      <c r="J1706" s="8">
        <v>150</v>
      </c>
      <c r="K1706" s="7">
        <v>45932</v>
      </c>
      <c r="L1706" s="5"/>
    </row>
    <row r="1707" spans="1:12" x14ac:dyDescent="0.3">
      <c r="A1707" s="5">
        <v>1724</v>
      </c>
      <c r="B1707" s="5" t="s">
        <v>3555</v>
      </c>
      <c r="C1707" s="5" t="s">
        <v>3556</v>
      </c>
      <c r="D1707" s="5" t="s">
        <v>84</v>
      </c>
      <c r="E1707" s="5" t="s">
        <v>84</v>
      </c>
      <c r="F1707" s="5">
        <v>57683769</v>
      </c>
      <c r="G1707" s="5" t="s">
        <v>16</v>
      </c>
      <c r="H1707" s="7">
        <v>45908</v>
      </c>
      <c r="I1707" s="7">
        <v>45909</v>
      </c>
      <c r="J1707" s="8">
        <v>150</v>
      </c>
      <c r="K1707" s="7">
        <v>45932</v>
      </c>
      <c r="L1707" s="5"/>
    </row>
    <row r="1708" spans="1:12" x14ac:dyDescent="0.3">
      <c r="A1708" s="5">
        <v>1725</v>
      </c>
      <c r="B1708" s="5" t="s">
        <v>3557</v>
      </c>
      <c r="C1708" s="5" t="s">
        <v>3558</v>
      </c>
      <c r="D1708" s="5" t="s">
        <v>569</v>
      </c>
      <c r="E1708" s="5" t="s">
        <v>368</v>
      </c>
      <c r="F1708" s="5">
        <v>57405633</v>
      </c>
      <c r="G1708" s="5" t="s">
        <v>16</v>
      </c>
      <c r="H1708" s="7">
        <v>45908</v>
      </c>
      <c r="I1708" s="7">
        <v>45909</v>
      </c>
      <c r="J1708" s="8">
        <v>150</v>
      </c>
      <c r="K1708" s="7">
        <v>45932</v>
      </c>
      <c r="L1708" s="5"/>
    </row>
    <row r="1709" spans="1:12" x14ac:dyDescent="0.3">
      <c r="A1709" s="5">
        <v>1726</v>
      </c>
      <c r="B1709" s="5" t="s">
        <v>698</v>
      </c>
      <c r="C1709" s="5" t="s">
        <v>3559</v>
      </c>
      <c r="D1709" s="5" t="s">
        <v>137</v>
      </c>
      <c r="E1709" s="5" t="s">
        <v>700</v>
      </c>
      <c r="F1709" s="5">
        <v>58304085</v>
      </c>
      <c r="G1709" s="5" t="s">
        <v>16</v>
      </c>
      <c r="H1709" s="7">
        <v>45908</v>
      </c>
      <c r="I1709" s="7">
        <v>45909</v>
      </c>
      <c r="J1709" s="8">
        <v>150</v>
      </c>
      <c r="K1709" s="7">
        <v>45932</v>
      </c>
      <c r="L1709" s="5"/>
    </row>
    <row r="1710" spans="1:12" x14ac:dyDescent="0.3">
      <c r="A1710" s="5">
        <v>1727</v>
      </c>
      <c r="B1710" s="5" t="s">
        <v>2711</v>
      </c>
      <c r="C1710" s="5" t="s">
        <v>3560</v>
      </c>
      <c r="D1710" s="5" t="s">
        <v>137</v>
      </c>
      <c r="E1710" s="5" t="s">
        <v>77</v>
      </c>
      <c r="F1710" s="5">
        <v>57895098</v>
      </c>
      <c r="G1710" s="5" t="s">
        <v>16</v>
      </c>
      <c r="H1710" s="7">
        <v>45908</v>
      </c>
      <c r="I1710" s="7">
        <v>45909</v>
      </c>
      <c r="J1710" s="8">
        <v>150</v>
      </c>
      <c r="K1710" s="7">
        <v>45932</v>
      </c>
      <c r="L1710" s="5"/>
    </row>
    <row r="1711" spans="1:12" x14ac:dyDescent="0.3">
      <c r="A1711" s="5">
        <v>1728</v>
      </c>
      <c r="B1711" s="5" t="s">
        <v>3561</v>
      </c>
      <c r="C1711" s="5" t="s">
        <v>3562</v>
      </c>
      <c r="D1711" s="5" t="s">
        <v>41</v>
      </c>
      <c r="E1711" s="5" t="s">
        <v>1076</v>
      </c>
      <c r="F1711" s="5" t="s">
        <v>3563</v>
      </c>
      <c r="G1711" s="5" t="s">
        <v>1024</v>
      </c>
      <c r="H1711" s="7">
        <v>45908</v>
      </c>
      <c r="I1711" s="7">
        <v>45909</v>
      </c>
      <c r="J1711" s="8">
        <v>150</v>
      </c>
      <c r="K1711" s="7">
        <v>45932</v>
      </c>
      <c r="L1711" s="5">
        <v>2950</v>
      </c>
    </row>
    <row r="1712" spans="1:12" x14ac:dyDescent="0.3">
      <c r="A1712" s="5">
        <v>1729</v>
      </c>
      <c r="B1712" s="5" t="s">
        <v>967</v>
      </c>
      <c r="C1712" s="5" t="s">
        <v>3564</v>
      </c>
      <c r="D1712" s="5" t="s">
        <v>137</v>
      </c>
      <c r="E1712" s="5" t="s">
        <v>344</v>
      </c>
      <c r="F1712" s="5">
        <v>57170672</v>
      </c>
      <c r="G1712" s="5" t="s">
        <v>1024</v>
      </c>
      <c r="H1712" s="7">
        <v>45908</v>
      </c>
      <c r="I1712" s="7">
        <v>45909</v>
      </c>
      <c r="J1712" s="8">
        <v>150</v>
      </c>
      <c r="K1712" s="7">
        <v>45932</v>
      </c>
      <c r="L1712" s="5">
        <v>1500</v>
      </c>
    </row>
    <row r="1713" spans="1:12" x14ac:dyDescent="0.3">
      <c r="A1713" s="5">
        <v>1730</v>
      </c>
      <c r="B1713" s="5" t="s">
        <v>3565</v>
      </c>
      <c r="C1713" s="5" t="s">
        <v>3566</v>
      </c>
      <c r="D1713" s="5" t="s">
        <v>137</v>
      </c>
      <c r="E1713" s="5" t="s">
        <v>1833</v>
      </c>
      <c r="F1713" s="5">
        <v>57628643</v>
      </c>
      <c r="G1713" s="5" t="s">
        <v>1024</v>
      </c>
      <c r="H1713" s="7">
        <v>45908</v>
      </c>
      <c r="I1713" s="7">
        <v>45909</v>
      </c>
      <c r="J1713" s="8">
        <v>150</v>
      </c>
      <c r="K1713" s="7">
        <v>45932</v>
      </c>
      <c r="L1713" s="5"/>
    </row>
    <row r="1714" spans="1:12" x14ac:dyDescent="0.3">
      <c r="A1714" s="5">
        <v>1731</v>
      </c>
      <c r="B1714" s="5" t="s">
        <v>949</v>
      </c>
      <c r="C1714" s="5" t="s">
        <v>3567</v>
      </c>
      <c r="D1714" s="5" t="s">
        <v>68</v>
      </c>
      <c r="E1714" s="5" t="s">
        <v>696</v>
      </c>
      <c r="F1714" s="5">
        <v>59450164</v>
      </c>
      <c r="G1714" s="5" t="s">
        <v>1024</v>
      </c>
      <c r="H1714" s="7">
        <v>45908</v>
      </c>
      <c r="I1714" s="7">
        <v>45909</v>
      </c>
      <c r="J1714" s="8">
        <v>150</v>
      </c>
      <c r="K1714" s="7">
        <v>45932</v>
      </c>
      <c r="L1714" s="5">
        <v>2000</v>
      </c>
    </row>
    <row r="1715" spans="1:12" x14ac:dyDescent="0.3">
      <c r="A1715" s="5">
        <v>1732</v>
      </c>
      <c r="B1715" s="5" t="s">
        <v>3568</v>
      </c>
      <c r="C1715" s="5" t="s">
        <v>3569</v>
      </c>
      <c r="D1715" s="5" t="s">
        <v>68</v>
      </c>
      <c r="E1715" s="5" t="s">
        <v>69</v>
      </c>
      <c r="F1715" s="5">
        <v>57779159</v>
      </c>
      <c r="G1715" s="5" t="s">
        <v>1146</v>
      </c>
      <c r="H1715" s="7">
        <v>45908</v>
      </c>
      <c r="I1715" s="7">
        <v>45909</v>
      </c>
      <c r="J1715" s="8">
        <v>150</v>
      </c>
      <c r="K1715" s="7">
        <v>45932</v>
      </c>
      <c r="L1715" s="5">
        <v>1275</v>
      </c>
    </row>
    <row r="1716" spans="1:12" x14ac:dyDescent="0.3">
      <c r="A1716" s="5">
        <v>1733</v>
      </c>
      <c r="B1716" s="5" t="s">
        <v>3570</v>
      </c>
      <c r="C1716" s="5" t="s">
        <v>3571</v>
      </c>
      <c r="D1716" s="5" t="s">
        <v>601</v>
      </c>
      <c r="E1716" s="5" t="s">
        <v>634</v>
      </c>
      <c r="F1716" s="5">
        <v>57090386</v>
      </c>
      <c r="G1716" s="5" t="s">
        <v>963</v>
      </c>
      <c r="H1716" s="7">
        <v>45904</v>
      </c>
      <c r="I1716" s="7">
        <v>45909</v>
      </c>
      <c r="J1716" s="8">
        <v>150</v>
      </c>
      <c r="K1716" s="7">
        <v>45932</v>
      </c>
      <c r="L1716" s="5">
        <v>2649</v>
      </c>
    </row>
    <row r="1717" spans="1:12" x14ac:dyDescent="0.3">
      <c r="A1717" s="5">
        <v>1740</v>
      </c>
      <c r="B1717" s="5" t="s">
        <v>3584</v>
      </c>
      <c r="C1717" s="5" t="s">
        <v>3585</v>
      </c>
      <c r="D1717" s="5" t="s">
        <v>68</v>
      </c>
      <c r="E1717" s="5" t="s">
        <v>149</v>
      </c>
      <c r="F1717" s="5">
        <v>59404829</v>
      </c>
      <c r="G1717" s="5" t="s">
        <v>963</v>
      </c>
      <c r="H1717" s="7">
        <v>45912</v>
      </c>
      <c r="I1717" s="7">
        <v>45912</v>
      </c>
      <c r="J1717" s="8">
        <v>150</v>
      </c>
      <c r="K1717" s="7">
        <v>45932</v>
      </c>
      <c r="L1717" s="5"/>
    </row>
    <row r="1718" spans="1:12" x14ac:dyDescent="0.3">
      <c r="A1718" s="5">
        <v>1741</v>
      </c>
      <c r="B1718" s="5" t="s">
        <v>3586</v>
      </c>
      <c r="C1718" s="5" t="s">
        <v>3587</v>
      </c>
      <c r="D1718" s="5" t="s">
        <v>426</v>
      </c>
      <c r="E1718" s="5" t="s">
        <v>1170</v>
      </c>
      <c r="F1718" s="5">
        <v>58938898</v>
      </c>
      <c r="G1718" s="5" t="s">
        <v>16</v>
      </c>
      <c r="H1718" s="7">
        <v>45911</v>
      </c>
      <c r="I1718" s="7">
        <v>45912</v>
      </c>
      <c r="J1718" s="8">
        <v>150</v>
      </c>
      <c r="K1718" s="7">
        <v>45932</v>
      </c>
      <c r="L1718" s="5"/>
    </row>
    <row r="1719" spans="1:12" x14ac:dyDescent="0.3">
      <c r="A1719" s="5">
        <v>1742</v>
      </c>
      <c r="B1719" s="5" t="s">
        <v>3588</v>
      </c>
      <c r="C1719" s="5" t="s">
        <v>3589</v>
      </c>
      <c r="D1719" s="5" t="s">
        <v>137</v>
      </c>
      <c r="E1719" s="5" t="s">
        <v>3590</v>
      </c>
      <c r="F1719" s="5">
        <v>57678578</v>
      </c>
      <c r="G1719" s="5" t="s">
        <v>16</v>
      </c>
      <c r="H1719" s="7">
        <v>45911</v>
      </c>
      <c r="I1719" s="7">
        <v>45912</v>
      </c>
      <c r="J1719" s="8">
        <v>150</v>
      </c>
      <c r="K1719" s="7">
        <v>45932</v>
      </c>
      <c r="L1719" s="5"/>
    </row>
    <row r="1720" spans="1:12" x14ac:dyDescent="0.3">
      <c r="A1720" s="5">
        <v>1743</v>
      </c>
      <c r="B1720" s="5" t="s">
        <v>3591</v>
      </c>
      <c r="C1720" s="5" t="s">
        <v>2622</v>
      </c>
      <c r="D1720" s="5" t="s">
        <v>569</v>
      </c>
      <c r="E1720" s="5" t="s">
        <v>706</v>
      </c>
      <c r="F1720" s="5">
        <v>59266223</v>
      </c>
      <c r="G1720" s="5" t="s">
        <v>16</v>
      </c>
      <c r="H1720" s="7">
        <v>45911</v>
      </c>
      <c r="I1720" s="7">
        <v>45912</v>
      </c>
      <c r="J1720" s="8">
        <v>150</v>
      </c>
      <c r="K1720" s="7">
        <v>45932</v>
      </c>
      <c r="L1720" s="5"/>
    </row>
    <row r="1721" spans="1:12" x14ac:dyDescent="0.3">
      <c r="A1721" s="5">
        <v>1744</v>
      </c>
      <c r="B1721" s="5" t="s">
        <v>3592</v>
      </c>
      <c r="C1721" s="5" t="s">
        <v>3593</v>
      </c>
      <c r="D1721" s="5" t="s">
        <v>68</v>
      </c>
      <c r="E1721" s="5" t="s">
        <v>69</v>
      </c>
      <c r="F1721" s="5">
        <v>57537017</v>
      </c>
      <c r="G1721" s="5" t="s">
        <v>16</v>
      </c>
      <c r="H1721" s="7">
        <v>45911</v>
      </c>
      <c r="I1721" s="7">
        <v>45912</v>
      </c>
      <c r="J1721" s="8">
        <v>150</v>
      </c>
      <c r="K1721" s="7">
        <v>45932</v>
      </c>
      <c r="L1721" s="5"/>
    </row>
    <row r="1722" spans="1:12" x14ac:dyDescent="0.3">
      <c r="A1722" s="5">
        <v>1745</v>
      </c>
      <c r="B1722" s="5" t="s">
        <v>3594</v>
      </c>
      <c r="C1722" s="5" t="s">
        <v>3595</v>
      </c>
      <c r="D1722" s="5" t="s">
        <v>137</v>
      </c>
      <c r="E1722" s="5" t="s">
        <v>3407</v>
      </c>
      <c r="F1722" s="5" t="s">
        <v>3596</v>
      </c>
      <c r="G1722" s="5" t="s">
        <v>16</v>
      </c>
      <c r="H1722" s="7">
        <v>45911</v>
      </c>
      <c r="I1722" s="7">
        <v>45912</v>
      </c>
      <c r="J1722" s="8">
        <v>150</v>
      </c>
      <c r="K1722" s="7">
        <v>45932</v>
      </c>
      <c r="L1722" s="5"/>
    </row>
    <row r="1723" spans="1:12" x14ac:dyDescent="0.3">
      <c r="A1723" s="5">
        <v>1746</v>
      </c>
      <c r="B1723" s="5" t="s">
        <v>3597</v>
      </c>
      <c r="C1723" s="5" t="s">
        <v>1683</v>
      </c>
      <c r="D1723" s="5" t="s">
        <v>137</v>
      </c>
      <c r="E1723" s="5" t="s">
        <v>3598</v>
      </c>
      <c r="F1723" s="5">
        <v>59480380</v>
      </c>
      <c r="G1723" s="5" t="s">
        <v>16</v>
      </c>
      <c r="H1723" s="7">
        <v>45911</v>
      </c>
      <c r="I1723" s="7">
        <v>45912</v>
      </c>
      <c r="J1723" s="8">
        <v>150</v>
      </c>
      <c r="K1723" s="7">
        <v>45932</v>
      </c>
      <c r="L1723" s="5"/>
    </row>
    <row r="1724" spans="1:12" x14ac:dyDescent="0.3">
      <c r="A1724" s="5">
        <v>1747</v>
      </c>
      <c r="B1724" s="5" t="s">
        <v>502</v>
      </c>
      <c r="C1724" s="5" t="s">
        <v>3599</v>
      </c>
      <c r="D1724" s="5" t="s">
        <v>68</v>
      </c>
      <c r="E1724" s="5" t="s">
        <v>74</v>
      </c>
      <c r="F1724" s="5">
        <v>54952189</v>
      </c>
      <c r="G1724" s="5" t="s">
        <v>16</v>
      </c>
      <c r="H1724" s="7">
        <v>45911</v>
      </c>
      <c r="I1724" s="7">
        <v>45912</v>
      </c>
      <c r="J1724" s="8">
        <v>150</v>
      </c>
      <c r="K1724" s="7">
        <v>45932</v>
      </c>
      <c r="L1724" s="5"/>
    </row>
    <row r="1725" spans="1:12" x14ac:dyDescent="0.3">
      <c r="A1725" s="5">
        <v>1748</v>
      </c>
      <c r="B1725" s="5" t="s">
        <v>733</v>
      </c>
      <c r="C1725" s="5" t="s">
        <v>3600</v>
      </c>
      <c r="D1725" s="5" t="s">
        <v>68</v>
      </c>
      <c r="E1725" s="5" t="s">
        <v>226</v>
      </c>
      <c r="F1725" s="5">
        <v>57718586</v>
      </c>
      <c r="G1725" s="5" t="s">
        <v>16</v>
      </c>
      <c r="H1725" s="7">
        <v>45911</v>
      </c>
      <c r="I1725" s="7">
        <v>45912</v>
      </c>
      <c r="J1725" s="8">
        <v>150</v>
      </c>
      <c r="K1725" s="7">
        <v>45932</v>
      </c>
      <c r="L1725" s="5"/>
    </row>
    <row r="1726" spans="1:12" x14ac:dyDescent="0.3">
      <c r="A1726" s="5">
        <v>1749</v>
      </c>
      <c r="B1726" s="5" t="s">
        <v>3601</v>
      </c>
      <c r="C1726" s="5" t="s">
        <v>3602</v>
      </c>
      <c r="D1726" s="5" t="s">
        <v>475</v>
      </c>
      <c r="E1726" s="5" t="s">
        <v>807</v>
      </c>
      <c r="F1726" s="5">
        <v>58418896</v>
      </c>
      <c r="G1726" s="5" t="s">
        <v>16</v>
      </c>
      <c r="H1726" s="7">
        <v>45911</v>
      </c>
      <c r="I1726" s="7">
        <v>45912</v>
      </c>
      <c r="J1726" s="8">
        <v>150</v>
      </c>
      <c r="K1726" s="7">
        <v>45932</v>
      </c>
      <c r="L1726" s="5"/>
    </row>
    <row r="1727" spans="1:12" x14ac:dyDescent="0.3">
      <c r="A1727" s="5">
        <v>1750</v>
      </c>
      <c r="B1727" s="5" t="s">
        <v>448</v>
      </c>
      <c r="C1727" s="5" t="s">
        <v>3603</v>
      </c>
      <c r="D1727" s="5" t="s">
        <v>68</v>
      </c>
      <c r="E1727" s="5" t="s">
        <v>69</v>
      </c>
      <c r="F1727" s="5">
        <v>57850366</v>
      </c>
      <c r="G1727" s="5" t="s">
        <v>16</v>
      </c>
      <c r="H1727" s="7">
        <v>45911</v>
      </c>
      <c r="I1727" s="7">
        <v>45912</v>
      </c>
      <c r="J1727" s="8">
        <v>150</v>
      </c>
      <c r="K1727" s="7">
        <v>45932</v>
      </c>
      <c r="L1727" s="5"/>
    </row>
    <row r="1728" spans="1:12" x14ac:dyDescent="0.3">
      <c r="A1728" s="5">
        <v>1751</v>
      </c>
      <c r="B1728" s="5" t="s">
        <v>3604</v>
      </c>
      <c r="C1728" s="5" t="s">
        <v>3605</v>
      </c>
      <c r="D1728" s="5" t="s">
        <v>601</v>
      </c>
      <c r="E1728" s="5" t="s">
        <v>259</v>
      </c>
      <c r="F1728" s="5">
        <v>58990467</v>
      </c>
      <c r="G1728" s="5" t="s">
        <v>16</v>
      </c>
      <c r="H1728" s="7">
        <v>45911</v>
      </c>
      <c r="I1728" s="7">
        <v>45912</v>
      </c>
      <c r="J1728" s="8">
        <v>150</v>
      </c>
      <c r="K1728" s="7">
        <v>45932</v>
      </c>
      <c r="L1728" s="5"/>
    </row>
    <row r="1729" spans="1:12" x14ac:dyDescent="0.3">
      <c r="A1729" s="5">
        <v>1752</v>
      </c>
      <c r="B1729" s="5" t="s">
        <v>3606</v>
      </c>
      <c r="C1729" s="5" t="s">
        <v>3607</v>
      </c>
      <c r="D1729" s="5" t="s">
        <v>84</v>
      </c>
      <c r="E1729" s="5" t="s">
        <v>1020</v>
      </c>
      <c r="F1729" s="5">
        <v>52560702</v>
      </c>
      <c r="G1729" s="5" t="s">
        <v>16</v>
      </c>
      <c r="H1729" s="7">
        <v>45911</v>
      </c>
      <c r="I1729" s="7">
        <v>45912</v>
      </c>
      <c r="J1729" s="8">
        <v>150</v>
      </c>
      <c r="K1729" s="7">
        <v>45932</v>
      </c>
      <c r="L1729" s="5"/>
    </row>
    <row r="1730" spans="1:12" x14ac:dyDescent="0.3">
      <c r="A1730" s="5">
        <v>1753</v>
      </c>
      <c r="B1730" s="5" t="s">
        <v>1190</v>
      </c>
      <c r="C1730" s="5" t="s">
        <v>3608</v>
      </c>
      <c r="D1730" s="5" t="s">
        <v>903</v>
      </c>
      <c r="E1730" s="5" t="s">
        <v>1040</v>
      </c>
      <c r="F1730" s="5">
        <v>58200662</v>
      </c>
      <c r="G1730" s="5" t="s">
        <v>16</v>
      </c>
      <c r="H1730" s="7">
        <v>45911</v>
      </c>
      <c r="I1730" s="7">
        <v>45912</v>
      </c>
      <c r="J1730" s="8">
        <v>150</v>
      </c>
      <c r="K1730" s="7">
        <v>45932</v>
      </c>
      <c r="L1730" s="5"/>
    </row>
    <row r="1731" spans="1:12" x14ac:dyDescent="0.3">
      <c r="A1731" s="5">
        <v>1756</v>
      </c>
      <c r="B1731" s="5" t="s">
        <v>3618</v>
      </c>
      <c r="C1731" s="5" t="s">
        <v>3619</v>
      </c>
      <c r="D1731" s="5" t="s">
        <v>3619</v>
      </c>
      <c r="E1731" s="5" t="s">
        <v>3619</v>
      </c>
      <c r="F1731" s="5">
        <v>57259408</v>
      </c>
      <c r="G1731" s="5" t="s">
        <v>1024</v>
      </c>
      <c r="H1731" s="7">
        <v>45911</v>
      </c>
      <c r="I1731" s="7">
        <v>45912</v>
      </c>
      <c r="J1731" s="8">
        <v>150</v>
      </c>
      <c r="K1731" s="7">
        <v>45932</v>
      </c>
      <c r="L1731" s="5"/>
    </row>
    <row r="1732" spans="1:12" x14ac:dyDescent="0.3">
      <c r="A1732" s="5">
        <v>1757</v>
      </c>
      <c r="B1732" s="5" t="s">
        <v>3627</v>
      </c>
      <c r="C1732" s="5" t="s">
        <v>3628</v>
      </c>
      <c r="D1732" s="5" t="s">
        <v>634</v>
      </c>
      <c r="E1732" s="5" t="s">
        <v>634</v>
      </c>
      <c r="F1732" s="5">
        <v>57610999</v>
      </c>
      <c r="G1732" s="5" t="s">
        <v>1231</v>
      </c>
      <c r="H1732" s="7">
        <v>45912</v>
      </c>
      <c r="I1732" s="7">
        <v>45912</v>
      </c>
      <c r="J1732" s="8">
        <v>150</v>
      </c>
      <c r="K1732" s="7">
        <v>45932</v>
      </c>
      <c r="L1732" s="5"/>
    </row>
    <row r="1733" spans="1:12" x14ac:dyDescent="0.3">
      <c r="A1733" s="5">
        <v>1758</v>
      </c>
      <c r="B1733" s="5" t="s">
        <v>3621</v>
      </c>
      <c r="C1733" s="5" t="s">
        <v>3622</v>
      </c>
      <c r="D1733" s="5" t="s">
        <v>3623</v>
      </c>
      <c r="E1733" s="5" t="s">
        <v>3623</v>
      </c>
      <c r="F1733" s="5" t="s">
        <v>3620</v>
      </c>
      <c r="G1733" s="5" t="s">
        <v>1024</v>
      </c>
      <c r="H1733" s="7">
        <v>45911</v>
      </c>
      <c r="I1733" s="7">
        <v>45912</v>
      </c>
      <c r="J1733" s="8">
        <v>150</v>
      </c>
      <c r="K1733" s="7">
        <v>45932</v>
      </c>
      <c r="L1733" s="5">
        <v>2000</v>
      </c>
    </row>
    <row r="1734" spans="1:12" x14ac:dyDescent="0.3">
      <c r="A1734" s="5">
        <v>1735</v>
      </c>
      <c r="B1734" s="5" t="s">
        <v>3574</v>
      </c>
      <c r="C1734" s="5" t="s">
        <v>3575</v>
      </c>
      <c r="D1734" s="5" t="s">
        <v>569</v>
      </c>
      <c r="E1734" s="5" t="s">
        <v>276</v>
      </c>
      <c r="F1734" s="5">
        <v>57935626</v>
      </c>
      <c r="G1734" s="5" t="s">
        <v>3617</v>
      </c>
      <c r="H1734" s="7">
        <v>45916</v>
      </c>
      <c r="I1734" s="7">
        <v>45916</v>
      </c>
      <c r="J1734" s="8">
        <v>150</v>
      </c>
      <c r="K1734" s="7">
        <v>45932</v>
      </c>
      <c r="L1734" s="5"/>
    </row>
    <row r="1735" spans="1:12" x14ac:dyDescent="0.3">
      <c r="A1735" s="5">
        <v>1736</v>
      </c>
      <c r="B1735" s="5" t="s">
        <v>3576</v>
      </c>
      <c r="C1735" s="5" t="s">
        <v>3577</v>
      </c>
      <c r="D1735" s="5" t="s">
        <v>68</v>
      </c>
      <c r="E1735" s="5" t="s">
        <v>49</v>
      </c>
      <c r="F1735" s="5">
        <v>57088003</v>
      </c>
      <c r="G1735" s="5" t="s">
        <v>3617</v>
      </c>
      <c r="H1735" s="7">
        <v>45916</v>
      </c>
      <c r="I1735" s="7">
        <v>45916</v>
      </c>
      <c r="J1735" s="8">
        <v>150</v>
      </c>
      <c r="K1735" s="7">
        <v>45932</v>
      </c>
      <c r="L1735" s="5"/>
    </row>
    <row r="1736" spans="1:12" x14ac:dyDescent="0.3">
      <c r="A1736" s="5">
        <v>1737</v>
      </c>
      <c r="B1736" s="5" t="s">
        <v>3578</v>
      </c>
      <c r="C1736" s="5" t="s">
        <v>3579</v>
      </c>
      <c r="D1736" s="5" t="s">
        <v>68</v>
      </c>
      <c r="E1736" s="5" t="s">
        <v>74</v>
      </c>
      <c r="F1736" s="5">
        <v>54219540</v>
      </c>
      <c r="G1736" s="5" t="s">
        <v>3617</v>
      </c>
      <c r="H1736" s="7">
        <v>45916</v>
      </c>
      <c r="I1736" s="7">
        <v>45916</v>
      </c>
      <c r="J1736" s="8">
        <v>150</v>
      </c>
      <c r="K1736" s="7">
        <v>45932</v>
      </c>
      <c r="L1736" s="5"/>
    </row>
    <row r="1737" spans="1:12" x14ac:dyDescent="0.3">
      <c r="A1737" s="5">
        <v>1738</v>
      </c>
      <c r="B1737" s="5" t="s">
        <v>3580</v>
      </c>
      <c r="C1737" s="5" t="s">
        <v>3581</v>
      </c>
      <c r="D1737" s="5" t="s">
        <v>569</v>
      </c>
      <c r="E1737" s="5" t="s">
        <v>31</v>
      </c>
      <c r="F1737" s="5">
        <v>59388191</v>
      </c>
      <c r="G1737" s="5" t="s">
        <v>3617</v>
      </c>
      <c r="H1737" s="7">
        <v>45916</v>
      </c>
      <c r="I1737" s="7">
        <v>45916</v>
      </c>
      <c r="J1737" s="8">
        <v>150</v>
      </c>
      <c r="K1737" s="7">
        <v>45932</v>
      </c>
      <c r="L1737" s="5"/>
    </row>
    <row r="1738" spans="1:12" x14ac:dyDescent="0.3">
      <c r="A1738" s="5">
        <v>1739</v>
      </c>
      <c r="B1738" s="5" t="s">
        <v>3582</v>
      </c>
      <c r="C1738" s="5" t="s">
        <v>3583</v>
      </c>
      <c r="D1738" s="5" t="s">
        <v>41</v>
      </c>
      <c r="E1738" s="5" t="s">
        <v>126</v>
      </c>
      <c r="F1738" s="5">
        <v>58338344</v>
      </c>
      <c r="G1738" s="5" t="s">
        <v>3617</v>
      </c>
      <c r="H1738" s="7">
        <v>45916</v>
      </c>
      <c r="I1738" s="7">
        <v>45916</v>
      </c>
      <c r="J1738" s="8">
        <v>150</v>
      </c>
      <c r="K1738" s="7">
        <v>45932</v>
      </c>
      <c r="L1738" s="5"/>
    </row>
    <row r="1739" spans="1:12" x14ac:dyDescent="0.3">
      <c r="A1739" s="5">
        <v>1754</v>
      </c>
      <c r="B1739" s="5" t="s">
        <v>3615</v>
      </c>
      <c r="C1739" s="5" t="s">
        <v>3612</v>
      </c>
      <c r="D1739" s="5" t="s">
        <v>3613</v>
      </c>
      <c r="E1739" s="5" t="s">
        <v>3613</v>
      </c>
      <c r="F1739" s="5">
        <v>52824374</v>
      </c>
      <c r="G1739" s="5" t="s">
        <v>3617</v>
      </c>
      <c r="H1739" s="7">
        <v>45916</v>
      </c>
      <c r="I1739" s="7">
        <v>45916</v>
      </c>
      <c r="J1739" s="8">
        <v>150</v>
      </c>
      <c r="K1739" s="7">
        <v>45932</v>
      </c>
      <c r="L1739" s="5"/>
    </row>
    <row r="1740" spans="1:12" x14ac:dyDescent="0.3">
      <c r="A1740" s="5">
        <v>1755</v>
      </c>
      <c r="B1740" s="5" t="s">
        <v>3616</v>
      </c>
      <c r="C1740" s="5" t="s">
        <v>3614</v>
      </c>
      <c r="D1740" s="5" t="s">
        <v>2193</v>
      </c>
      <c r="E1740" s="5" t="s">
        <v>2193</v>
      </c>
      <c r="F1740" s="5">
        <v>57951084</v>
      </c>
      <c r="G1740" s="5" t="s">
        <v>3617</v>
      </c>
      <c r="H1740" s="7">
        <v>45916</v>
      </c>
      <c r="I1740" s="7">
        <v>45916</v>
      </c>
      <c r="J1740" s="8">
        <v>150</v>
      </c>
      <c r="K1740" s="7">
        <v>45932</v>
      </c>
      <c r="L1740" s="5"/>
    </row>
    <row r="1741" spans="1:12" x14ac:dyDescent="0.3">
      <c r="A1741" s="5">
        <v>1759</v>
      </c>
      <c r="B1741" s="5" t="s">
        <v>3624</v>
      </c>
      <c r="C1741" s="5" t="s">
        <v>3625</v>
      </c>
      <c r="D1741" s="5" t="s">
        <v>501</v>
      </c>
      <c r="E1741" s="5" t="s">
        <v>501</v>
      </c>
      <c r="F1741" s="5">
        <v>58125030</v>
      </c>
      <c r="G1741" s="5" t="s">
        <v>3617</v>
      </c>
      <c r="H1741" s="7">
        <v>45916</v>
      </c>
      <c r="I1741" s="7">
        <v>45916</v>
      </c>
      <c r="J1741" s="8">
        <v>150</v>
      </c>
      <c r="K1741" s="7">
        <v>45932</v>
      </c>
      <c r="L1741" s="5"/>
    </row>
    <row r="1742" spans="1:12" x14ac:dyDescent="0.3">
      <c r="A1742" s="5">
        <v>1760</v>
      </c>
      <c r="B1742" s="5" t="s">
        <v>3626</v>
      </c>
      <c r="C1742" s="5" t="s">
        <v>325</v>
      </c>
      <c r="D1742" s="5" t="s">
        <v>211</v>
      </c>
      <c r="E1742" s="5" t="s">
        <v>211</v>
      </c>
      <c r="F1742" s="5">
        <v>58881094</v>
      </c>
      <c r="G1742" s="5" t="s">
        <v>3617</v>
      </c>
      <c r="H1742" s="7">
        <v>45916</v>
      </c>
      <c r="I1742" s="7">
        <v>45916</v>
      </c>
      <c r="J1742" s="8">
        <v>150</v>
      </c>
      <c r="K1742" s="7">
        <v>45932</v>
      </c>
      <c r="L1742" s="5"/>
    </row>
    <row r="1743" spans="1:12" x14ac:dyDescent="0.3">
      <c r="A1743" s="5">
        <v>1761</v>
      </c>
      <c r="B1743" s="5" t="s">
        <v>3629</v>
      </c>
      <c r="C1743" s="5" t="s">
        <v>29</v>
      </c>
      <c r="D1743" s="5" t="s">
        <v>569</v>
      </c>
      <c r="E1743" s="5" t="s">
        <v>31</v>
      </c>
      <c r="F1743" s="5">
        <v>58026226</v>
      </c>
      <c r="G1743" s="5" t="s">
        <v>16</v>
      </c>
      <c r="H1743" s="7">
        <v>45915</v>
      </c>
      <c r="I1743" s="7">
        <v>45916</v>
      </c>
      <c r="J1743" s="8">
        <v>150</v>
      </c>
      <c r="K1743" s="7">
        <v>45932</v>
      </c>
      <c r="L1743" s="5"/>
    </row>
    <row r="1744" spans="1:12" x14ac:dyDescent="0.3">
      <c r="A1744" s="5">
        <v>1762</v>
      </c>
      <c r="B1744" s="5" t="s">
        <v>3630</v>
      </c>
      <c r="C1744" s="5" t="s">
        <v>3650</v>
      </c>
      <c r="D1744" s="5" t="s">
        <v>601</v>
      </c>
      <c r="E1744" s="5" t="s">
        <v>850</v>
      </c>
      <c r="F1744" s="5">
        <v>57035015</v>
      </c>
      <c r="G1744" s="5" t="s">
        <v>16</v>
      </c>
      <c r="H1744" s="7">
        <v>45915</v>
      </c>
      <c r="I1744" s="7">
        <v>45916</v>
      </c>
      <c r="J1744" s="8">
        <v>150</v>
      </c>
      <c r="K1744" s="7">
        <v>45932</v>
      </c>
      <c r="L1744" s="5"/>
    </row>
    <row r="1745" spans="1:12" x14ac:dyDescent="0.3">
      <c r="A1745" s="5">
        <v>1763</v>
      </c>
      <c r="B1745" s="5" t="s">
        <v>3631</v>
      </c>
      <c r="C1745" s="5" t="s">
        <v>3510</v>
      </c>
      <c r="D1745" s="5" t="s">
        <v>601</v>
      </c>
      <c r="E1745" s="5" t="s">
        <v>254</v>
      </c>
      <c r="F1745" s="5">
        <v>57022769</v>
      </c>
      <c r="G1745" s="5" t="s">
        <v>16</v>
      </c>
      <c r="H1745" s="7">
        <v>45915</v>
      </c>
      <c r="I1745" s="7">
        <v>45916</v>
      </c>
      <c r="J1745" s="8">
        <v>150</v>
      </c>
      <c r="K1745" s="7">
        <v>45932</v>
      </c>
      <c r="L1745" s="5"/>
    </row>
    <row r="1746" spans="1:12" x14ac:dyDescent="0.3">
      <c r="A1746" s="5">
        <v>1764</v>
      </c>
      <c r="B1746" s="5" t="s">
        <v>3632</v>
      </c>
      <c r="C1746" s="5" t="s">
        <v>3651</v>
      </c>
      <c r="D1746" s="5" t="s">
        <v>475</v>
      </c>
      <c r="E1746" s="5" t="s">
        <v>27</v>
      </c>
      <c r="F1746" s="5">
        <v>59114372</v>
      </c>
      <c r="G1746" s="5" t="s">
        <v>16</v>
      </c>
      <c r="H1746" s="7">
        <v>45915</v>
      </c>
      <c r="I1746" s="7">
        <v>45916</v>
      </c>
      <c r="J1746" s="8">
        <v>150</v>
      </c>
      <c r="K1746" s="7">
        <v>45932</v>
      </c>
      <c r="L1746" s="5"/>
    </row>
    <row r="1747" spans="1:12" x14ac:dyDescent="0.3">
      <c r="A1747" s="5">
        <v>1766</v>
      </c>
      <c r="B1747" s="5" t="s">
        <v>3635</v>
      </c>
      <c r="C1747" s="5" t="s">
        <v>3653</v>
      </c>
      <c r="D1747" s="5" t="s">
        <v>903</v>
      </c>
      <c r="E1747" s="5" t="s">
        <v>251</v>
      </c>
      <c r="F1747" s="5">
        <v>59011947</v>
      </c>
      <c r="G1747" s="5" t="s">
        <v>16</v>
      </c>
      <c r="H1747" s="7">
        <v>45915</v>
      </c>
      <c r="I1747" s="7">
        <v>45916</v>
      </c>
      <c r="J1747" s="8">
        <v>150</v>
      </c>
      <c r="K1747" s="7">
        <v>45932</v>
      </c>
      <c r="L1747" s="5"/>
    </row>
    <row r="1748" spans="1:12" x14ac:dyDescent="0.3">
      <c r="A1748" s="5">
        <v>1767</v>
      </c>
      <c r="B1748" s="5" t="s">
        <v>3636</v>
      </c>
      <c r="C1748" s="5" t="s">
        <v>3654</v>
      </c>
      <c r="D1748" s="5" t="s">
        <v>41</v>
      </c>
      <c r="E1748" s="5" t="s">
        <v>41</v>
      </c>
      <c r="F1748" s="5">
        <v>58246745</v>
      </c>
      <c r="G1748" s="5" t="s">
        <v>16</v>
      </c>
      <c r="H1748" s="7">
        <v>45915</v>
      </c>
      <c r="I1748" s="7">
        <v>45916</v>
      </c>
      <c r="J1748" s="8">
        <v>150</v>
      </c>
      <c r="K1748" s="7">
        <v>45932</v>
      </c>
      <c r="L1748" s="5"/>
    </row>
    <row r="1749" spans="1:12" x14ac:dyDescent="0.3">
      <c r="A1749" s="5">
        <v>1768</v>
      </c>
      <c r="B1749" s="5" t="s">
        <v>42</v>
      </c>
      <c r="C1749" s="5" t="s">
        <v>3070</v>
      </c>
      <c r="D1749" s="5" t="s">
        <v>41</v>
      </c>
      <c r="E1749" s="5" t="s">
        <v>3637</v>
      </c>
      <c r="F1749" s="5">
        <v>57662898</v>
      </c>
      <c r="G1749" s="5" t="s">
        <v>16</v>
      </c>
      <c r="H1749" s="7">
        <v>45915</v>
      </c>
      <c r="I1749" s="7">
        <v>45916</v>
      </c>
      <c r="J1749" s="8">
        <v>150</v>
      </c>
      <c r="K1749" s="7">
        <v>45932</v>
      </c>
      <c r="L1749" s="5"/>
    </row>
    <row r="1750" spans="1:12" x14ac:dyDescent="0.3">
      <c r="A1750" s="5">
        <v>1769</v>
      </c>
      <c r="B1750" s="5" t="s">
        <v>1543</v>
      </c>
      <c r="C1750" s="5" t="s">
        <v>1544</v>
      </c>
      <c r="D1750" s="5" t="s">
        <v>475</v>
      </c>
      <c r="E1750" s="5" t="s">
        <v>807</v>
      </c>
      <c r="F1750" s="5">
        <v>58192376</v>
      </c>
      <c r="G1750" s="5" t="s">
        <v>16</v>
      </c>
      <c r="H1750" s="7">
        <v>45915</v>
      </c>
      <c r="I1750" s="7">
        <v>45916</v>
      </c>
      <c r="J1750" s="8">
        <v>150</v>
      </c>
      <c r="K1750" s="7">
        <v>45932</v>
      </c>
      <c r="L1750" s="5"/>
    </row>
    <row r="1751" spans="1:12" x14ac:dyDescent="0.3">
      <c r="A1751" s="5">
        <v>1770</v>
      </c>
      <c r="B1751" s="5" t="s">
        <v>358</v>
      </c>
      <c r="C1751" s="5" t="s">
        <v>359</v>
      </c>
      <c r="D1751" s="5" t="s">
        <v>426</v>
      </c>
      <c r="E1751" s="5" t="s">
        <v>360</v>
      </c>
      <c r="F1751" s="5">
        <v>57045624</v>
      </c>
      <c r="G1751" s="5" t="s">
        <v>16</v>
      </c>
      <c r="H1751" s="7">
        <v>45915</v>
      </c>
      <c r="I1751" s="7">
        <v>45916</v>
      </c>
      <c r="J1751" s="8">
        <v>150</v>
      </c>
      <c r="K1751" s="7">
        <v>45932</v>
      </c>
      <c r="L1751" s="5"/>
    </row>
    <row r="1752" spans="1:12" x14ac:dyDescent="0.3">
      <c r="A1752" s="5">
        <v>1771</v>
      </c>
      <c r="B1752" s="5" t="s">
        <v>1235</v>
      </c>
      <c r="C1752" s="5" t="s">
        <v>3655</v>
      </c>
      <c r="D1752" s="5" t="s">
        <v>569</v>
      </c>
      <c r="E1752" s="5" t="s">
        <v>569</v>
      </c>
      <c r="F1752" s="5">
        <v>58083400</v>
      </c>
      <c r="G1752" s="5" t="s">
        <v>16</v>
      </c>
      <c r="H1752" s="7">
        <v>45915</v>
      </c>
      <c r="I1752" s="7">
        <v>45916</v>
      </c>
      <c r="J1752" s="8">
        <v>150</v>
      </c>
      <c r="K1752" s="7">
        <v>45932</v>
      </c>
      <c r="L1752" s="5"/>
    </row>
    <row r="1753" spans="1:12" x14ac:dyDescent="0.3">
      <c r="A1753" s="5">
        <v>1772</v>
      </c>
      <c r="B1753" s="5" t="s">
        <v>3638</v>
      </c>
      <c r="C1753" s="5" t="s">
        <v>3656</v>
      </c>
      <c r="D1753" s="5" t="s">
        <v>68</v>
      </c>
      <c r="E1753" s="5" t="s">
        <v>3639</v>
      </c>
      <c r="F1753" s="5">
        <v>58369396</v>
      </c>
      <c r="G1753" s="5" t="s">
        <v>16</v>
      </c>
      <c r="H1753" s="7">
        <v>45915</v>
      </c>
      <c r="I1753" s="7">
        <v>45916</v>
      </c>
      <c r="J1753" s="8">
        <v>150</v>
      </c>
      <c r="K1753" s="7">
        <v>45932</v>
      </c>
      <c r="L1753" s="5"/>
    </row>
    <row r="1754" spans="1:12" x14ac:dyDescent="0.3">
      <c r="A1754" s="5">
        <v>1773</v>
      </c>
      <c r="B1754" s="5" t="s">
        <v>2516</v>
      </c>
      <c r="C1754" s="5" t="s">
        <v>3657</v>
      </c>
      <c r="D1754" s="5" t="s">
        <v>84</v>
      </c>
      <c r="E1754" s="5" t="s">
        <v>2517</v>
      </c>
      <c r="F1754" s="5">
        <v>57588028</v>
      </c>
      <c r="G1754" s="5" t="s">
        <v>16</v>
      </c>
      <c r="H1754" s="7">
        <v>45915</v>
      </c>
      <c r="I1754" s="7">
        <v>45916</v>
      </c>
      <c r="J1754" s="8">
        <v>150</v>
      </c>
      <c r="K1754" s="7">
        <v>45932</v>
      </c>
      <c r="L1754" s="5"/>
    </row>
    <row r="1755" spans="1:12" x14ac:dyDescent="0.3">
      <c r="A1755" s="5">
        <v>1774</v>
      </c>
      <c r="B1755" s="5" t="s">
        <v>3640</v>
      </c>
      <c r="C1755" s="5" t="s">
        <v>3658</v>
      </c>
      <c r="D1755" s="5" t="s">
        <v>137</v>
      </c>
      <c r="E1755" s="5" t="s">
        <v>3641</v>
      </c>
      <c r="F1755" s="5">
        <v>57361590</v>
      </c>
      <c r="G1755" s="5" t="s">
        <v>16</v>
      </c>
      <c r="H1755" s="7">
        <v>45915</v>
      </c>
      <c r="I1755" s="7">
        <v>45916</v>
      </c>
      <c r="J1755" s="8">
        <v>150</v>
      </c>
      <c r="K1755" s="7">
        <v>45932</v>
      </c>
      <c r="L1755" s="5"/>
    </row>
    <row r="1756" spans="1:12" x14ac:dyDescent="0.3">
      <c r="A1756" s="5">
        <v>1775</v>
      </c>
      <c r="B1756" s="5" t="s">
        <v>3642</v>
      </c>
      <c r="C1756" s="5" t="s">
        <v>3659</v>
      </c>
      <c r="D1756" s="5" t="s">
        <v>68</v>
      </c>
      <c r="E1756" s="5" t="s">
        <v>2125</v>
      </c>
      <c r="F1756" s="5">
        <v>57729294</v>
      </c>
      <c r="G1756" s="5" t="s">
        <v>16</v>
      </c>
      <c r="H1756" s="7">
        <v>45915</v>
      </c>
      <c r="I1756" s="7">
        <v>45916</v>
      </c>
      <c r="J1756" s="8">
        <v>150</v>
      </c>
      <c r="K1756" s="7">
        <v>45932</v>
      </c>
      <c r="L1756" s="5"/>
    </row>
    <row r="1757" spans="1:12" x14ac:dyDescent="0.3">
      <c r="A1757" s="5">
        <v>1776</v>
      </c>
      <c r="B1757" s="5" t="s">
        <v>3643</v>
      </c>
      <c r="C1757" s="5" t="s">
        <v>3644</v>
      </c>
      <c r="D1757" s="5" t="s">
        <v>68</v>
      </c>
      <c r="E1757" s="5" t="s">
        <v>149</v>
      </c>
      <c r="F1757" s="5">
        <v>58081437</v>
      </c>
      <c r="G1757" s="5" t="s">
        <v>16</v>
      </c>
      <c r="H1757" s="7">
        <v>45915</v>
      </c>
      <c r="I1757" s="7">
        <v>45916</v>
      </c>
      <c r="J1757" s="8">
        <v>150</v>
      </c>
      <c r="K1757" s="7">
        <v>45932</v>
      </c>
      <c r="L1757" s="5"/>
    </row>
    <row r="1758" spans="1:12" x14ac:dyDescent="0.3">
      <c r="A1758" s="5">
        <v>1777</v>
      </c>
      <c r="B1758" s="5" t="s">
        <v>3645</v>
      </c>
      <c r="C1758" s="5" t="s">
        <v>3660</v>
      </c>
      <c r="D1758" s="5" t="s">
        <v>68</v>
      </c>
      <c r="E1758" s="5" t="s">
        <v>696</v>
      </c>
      <c r="F1758" s="5">
        <v>54505151</v>
      </c>
      <c r="G1758" s="5" t="s">
        <v>16</v>
      </c>
      <c r="H1758" s="7">
        <v>45915</v>
      </c>
      <c r="I1758" s="7">
        <v>45916</v>
      </c>
      <c r="J1758" s="8">
        <v>150</v>
      </c>
      <c r="K1758" s="7">
        <v>45932</v>
      </c>
      <c r="L1758" s="5"/>
    </row>
    <row r="1759" spans="1:12" x14ac:dyDescent="0.3">
      <c r="A1759" s="5">
        <v>1778</v>
      </c>
      <c r="B1759" s="5" t="s">
        <v>3646</v>
      </c>
      <c r="C1759" s="5" t="s">
        <v>3661</v>
      </c>
      <c r="D1759" s="5" t="s">
        <v>137</v>
      </c>
      <c r="E1759" s="5" t="s">
        <v>2611</v>
      </c>
      <c r="F1759" s="5">
        <v>57418060</v>
      </c>
      <c r="G1759" s="5" t="s">
        <v>16</v>
      </c>
      <c r="H1759" s="7">
        <v>45915</v>
      </c>
      <c r="I1759" s="7">
        <v>45916</v>
      </c>
      <c r="J1759" s="8">
        <v>150</v>
      </c>
      <c r="K1759" s="7">
        <v>45932</v>
      </c>
      <c r="L1759" s="5"/>
    </row>
    <row r="1760" spans="1:12" x14ac:dyDescent="0.3">
      <c r="A1760" s="5">
        <v>1779</v>
      </c>
      <c r="B1760" s="30" t="s">
        <v>3647</v>
      </c>
      <c r="C1760" s="30" t="s">
        <v>3662</v>
      </c>
      <c r="D1760" s="30" t="s">
        <v>84</v>
      </c>
      <c r="E1760" s="30" t="s">
        <v>84</v>
      </c>
      <c r="F1760" s="30">
        <v>57400034</v>
      </c>
      <c r="G1760" s="30" t="s">
        <v>16</v>
      </c>
      <c r="H1760" s="14">
        <v>45915</v>
      </c>
      <c r="I1760" s="14">
        <v>45916</v>
      </c>
      <c r="J1760" s="8">
        <v>150</v>
      </c>
      <c r="K1760" s="7">
        <v>45932</v>
      </c>
      <c r="L1760" s="30"/>
    </row>
    <row r="1761" spans="1:12" x14ac:dyDescent="0.3">
      <c r="A1761" s="5">
        <v>1780</v>
      </c>
      <c r="B1761" s="5" t="s">
        <v>3648</v>
      </c>
      <c r="C1761" s="5" t="s">
        <v>3663</v>
      </c>
      <c r="D1761" s="5" t="s">
        <v>68</v>
      </c>
      <c r="E1761" s="5" t="s">
        <v>696</v>
      </c>
      <c r="F1761" s="5">
        <v>58159927</v>
      </c>
      <c r="G1761" s="5" t="s">
        <v>16</v>
      </c>
      <c r="H1761" s="7">
        <v>45915</v>
      </c>
      <c r="I1761" s="7">
        <v>45916</v>
      </c>
      <c r="J1761" s="8">
        <v>150</v>
      </c>
      <c r="K1761" s="7">
        <v>45932</v>
      </c>
      <c r="L1761" s="5"/>
    </row>
    <row r="1762" spans="1:12" x14ac:dyDescent="0.3">
      <c r="A1762" s="5">
        <v>1781</v>
      </c>
      <c r="B1762" s="5" t="s">
        <v>3649</v>
      </c>
      <c r="C1762" s="5" t="s">
        <v>3664</v>
      </c>
      <c r="D1762" s="5" t="s">
        <v>68</v>
      </c>
      <c r="E1762" s="5" t="s">
        <v>101</v>
      </c>
      <c r="F1762" s="5">
        <v>57427567</v>
      </c>
      <c r="G1762" s="5" t="s">
        <v>16</v>
      </c>
      <c r="H1762" s="7">
        <v>45915</v>
      </c>
      <c r="I1762" s="7">
        <v>45916</v>
      </c>
      <c r="J1762" s="8">
        <v>150</v>
      </c>
      <c r="K1762" s="7">
        <v>45932</v>
      </c>
      <c r="L1762" s="5"/>
    </row>
    <row r="1763" spans="1:12" x14ac:dyDescent="0.3">
      <c r="A1763" s="5">
        <v>1765</v>
      </c>
      <c r="B1763" s="5" t="s">
        <v>3633</v>
      </c>
      <c r="C1763" s="5" t="s">
        <v>3652</v>
      </c>
      <c r="D1763" s="5" t="s">
        <v>426</v>
      </c>
      <c r="E1763" s="5" t="s">
        <v>3634</v>
      </c>
      <c r="F1763" s="5">
        <v>59478730</v>
      </c>
      <c r="G1763" s="5" t="s">
        <v>16</v>
      </c>
      <c r="H1763" s="7">
        <v>45915</v>
      </c>
      <c r="I1763" s="7">
        <v>45918</v>
      </c>
      <c r="J1763" s="8">
        <v>150</v>
      </c>
      <c r="K1763" s="7">
        <v>45932</v>
      </c>
      <c r="L1763" s="5"/>
    </row>
    <row r="1764" spans="1:12" x14ac:dyDescent="0.3">
      <c r="A1764" s="5">
        <v>1782</v>
      </c>
      <c r="B1764" s="5" t="s">
        <v>1523</v>
      </c>
      <c r="C1764" s="5" t="s">
        <v>1524</v>
      </c>
      <c r="D1764" s="5" t="s">
        <v>601</v>
      </c>
      <c r="E1764" s="5" t="s">
        <v>259</v>
      </c>
      <c r="F1764" s="5">
        <v>58319014</v>
      </c>
      <c r="G1764" s="5" t="s">
        <v>16</v>
      </c>
      <c r="H1764" s="7">
        <v>45918</v>
      </c>
      <c r="I1764" s="7">
        <v>45919</v>
      </c>
      <c r="J1764" s="8">
        <v>150</v>
      </c>
      <c r="K1764" s="7">
        <v>45932</v>
      </c>
      <c r="L1764" s="5"/>
    </row>
    <row r="1765" spans="1:12" x14ac:dyDescent="0.3">
      <c r="A1765" s="5">
        <v>1783</v>
      </c>
      <c r="B1765" s="5" t="s">
        <v>3665</v>
      </c>
      <c r="C1765" s="5" t="s">
        <v>3666</v>
      </c>
      <c r="D1765" s="5" t="s">
        <v>68</v>
      </c>
      <c r="E1765" s="5" t="s">
        <v>74</v>
      </c>
      <c r="F1765" s="5">
        <v>52728743</v>
      </c>
      <c r="G1765" s="5" t="s">
        <v>16</v>
      </c>
      <c r="H1765" s="7">
        <v>45918</v>
      </c>
      <c r="I1765" s="7">
        <v>45919</v>
      </c>
      <c r="J1765" s="8">
        <v>150</v>
      </c>
      <c r="K1765" s="7">
        <v>45932</v>
      </c>
      <c r="L1765" s="5"/>
    </row>
    <row r="1766" spans="1:12" x14ac:dyDescent="0.3">
      <c r="A1766" s="5">
        <v>1784</v>
      </c>
      <c r="B1766" s="5" t="s">
        <v>2955</v>
      </c>
      <c r="C1766" s="5" t="s">
        <v>3668</v>
      </c>
      <c r="D1766" s="5" t="s">
        <v>903</v>
      </c>
      <c r="E1766" s="5" t="s">
        <v>251</v>
      </c>
      <c r="F1766" s="5">
        <v>57519225</v>
      </c>
      <c r="G1766" s="5" t="s">
        <v>16</v>
      </c>
      <c r="H1766" s="7">
        <v>45918</v>
      </c>
      <c r="I1766" s="7">
        <v>45919</v>
      </c>
      <c r="J1766" s="8">
        <v>150</v>
      </c>
      <c r="K1766" s="7">
        <v>45932</v>
      </c>
      <c r="L1766" s="5"/>
    </row>
    <row r="1767" spans="1:12" x14ac:dyDescent="0.3">
      <c r="A1767" s="5">
        <v>1785</v>
      </c>
      <c r="B1767" s="5" t="s">
        <v>3669</v>
      </c>
      <c r="C1767" s="5" t="s">
        <v>1683</v>
      </c>
      <c r="D1767" s="5" t="s">
        <v>601</v>
      </c>
      <c r="E1767" s="5" t="s">
        <v>19</v>
      </c>
      <c r="F1767" s="5" t="s">
        <v>3670</v>
      </c>
      <c r="G1767" s="5" t="s">
        <v>16</v>
      </c>
      <c r="H1767" s="7">
        <v>45918</v>
      </c>
      <c r="I1767" s="7">
        <v>45919</v>
      </c>
      <c r="J1767" s="8">
        <v>150</v>
      </c>
      <c r="K1767" s="7">
        <v>45932</v>
      </c>
      <c r="L1767" s="5"/>
    </row>
    <row r="1768" spans="1:12" x14ac:dyDescent="0.3">
      <c r="A1768" s="5">
        <v>1786</v>
      </c>
      <c r="B1768" s="5" t="s">
        <v>180</v>
      </c>
      <c r="C1768" s="5" t="s">
        <v>3671</v>
      </c>
      <c r="D1768" s="5" t="s">
        <v>3672</v>
      </c>
      <c r="E1768" s="5" t="s">
        <v>3673</v>
      </c>
      <c r="F1768" s="5">
        <v>57060726</v>
      </c>
      <c r="G1768" s="5" t="s">
        <v>16</v>
      </c>
      <c r="H1768" s="7">
        <v>45918</v>
      </c>
      <c r="I1768" s="7">
        <v>45919</v>
      </c>
      <c r="J1768" s="8">
        <v>150</v>
      </c>
      <c r="K1768" s="7">
        <v>45932</v>
      </c>
      <c r="L1768" s="5"/>
    </row>
    <row r="1769" spans="1:12" x14ac:dyDescent="0.3">
      <c r="A1769" s="5">
        <v>1787</v>
      </c>
      <c r="B1769" s="5" t="s">
        <v>3674</v>
      </c>
      <c r="C1769" s="5" t="s">
        <v>3675</v>
      </c>
      <c r="D1769" s="5" t="s">
        <v>41</v>
      </c>
      <c r="E1769" s="5" t="s">
        <v>144</v>
      </c>
      <c r="F1769" s="5">
        <v>59240837</v>
      </c>
      <c r="G1769" s="5" t="s">
        <v>16</v>
      </c>
      <c r="H1769" s="7">
        <v>45918</v>
      </c>
      <c r="I1769" s="7">
        <v>45919</v>
      </c>
      <c r="J1769" s="8">
        <v>150</v>
      </c>
      <c r="K1769" s="7">
        <v>45932</v>
      </c>
      <c r="L1769" s="5"/>
    </row>
    <row r="1770" spans="1:12" x14ac:dyDescent="0.3">
      <c r="A1770" s="5">
        <v>1788</v>
      </c>
      <c r="B1770" s="5" t="s">
        <v>3676</v>
      </c>
      <c r="C1770" s="5" t="s">
        <v>3677</v>
      </c>
      <c r="D1770" s="5" t="s">
        <v>426</v>
      </c>
      <c r="E1770" s="5" t="s">
        <v>1475</v>
      </c>
      <c r="F1770" s="5">
        <v>59298231</v>
      </c>
      <c r="G1770" s="5" t="s">
        <v>16</v>
      </c>
      <c r="H1770" s="7">
        <v>45918</v>
      </c>
      <c r="I1770" s="7">
        <v>45919</v>
      </c>
      <c r="J1770" s="8">
        <v>150</v>
      </c>
      <c r="K1770" s="7">
        <v>45932</v>
      </c>
      <c r="L1770" s="5"/>
    </row>
    <row r="1771" spans="1:12" x14ac:dyDescent="0.3">
      <c r="A1771" s="5">
        <v>1789</v>
      </c>
      <c r="B1771" s="5" t="s">
        <v>3678</v>
      </c>
      <c r="C1771" s="5" t="s">
        <v>3679</v>
      </c>
      <c r="D1771" s="5" t="s">
        <v>41</v>
      </c>
      <c r="E1771" s="5" t="s">
        <v>3679</v>
      </c>
      <c r="F1771" s="5" t="s">
        <v>3680</v>
      </c>
      <c r="G1771" s="5" t="s">
        <v>16</v>
      </c>
      <c r="H1771" s="7">
        <v>45918</v>
      </c>
      <c r="I1771" s="7">
        <v>45919</v>
      </c>
      <c r="J1771" s="8">
        <v>150</v>
      </c>
      <c r="K1771" s="7">
        <v>45932</v>
      </c>
      <c r="L1771" s="5"/>
    </row>
    <row r="1772" spans="1:12" x14ac:dyDescent="0.3">
      <c r="A1772" s="5">
        <v>1790</v>
      </c>
      <c r="B1772" s="5" t="s">
        <v>3681</v>
      </c>
      <c r="C1772" s="5" t="s">
        <v>3682</v>
      </c>
      <c r="D1772" s="5" t="s">
        <v>475</v>
      </c>
      <c r="E1772" s="5" t="s">
        <v>807</v>
      </c>
      <c r="F1772" s="5">
        <v>57796910</v>
      </c>
      <c r="G1772" s="5" t="s">
        <v>16</v>
      </c>
      <c r="H1772" s="7">
        <v>45918</v>
      </c>
      <c r="I1772" s="7">
        <v>45919</v>
      </c>
      <c r="J1772" s="8">
        <v>150</v>
      </c>
      <c r="K1772" s="7">
        <v>45932</v>
      </c>
      <c r="L1772" s="5"/>
    </row>
    <row r="1773" spans="1:12" x14ac:dyDescent="0.3">
      <c r="A1773" s="5">
        <v>1791</v>
      </c>
      <c r="B1773" s="5" t="s">
        <v>3683</v>
      </c>
      <c r="C1773" s="5" t="s">
        <v>3684</v>
      </c>
      <c r="D1773" s="5" t="s">
        <v>68</v>
      </c>
      <c r="E1773" s="5" t="s">
        <v>3685</v>
      </c>
      <c r="F1773" s="5">
        <v>57054805</v>
      </c>
      <c r="G1773" s="5" t="s">
        <v>16</v>
      </c>
      <c r="H1773" s="7">
        <v>45918</v>
      </c>
      <c r="I1773" s="7">
        <v>45919</v>
      </c>
      <c r="J1773" s="8">
        <v>150</v>
      </c>
      <c r="K1773" s="7">
        <v>45932</v>
      </c>
      <c r="L1773" s="5"/>
    </row>
    <row r="1774" spans="1:12" x14ac:dyDescent="0.3">
      <c r="A1774" s="5">
        <v>1792</v>
      </c>
      <c r="B1774" s="5" t="s">
        <v>3686</v>
      </c>
      <c r="C1774" s="5" t="s">
        <v>3687</v>
      </c>
      <c r="D1774" s="5" t="s">
        <v>68</v>
      </c>
      <c r="E1774" s="5" t="s">
        <v>163</v>
      </c>
      <c r="F1774" s="5">
        <v>57069137</v>
      </c>
      <c r="G1774" s="5" t="s">
        <v>16</v>
      </c>
      <c r="H1774" s="7">
        <v>45918</v>
      </c>
      <c r="I1774" s="7">
        <v>45919</v>
      </c>
      <c r="J1774" s="8">
        <v>150</v>
      </c>
      <c r="K1774" s="7">
        <v>45932</v>
      </c>
      <c r="L1774" s="5"/>
    </row>
    <row r="1775" spans="1:12" x14ac:dyDescent="0.3">
      <c r="A1775" s="5">
        <v>1793</v>
      </c>
      <c r="B1775" s="5" t="s">
        <v>3688</v>
      </c>
      <c r="C1775" s="5" t="s">
        <v>3689</v>
      </c>
      <c r="D1775" s="5" t="s">
        <v>601</v>
      </c>
      <c r="E1775" s="5" t="s">
        <v>1369</v>
      </c>
      <c r="F1775" s="5">
        <v>57072169</v>
      </c>
      <c r="G1775" s="5" t="s">
        <v>16</v>
      </c>
      <c r="H1775" s="7">
        <v>45918</v>
      </c>
      <c r="I1775" s="7">
        <v>45919</v>
      </c>
      <c r="J1775" s="8">
        <v>150</v>
      </c>
      <c r="K1775" s="7">
        <v>45932</v>
      </c>
      <c r="L1775" s="5"/>
    </row>
    <row r="1776" spans="1:12" x14ac:dyDescent="0.3">
      <c r="A1776" s="5">
        <v>1794</v>
      </c>
      <c r="B1776" s="5" t="s">
        <v>3690</v>
      </c>
      <c r="C1776" s="5" t="s">
        <v>3691</v>
      </c>
      <c r="D1776" s="5" t="s">
        <v>68</v>
      </c>
      <c r="E1776" s="5" t="s">
        <v>63</v>
      </c>
      <c r="F1776" s="5">
        <v>58116180</v>
      </c>
      <c r="G1776" s="5" t="s">
        <v>16</v>
      </c>
      <c r="H1776" s="7">
        <v>45918</v>
      </c>
      <c r="I1776" s="7">
        <v>45919</v>
      </c>
      <c r="J1776" s="8">
        <v>150</v>
      </c>
      <c r="K1776" s="7">
        <v>45932</v>
      </c>
      <c r="L1776" s="5"/>
    </row>
    <row r="1777" spans="1:13" x14ac:dyDescent="0.3">
      <c r="A1777" s="5">
        <v>1795</v>
      </c>
      <c r="B1777" s="5" t="s">
        <v>1445</v>
      </c>
      <c r="C1777" s="5" t="s">
        <v>3692</v>
      </c>
      <c r="D1777" s="5" t="s">
        <v>68</v>
      </c>
      <c r="E1777" s="5" t="s">
        <v>163</v>
      </c>
      <c r="F1777" s="5">
        <v>57755000</v>
      </c>
      <c r="G1777" s="5" t="s">
        <v>16</v>
      </c>
      <c r="H1777" s="7">
        <v>45918</v>
      </c>
      <c r="I1777" s="7">
        <v>45919</v>
      </c>
      <c r="J1777" s="8">
        <v>150</v>
      </c>
      <c r="K1777" s="7">
        <v>45932</v>
      </c>
      <c r="L1777" s="5"/>
    </row>
    <row r="1778" spans="1:13" x14ac:dyDescent="0.3">
      <c r="A1778" s="5">
        <v>1796</v>
      </c>
      <c r="B1778" s="5" t="s">
        <v>3693</v>
      </c>
      <c r="C1778" s="5" t="s">
        <v>3694</v>
      </c>
      <c r="D1778" s="5" t="s">
        <v>68</v>
      </c>
      <c r="E1778" s="5" t="s">
        <v>226</v>
      </c>
      <c r="F1778" s="5">
        <v>57649479</v>
      </c>
      <c r="G1778" s="5" t="s">
        <v>16</v>
      </c>
      <c r="H1778" s="7">
        <v>45918</v>
      </c>
      <c r="I1778" s="7">
        <v>45919</v>
      </c>
      <c r="J1778" s="8">
        <v>150</v>
      </c>
      <c r="K1778" s="7">
        <v>45932</v>
      </c>
      <c r="L1778" s="5"/>
    </row>
    <row r="1779" spans="1:13" x14ac:dyDescent="0.3">
      <c r="A1779" s="5">
        <v>1797</v>
      </c>
      <c r="B1779" s="5" t="s">
        <v>698</v>
      </c>
      <c r="C1779" s="5" t="s">
        <v>699</v>
      </c>
      <c r="D1779" s="5" t="s">
        <v>137</v>
      </c>
      <c r="E1779" s="5" t="s">
        <v>700</v>
      </c>
      <c r="F1779" s="5">
        <v>58304085</v>
      </c>
      <c r="G1779" s="5" t="s">
        <v>16</v>
      </c>
      <c r="H1779" s="7">
        <v>45918</v>
      </c>
      <c r="I1779" s="7">
        <v>45919</v>
      </c>
      <c r="J1779" s="8">
        <v>150</v>
      </c>
      <c r="K1779" s="7">
        <v>45932</v>
      </c>
      <c r="L1779" s="5"/>
    </row>
    <row r="1780" spans="1:13" x14ac:dyDescent="0.3">
      <c r="A1780" s="5">
        <v>1798</v>
      </c>
      <c r="B1780" s="5" t="s">
        <v>3695</v>
      </c>
      <c r="C1780" s="5" t="s">
        <v>69</v>
      </c>
      <c r="D1780" s="5" t="s">
        <v>68</v>
      </c>
      <c r="E1780" s="5" t="s">
        <v>69</v>
      </c>
      <c r="F1780" s="5">
        <v>59254841</v>
      </c>
      <c r="G1780" s="5" t="s">
        <v>16</v>
      </c>
      <c r="H1780" s="7">
        <v>45918</v>
      </c>
      <c r="I1780" s="7">
        <v>45919</v>
      </c>
      <c r="J1780" s="8">
        <v>150</v>
      </c>
      <c r="K1780" s="7">
        <v>45932</v>
      </c>
      <c r="L1780" s="5"/>
    </row>
    <row r="1781" spans="1:13" x14ac:dyDescent="0.3">
      <c r="A1781" s="5">
        <v>1799</v>
      </c>
      <c r="B1781" s="5" t="s">
        <v>3696</v>
      </c>
      <c r="C1781" s="5" t="s">
        <v>3697</v>
      </c>
      <c r="D1781" s="5" t="s">
        <v>475</v>
      </c>
      <c r="E1781" s="5" t="s">
        <v>268</v>
      </c>
      <c r="F1781" s="5">
        <v>57682650</v>
      </c>
      <c r="G1781" s="5" t="s">
        <v>16</v>
      </c>
      <c r="H1781" s="7">
        <v>45918</v>
      </c>
      <c r="I1781" s="7">
        <v>45919</v>
      </c>
      <c r="J1781" s="8">
        <v>150</v>
      </c>
      <c r="K1781" s="7">
        <v>45932</v>
      </c>
      <c r="L1781" s="5"/>
    </row>
    <row r="1782" spans="1:13" x14ac:dyDescent="0.3">
      <c r="A1782" s="5">
        <v>1800</v>
      </c>
      <c r="B1782" s="5" t="s">
        <v>3698</v>
      </c>
      <c r="C1782" s="5" t="s">
        <v>3699</v>
      </c>
      <c r="D1782" s="5" t="s">
        <v>68</v>
      </c>
      <c r="E1782" s="5" t="s">
        <v>69</v>
      </c>
      <c r="F1782" s="5">
        <v>57726568</v>
      </c>
      <c r="G1782" s="5" t="s">
        <v>16</v>
      </c>
      <c r="H1782" s="7">
        <v>45918</v>
      </c>
      <c r="I1782" s="7">
        <v>45919</v>
      </c>
      <c r="J1782" s="8">
        <v>150</v>
      </c>
      <c r="K1782" s="7">
        <v>45932</v>
      </c>
      <c r="L1782" s="5"/>
    </row>
    <row r="1783" spans="1:13" x14ac:dyDescent="0.3">
      <c r="A1783" s="5">
        <v>1801</v>
      </c>
      <c r="B1783" s="5" t="s">
        <v>3700</v>
      </c>
      <c r="C1783" s="5" t="s">
        <v>3701</v>
      </c>
      <c r="D1783" s="5" t="s">
        <v>68</v>
      </c>
      <c r="E1783" s="5" t="s">
        <v>226</v>
      </c>
      <c r="F1783" s="5">
        <v>57583673</v>
      </c>
      <c r="G1783" s="5" t="s">
        <v>16</v>
      </c>
      <c r="H1783" s="7">
        <v>45918</v>
      </c>
      <c r="I1783" s="7">
        <v>45919</v>
      </c>
      <c r="J1783" s="8">
        <v>150</v>
      </c>
      <c r="K1783" s="7">
        <v>45932</v>
      </c>
      <c r="L1783" s="5"/>
    </row>
    <row r="1784" spans="1:13" x14ac:dyDescent="0.3">
      <c r="A1784" s="5">
        <v>1802</v>
      </c>
      <c r="B1784" s="5" t="s">
        <v>3702</v>
      </c>
      <c r="C1784" s="5" t="s">
        <v>3703</v>
      </c>
      <c r="D1784" s="5" t="s">
        <v>84</v>
      </c>
      <c r="E1784" s="5" t="s">
        <v>84</v>
      </c>
      <c r="F1784" s="5">
        <v>55082438</v>
      </c>
      <c r="G1784" s="5" t="s">
        <v>3005</v>
      </c>
      <c r="H1784" s="7">
        <v>45919</v>
      </c>
      <c r="I1784" s="7">
        <v>45919</v>
      </c>
      <c r="J1784" s="8">
        <v>150</v>
      </c>
      <c r="K1784" s="7">
        <v>45932</v>
      </c>
      <c r="L1784" s="5"/>
    </row>
    <row r="1785" spans="1:13" x14ac:dyDescent="0.3">
      <c r="A1785" s="5">
        <v>1803</v>
      </c>
      <c r="B1785" s="5" t="s">
        <v>3704</v>
      </c>
      <c r="C1785" s="5" t="s">
        <v>3705</v>
      </c>
      <c r="D1785" s="5" t="s">
        <v>41</v>
      </c>
      <c r="E1785" s="5" t="s">
        <v>144</v>
      </c>
      <c r="F1785" s="5">
        <v>57900256</v>
      </c>
      <c r="G1785" s="5" t="s">
        <v>3005</v>
      </c>
      <c r="H1785" s="7">
        <v>45919</v>
      </c>
      <c r="I1785" s="7">
        <v>45919</v>
      </c>
      <c r="J1785" s="8">
        <v>150</v>
      </c>
      <c r="K1785" s="7">
        <v>45932</v>
      </c>
      <c r="L1785" s="5"/>
      <c r="M1785" s="31" t="s">
        <v>2954</v>
      </c>
    </row>
    <row r="1786" spans="1:13" x14ac:dyDescent="0.3">
      <c r="A1786" s="5">
        <v>1804</v>
      </c>
      <c r="B1786" s="5" t="s">
        <v>3706</v>
      </c>
      <c r="C1786" s="5" t="s">
        <v>3707</v>
      </c>
      <c r="D1786" s="5" t="s">
        <v>84</v>
      </c>
      <c r="E1786" s="5" t="s">
        <v>1199</v>
      </c>
      <c r="F1786" s="5">
        <v>54834522</v>
      </c>
      <c r="G1786" s="5" t="s">
        <v>3005</v>
      </c>
      <c r="H1786" s="7">
        <v>45919</v>
      </c>
      <c r="I1786" s="7">
        <v>45919</v>
      </c>
      <c r="J1786" s="8">
        <v>150</v>
      </c>
      <c r="K1786" s="7">
        <v>45932</v>
      </c>
      <c r="L1786" s="5"/>
    </row>
    <row r="1787" spans="1:13" x14ac:dyDescent="0.3">
      <c r="A1787" s="5">
        <v>1805</v>
      </c>
      <c r="B1787" s="5" t="s">
        <v>3708</v>
      </c>
      <c r="C1787" s="5" t="s">
        <v>2108</v>
      </c>
      <c r="D1787" s="5" t="s">
        <v>68</v>
      </c>
      <c r="E1787" s="5" t="s">
        <v>3709</v>
      </c>
      <c r="F1787" s="5">
        <v>57961645</v>
      </c>
      <c r="G1787" s="5" t="s">
        <v>3005</v>
      </c>
      <c r="H1787" s="7">
        <v>45919</v>
      </c>
      <c r="I1787" s="7">
        <v>45919</v>
      </c>
      <c r="J1787" s="8">
        <v>150</v>
      </c>
      <c r="K1787" s="7">
        <v>45932</v>
      </c>
      <c r="L1787" s="5"/>
      <c r="M1787" s="23" t="s">
        <v>3667</v>
      </c>
    </row>
    <row r="1788" spans="1:13" x14ac:dyDescent="0.3">
      <c r="A1788" s="5">
        <v>1806</v>
      </c>
      <c r="B1788" s="5" t="s">
        <v>3710</v>
      </c>
      <c r="C1788" s="5" t="s">
        <v>3711</v>
      </c>
      <c r="D1788" s="5" t="s">
        <v>426</v>
      </c>
      <c r="E1788" s="5" t="s">
        <v>3712</v>
      </c>
      <c r="F1788" s="5">
        <v>57088227</v>
      </c>
      <c r="G1788" s="5" t="s">
        <v>3005</v>
      </c>
      <c r="H1788" s="7">
        <v>45919</v>
      </c>
      <c r="I1788" s="7">
        <v>45919</v>
      </c>
      <c r="J1788" s="8">
        <v>150</v>
      </c>
      <c r="K1788" s="7">
        <v>45932</v>
      </c>
      <c r="L1788" s="5"/>
    </row>
    <row r="1789" spans="1:13" x14ac:dyDescent="0.3">
      <c r="A1789" s="5">
        <v>1807</v>
      </c>
      <c r="B1789" s="5" t="s">
        <v>3713</v>
      </c>
      <c r="C1789" s="5" t="s">
        <v>3714</v>
      </c>
      <c r="D1789" s="5" t="s">
        <v>68</v>
      </c>
      <c r="E1789" s="5" t="s">
        <v>785</v>
      </c>
      <c r="F1789" s="5">
        <v>59648366</v>
      </c>
      <c r="G1789" s="5" t="s">
        <v>1024</v>
      </c>
      <c r="H1789" s="7">
        <v>45918</v>
      </c>
      <c r="I1789" s="7">
        <v>45919</v>
      </c>
      <c r="J1789" s="8">
        <v>150</v>
      </c>
      <c r="K1789" s="7">
        <v>45932</v>
      </c>
      <c r="L1789" s="5"/>
    </row>
    <row r="1790" spans="1:13" x14ac:dyDescent="0.3">
      <c r="A1790" s="5">
        <v>1808</v>
      </c>
      <c r="B1790" s="5" t="s">
        <v>3717</v>
      </c>
      <c r="C1790" s="5" t="s">
        <v>3718</v>
      </c>
      <c r="D1790" s="5" t="s">
        <v>491</v>
      </c>
      <c r="E1790" s="5" t="s">
        <v>491</v>
      </c>
      <c r="F1790" s="5">
        <v>57800941</v>
      </c>
      <c r="G1790" s="5" t="s">
        <v>1024</v>
      </c>
      <c r="H1790" s="7">
        <v>45918</v>
      </c>
      <c r="I1790" s="7">
        <v>45919</v>
      </c>
      <c r="J1790" s="8">
        <v>150</v>
      </c>
      <c r="K1790" s="7">
        <v>45932</v>
      </c>
      <c r="L1790" s="5"/>
    </row>
    <row r="1791" spans="1:13" x14ac:dyDescent="0.3">
      <c r="A1791" s="5">
        <v>1809</v>
      </c>
      <c r="B1791" s="5" t="s">
        <v>3719</v>
      </c>
      <c r="C1791" s="5" t="s">
        <v>3720</v>
      </c>
      <c r="D1791" s="5" t="s">
        <v>3721</v>
      </c>
      <c r="E1791" s="5" t="s">
        <v>3721</v>
      </c>
      <c r="F1791" s="5">
        <v>58002189</v>
      </c>
      <c r="G1791" s="5" t="s">
        <v>1024</v>
      </c>
      <c r="H1791" s="7">
        <v>45918</v>
      </c>
      <c r="I1791" s="7">
        <v>45919</v>
      </c>
      <c r="J1791" s="8">
        <v>150</v>
      </c>
      <c r="K1791" s="7">
        <v>45932</v>
      </c>
      <c r="L1791" s="5"/>
    </row>
    <row r="1792" spans="1:13" x14ac:dyDescent="0.3">
      <c r="A1792" s="5">
        <v>1810</v>
      </c>
      <c r="B1792" s="5" t="s">
        <v>3722</v>
      </c>
      <c r="C1792" s="5" t="s">
        <v>3723</v>
      </c>
      <c r="D1792" s="5" t="s">
        <v>226</v>
      </c>
      <c r="E1792" s="5" t="s">
        <v>226</v>
      </c>
      <c r="F1792" s="5">
        <v>58027613</v>
      </c>
      <c r="G1792" s="5" t="s">
        <v>1024</v>
      </c>
      <c r="H1792" s="7">
        <v>45918</v>
      </c>
      <c r="I1792" s="7">
        <v>45919</v>
      </c>
      <c r="J1792" s="8">
        <v>150</v>
      </c>
      <c r="K1792" s="7">
        <v>45932</v>
      </c>
      <c r="L1792" s="5"/>
    </row>
    <row r="1793" spans="1:12" x14ac:dyDescent="0.3">
      <c r="A1793" s="5">
        <v>1811</v>
      </c>
      <c r="B1793" s="5" t="s">
        <v>3724</v>
      </c>
      <c r="C1793" s="5" t="s">
        <v>3725</v>
      </c>
      <c r="D1793" s="5" t="s">
        <v>49</v>
      </c>
      <c r="E1793" s="5" t="s">
        <v>49</v>
      </c>
      <c r="F1793" s="5">
        <v>58450139</v>
      </c>
      <c r="G1793" s="5" t="s">
        <v>1024</v>
      </c>
      <c r="H1793" s="7">
        <v>45918</v>
      </c>
      <c r="I1793" s="7">
        <v>45919</v>
      </c>
      <c r="J1793" s="8">
        <v>150</v>
      </c>
      <c r="K1793" s="7">
        <v>45932</v>
      </c>
      <c r="L1793" s="5">
        <v>3100</v>
      </c>
    </row>
    <row r="1794" spans="1:12" x14ac:dyDescent="0.3">
      <c r="A1794" s="5">
        <v>1812</v>
      </c>
      <c r="B1794" s="5" t="s">
        <v>3715</v>
      </c>
      <c r="C1794" s="5" t="s">
        <v>3716</v>
      </c>
      <c r="D1794" s="5" t="s">
        <v>101</v>
      </c>
      <c r="E1794" s="5" t="s">
        <v>101</v>
      </c>
      <c r="F1794" s="5">
        <v>57911490</v>
      </c>
      <c r="G1794" s="5" t="s">
        <v>1024</v>
      </c>
      <c r="H1794" s="7">
        <v>45918</v>
      </c>
      <c r="I1794" s="7">
        <v>45919</v>
      </c>
      <c r="J1794" s="8">
        <v>150</v>
      </c>
      <c r="K1794" s="7">
        <v>45932</v>
      </c>
      <c r="L1794" s="5"/>
    </row>
    <row r="1795" spans="1:12" x14ac:dyDescent="0.3">
      <c r="A1795" s="5">
        <v>1813</v>
      </c>
      <c r="B1795" s="5" t="s">
        <v>511</v>
      </c>
      <c r="C1795" s="5" t="s">
        <v>3726</v>
      </c>
      <c r="D1795" s="5" t="s">
        <v>3727</v>
      </c>
      <c r="E1795" s="5" t="s">
        <v>3727</v>
      </c>
      <c r="F1795" s="5">
        <v>57967785</v>
      </c>
      <c r="G1795" s="5" t="s">
        <v>1024</v>
      </c>
      <c r="H1795" s="7">
        <v>45922</v>
      </c>
      <c r="I1795" s="7">
        <v>45923</v>
      </c>
      <c r="J1795" s="8">
        <v>150</v>
      </c>
      <c r="K1795" s="7">
        <v>45932</v>
      </c>
      <c r="L1795" s="5"/>
    </row>
    <row r="1796" spans="1:12" x14ac:dyDescent="0.3">
      <c r="A1796" s="5">
        <v>1814</v>
      </c>
      <c r="B1796" s="5" t="s">
        <v>3728</v>
      </c>
      <c r="C1796" s="5" t="s">
        <v>3729</v>
      </c>
      <c r="D1796" s="5" t="s">
        <v>49</v>
      </c>
      <c r="E1796" s="5" t="s">
        <v>49</v>
      </c>
      <c r="F1796" s="5">
        <v>57647185</v>
      </c>
      <c r="G1796" s="5" t="s">
        <v>1024</v>
      </c>
      <c r="H1796" s="7">
        <v>45922</v>
      </c>
      <c r="I1796" s="7">
        <v>45923</v>
      </c>
      <c r="J1796" s="8">
        <v>150</v>
      </c>
      <c r="K1796" s="7">
        <v>45932</v>
      </c>
      <c r="L1796" s="5">
        <v>5850</v>
      </c>
    </row>
    <row r="1797" spans="1:12" x14ac:dyDescent="0.3">
      <c r="A1797" s="5">
        <v>1815</v>
      </c>
      <c r="B1797" s="5" t="s">
        <v>3730</v>
      </c>
      <c r="C1797" s="5" t="s">
        <v>3731</v>
      </c>
      <c r="D1797" s="5" t="s">
        <v>3732</v>
      </c>
      <c r="E1797" s="5" t="s">
        <v>3732</v>
      </c>
      <c r="F1797" s="5">
        <v>58002416</v>
      </c>
      <c r="G1797" s="5" t="s">
        <v>1024</v>
      </c>
      <c r="H1797" s="7">
        <v>45922</v>
      </c>
      <c r="I1797" s="7">
        <v>45923</v>
      </c>
      <c r="J1797" s="8">
        <v>150</v>
      </c>
      <c r="K1797" s="7">
        <v>45932</v>
      </c>
      <c r="L1797" s="5"/>
    </row>
    <row r="1798" spans="1:12" x14ac:dyDescent="0.3">
      <c r="A1798" s="5">
        <v>1816</v>
      </c>
      <c r="B1798" s="5" t="s">
        <v>3733</v>
      </c>
      <c r="C1798" s="5" t="s">
        <v>3734</v>
      </c>
      <c r="D1798" s="5" t="s">
        <v>3735</v>
      </c>
      <c r="E1798" s="5" t="s">
        <v>3735</v>
      </c>
      <c r="F1798" s="5">
        <v>57113611</v>
      </c>
      <c r="G1798" s="5" t="s">
        <v>1024</v>
      </c>
      <c r="H1798" s="7">
        <v>45922</v>
      </c>
      <c r="I1798" s="7">
        <v>45923</v>
      </c>
      <c r="J1798" s="8">
        <v>150</v>
      </c>
      <c r="K1798" s="7">
        <v>45932</v>
      </c>
      <c r="L1798" s="5"/>
    </row>
    <row r="1799" spans="1:12" x14ac:dyDescent="0.3">
      <c r="A1799" s="5">
        <v>1817</v>
      </c>
      <c r="B1799" s="5" t="s">
        <v>967</v>
      </c>
      <c r="C1799" s="5" t="s">
        <v>3736</v>
      </c>
      <c r="D1799" s="5" t="s">
        <v>344</v>
      </c>
      <c r="E1799" s="5" t="s">
        <v>344</v>
      </c>
      <c r="F1799" s="5">
        <v>57170672</v>
      </c>
      <c r="G1799" s="5" t="s">
        <v>1024</v>
      </c>
      <c r="H1799" s="7">
        <v>45922</v>
      </c>
      <c r="I1799" s="7">
        <v>45923</v>
      </c>
      <c r="J1799" s="8">
        <v>150</v>
      </c>
      <c r="K1799" s="7">
        <v>45932</v>
      </c>
      <c r="L1799" s="5"/>
    </row>
    <row r="1800" spans="1:12" x14ac:dyDescent="0.3">
      <c r="A1800" s="5">
        <v>1818</v>
      </c>
      <c r="B1800" s="5" t="s">
        <v>3561</v>
      </c>
      <c r="C1800" s="5" t="s">
        <v>3737</v>
      </c>
      <c r="D1800" s="5" t="s">
        <v>1076</v>
      </c>
      <c r="E1800" s="5" t="s">
        <v>1076</v>
      </c>
      <c r="F1800" s="5">
        <v>58365081</v>
      </c>
      <c r="G1800" s="5" t="s">
        <v>1024</v>
      </c>
      <c r="H1800" s="7">
        <v>45922</v>
      </c>
      <c r="I1800" s="7">
        <v>45923</v>
      </c>
      <c r="J1800" s="8">
        <v>150</v>
      </c>
      <c r="K1800" s="7">
        <v>45932</v>
      </c>
      <c r="L1800" s="5">
        <v>1800</v>
      </c>
    </row>
    <row r="1801" spans="1:12" x14ac:dyDescent="0.3">
      <c r="A1801" s="5">
        <v>1819</v>
      </c>
      <c r="B1801" s="5" t="s">
        <v>3738</v>
      </c>
      <c r="C1801" s="5" t="s">
        <v>3739</v>
      </c>
      <c r="D1801" s="5" t="s">
        <v>23</v>
      </c>
      <c r="E1801" s="5" t="s">
        <v>23</v>
      </c>
      <c r="F1801" s="5">
        <v>57617894</v>
      </c>
      <c r="G1801" s="5" t="s">
        <v>1024</v>
      </c>
      <c r="H1801" s="7">
        <v>45922</v>
      </c>
      <c r="I1801" s="7">
        <v>45923</v>
      </c>
      <c r="J1801" s="8">
        <v>150</v>
      </c>
      <c r="K1801" s="7">
        <v>45932</v>
      </c>
      <c r="L1801" s="5">
        <v>2170</v>
      </c>
    </row>
    <row r="1802" spans="1:12" x14ac:dyDescent="0.3">
      <c r="A1802" s="5">
        <v>1820</v>
      </c>
      <c r="B1802" s="5" t="s">
        <v>3740</v>
      </c>
      <c r="C1802" s="5" t="s">
        <v>3741</v>
      </c>
      <c r="D1802" s="5" t="s">
        <v>3335</v>
      </c>
      <c r="E1802" s="5" t="s">
        <v>3335</v>
      </c>
      <c r="F1802" s="5">
        <v>57954180</v>
      </c>
      <c r="G1802" s="5" t="s">
        <v>1024</v>
      </c>
      <c r="H1802" s="7">
        <v>45922</v>
      </c>
      <c r="I1802" s="7">
        <v>45923</v>
      </c>
      <c r="J1802" s="8">
        <v>150</v>
      </c>
      <c r="K1802" s="7">
        <v>45932</v>
      </c>
      <c r="L1802" s="5">
        <v>6350</v>
      </c>
    </row>
    <row r="1803" spans="1:12" x14ac:dyDescent="0.3">
      <c r="A1803" s="5">
        <v>1821</v>
      </c>
      <c r="B1803" s="5" t="s">
        <v>3742</v>
      </c>
      <c r="C1803" s="5" t="s">
        <v>3743</v>
      </c>
      <c r="D1803" s="5" t="s">
        <v>569</v>
      </c>
      <c r="E1803" s="5" t="s">
        <v>3003</v>
      </c>
      <c r="F1803" s="5">
        <v>58599922</v>
      </c>
      <c r="G1803" s="5" t="s">
        <v>16</v>
      </c>
      <c r="H1803" s="7">
        <v>45922</v>
      </c>
      <c r="I1803" s="7">
        <v>45923</v>
      </c>
      <c r="J1803" s="8">
        <v>150</v>
      </c>
      <c r="K1803" s="7">
        <v>45932</v>
      </c>
      <c r="L1803" s="5"/>
    </row>
    <row r="1804" spans="1:12" x14ac:dyDescent="0.3">
      <c r="A1804" s="5">
        <v>1822</v>
      </c>
      <c r="B1804" s="5" t="s">
        <v>3744</v>
      </c>
      <c r="C1804" s="5" t="s">
        <v>3761</v>
      </c>
      <c r="D1804" s="5" t="s">
        <v>68</v>
      </c>
      <c r="E1804" s="5" t="s">
        <v>49</v>
      </c>
      <c r="F1804" s="5">
        <v>58194150</v>
      </c>
      <c r="G1804" s="5" t="s">
        <v>16</v>
      </c>
      <c r="H1804" s="7">
        <v>45922</v>
      </c>
      <c r="I1804" s="7">
        <v>45923</v>
      </c>
      <c r="J1804" s="8">
        <v>150</v>
      </c>
      <c r="K1804" s="7">
        <v>45932</v>
      </c>
      <c r="L1804" s="5"/>
    </row>
    <row r="1805" spans="1:12" x14ac:dyDescent="0.3">
      <c r="A1805" s="5">
        <v>1823</v>
      </c>
      <c r="B1805" s="5" t="s">
        <v>678</v>
      </c>
      <c r="C1805" s="5" t="s">
        <v>3762</v>
      </c>
      <c r="D1805" s="5" t="s">
        <v>601</v>
      </c>
      <c r="E1805" s="5" t="s">
        <v>850</v>
      </c>
      <c r="F1805" s="5">
        <v>57551100</v>
      </c>
      <c r="G1805" s="5" t="s">
        <v>16</v>
      </c>
      <c r="H1805" s="7">
        <v>45922</v>
      </c>
      <c r="I1805" s="7">
        <v>45923</v>
      </c>
      <c r="J1805" s="8">
        <v>150</v>
      </c>
      <c r="K1805" s="7">
        <v>45932</v>
      </c>
      <c r="L1805" s="5"/>
    </row>
    <row r="1806" spans="1:12" x14ac:dyDescent="0.3">
      <c r="A1806" s="5">
        <v>1824</v>
      </c>
      <c r="B1806" s="5" t="s">
        <v>3745</v>
      </c>
      <c r="C1806" s="5" t="s">
        <v>3775</v>
      </c>
      <c r="D1806" s="5" t="s">
        <v>49</v>
      </c>
      <c r="E1806" s="5" t="s">
        <v>49</v>
      </c>
      <c r="F1806" s="5">
        <v>58092311</v>
      </c>
      <c r="G1806" s="5" t="s">
        <v>16</v>
      </c>
      <c r="H1806" s="7">
        <v>45922</v>
      </c>
      <c r="I1806" s="7">
        <v>45923</v>
      </c>
      <c r="J1806" s="8">
        <v>150</v>
      </c>
      <c r="K1806" s="7">
        <v>45932</v>
      </c>
      <c r="L1806" s="5"/>
    </row>
    <row r="1807" spans="1:12" x14ac:dyDescent="0.3">
      <c r="A1807" s="5">
        <v>1825</v>
      </c>
      <c r="B1807" s="5" t="s">
        <v>3746</v>
      </c>
      <c r="C1807" s="5" t="s">
        <v>3763</v>
      </c>
      <c r="D1807" s="5" t="s">
        <v>426</v>
      </c>
      <c r="E1807" s="5" t="s">
        <v>1475</v>
      </c>
      <c r="F1807" s="5">
        <v>57470331</v>
      </c>
      <c r="G1807" s="5" t="s">
        <v>16</v>
      </c>
      <c r="H1807" s="7">
        <v>45922</v>
      </c>
      <c r="I1807" s="7">
        <v>45923</v>
      </c>
      <c r="J1807" s="8">
        <v>150</v>
      </c>
      <c r="K1807" s="7">
        <v>45932</v>
      </c>
      <c r="L1807" s="5"/>
    </row>
    <row r="1808" spans="1:12" x14ac:dyDescent="0.3">
      <c r="A1808" s="5">
        <v>1826</v>
      </c>
      <c r="B1808" s="5" t="s">
        <v>3747</v>
      </c>
      <c r="C1808" s="5" t="s">
        <v>3764</v>
      </c>
      <c r="D1808" s="5" t="s">
        <v>68</v>
      </c>
      <c r="E1808" s="5" t="s">
        <v>1262</v>
      </c>
      <c r="F1808" s="5">
        <v>57528612</v>
      </c>
      <c r="G1808" s="5" t="s">
        <v>16</v>
      </c>
      <c r="H1808" s="7">
        <v>45922</v>
      </c>
      <c r="I1808" s="7">
        <v>45923</v>
      </c>
      <c r="J1808" s="8">
        <v>150</v>
      </c>
      <c r="K1808" s="7">
        <v>45932</v>
      </c>
      <c r="L1808" s="5"/>
    </row>
    <row r="1809" spans="1:13" x14ac:dyDescent="0.3">
      <c r="A1809" s="5">
        <v>1827</v>
      </c>
      <c r="B1809" s="5" t="s">
        <v>3700</v>
      </c>
      <c r="C1809" s="5" t="s">
        <v>3774</v>
      </c>
      <c r="D1809" s="5" t="s">
        <v>68</v>
      </c>
      <c r="E1809" s="5" t="s">
        <v>226</v>
      </c>
      <c r="F1809" s="5">
        <v>57583673</v>
      </c>
      <c r="G1809" s="5" t="s">
        <v>16</v>
      </c>
      <c r="H1809" s="7">
        <v>45922</v>
      </c>
      <c r="I1809" s="7">
        <v>45923</v>
      </c>
      <c r="J1809" s="8">
        <v>150</v>
      </c>
      <c r="K1809" s="7">
        <v>45932</v>
      </c>
      <c r="L1809" s="5"/>
    </row>
    <row r="1810" spans="1:13" x14ac:dyDescent="0.3">
      <c r="A1810" s="5">
        <v>1828</v>
      </c>
      <c r="B1810" s="5" t="s">
        <v>448</v>
      </c>
      <c r="C1810" s="5" t="s">
        <v>608</v>
      </c>
      <c r="D1810" s="5" t="s">
        <v>68</v>
      </c>
      <c r="E1810" s="5" t="s">
        <v>69</v>
      </c>
      <c r="F1810" s="5">
        <v>57850366</v>
      </c>
      <c r="G1810" s="5" t="s">
        <v>16</v>
      </c>
      <c r="H1810" s="7">
        <v>45922</v>
      </c>
      <c r="I1810" s="7">
        <v>45923</v>
      </c>
      <c r="J1810" s="8">
        <v>150</v>
      </c>
      <c r="K1810" s="7">
        <v>45932</v>
      </c>
      <c r="L1810" s="5"/>
    </row>
    <row r="1811" spans="1:13" x14ac:dyDescent="0.3">
      <c r="A1811" s="5">
        <v>1829</v>
      </c>
      <c r="B1811" s="5" t="s">
        <v>2176</v>
      </c>
      <c r="C1811" s="5" t="s">
        <v>3765</v>
      </c>
      <c r="D1811" s="5" t="s">
        <v>569</v>
      </c>
      <c r="E1811" s="5" t="s">
        <v>281</v>
      </c>
      <c r="F1811" s="5">
        <v>58286772</v>
      </c>
      <c r="G1811" s="5" t="s">
        <v>16</v>
      </c>
      <c r="H1811" s="7">
        <v>45922</v>
      </c>
      <c r="I1811" s="7">
        <v>45923</v>
      </c>
      <c r="J1811" s="8">
        <v>150</v>
      </c>
      <c r="K1811" s="7">
        <v>45932</v>
      </c>
      <c r="L1811" s="5"/>
    </row>
    <row r="1812" spans="1:13" x14ac:dyDescent="0.3">
      <c r="A1812" s="5">
        <v>1830</v>
      </c>
      <c r="B1812" s="5" t="s">
        <v>2303</v>
      </c>
      <c r="C1812" s="5" t="s">
        <v>157</v>
      </c>
      <c r="D1812" s="5" t="s">
        <v>569</v>
      </c>
      <c r="E1812" s="5" t="s">
        <v>458</v>
      </c>
      <c r="F1812" s="5">
        <v>57529398</v>
      </c>
      <c r="G1812" s="5" t="s">
        <v>16</v>
      </c>
      <c r="H1812" s="7">
        <v>45922</v>
      </c>
      <c r="I1812" s="7">
        <v>45923</v>
      </c>
      <c r="J1812" s="8">
        <v>150</v>
      </c>
      <c r="K1812" s="7">
        <v>45932</v>
      </c>
      <c r="L1812" s="5"/>
    </row>
    <row r="1813" spans="1:13" x14ac:dyDescent="0.3">
      <c r="A1813" s="5">
        <v>1831</v>
      </c>
      <c r="B1813" s="5" t="s">
        <v>3748</v>
      </c>
      <c r="C1813" s="5" t="s">
        <v>3766</v>
      </c>
      <c r="D1813" s="5" t="s">
        <v>137</v>
      </c>
      <c r="E1813" s="5" t="s">
        <v>3749</v>
      </c>
      <c r="F1813" s="5">
        <v>59203402</v>
      </c>
      <c r="G1813" s="5" t="s">
        <v>16</v>
      </c>
      <c r="H1813" s="7">
        <v>45922</v>
      </c>
      <c r="I1813" s="7">
        <v>45923</v>
      </c>
      <c r="J1813" s="8">
        <v>150</v>
      </c>
      <c r="K1813" s="7">
        <v>45932</v>
      </c>
      <c r="L1813" s="5"/>
      <c r="M1813" s="18"/>
    </row>
    <row r="1814" spans="1:13" x14ac:dyDescent="0.3">
      <c r="A1814" s="5">
        <v>1832</v>
      </c>
      <c r="B1814" s="5" t="s">
        <v>3750</v>
      </c>
      <c r="C1814" s="5" t="s">
        <v>3767</v>
      </c>
      <c r="D1814" s="5" t="s">
        <v>569</v>
      </c>
      <c r="E1814" s="5" t="s">
        <v>3385</v>
      </c>
      <c r="F1814" s="5" t="s">
        <v>3751</v>
      </c>
      <c r="G1814" s="5" t="s">
        <v>16</v>
      </c>
      <c r="H1814" s="7">
        <v>45922</v>
      </c>
      <c r="I1814" s="7">
        <v>45923</v>
      </c>
      <c r="J1814" s="8">
        <v>150</v>
      </c>
      <c r="K1814" s="7">
        <v>45932</v>
      </c>
      <c r="L1814" s="5"/>
      <c r="M1814" s="18"/>
    </row>
    <row r="1815" spans="1:13" x14ac:dyDescent="0.3">
      <c r="A1815" s="5">
        <v>1833</v>
      </c>
      <c r="B1815" s="5" t="s">
        <v>3752</v>
      </c>
      <c r="C1815" s="5" t="s">
        <v>3768</v>
      </c>
      <c r="D1815" s="5" t="s">
        <v>601</v>
      </c>
      <c r="E1815" s="5" t="s">
        <v>634</v>
      </c>
      <c r="F1815" s="5">
        <v>59240961</v>
      </c>
      <c r="G1815" s="5" t="s">
        <v>16</v>
      </c>
      <c r="H1815" s="7">
        <v>45922</v>
      </c>
      <c r="I1815" s="7">
        <v>45923</v>
      </c>
      <c r="J1815" s="8">
        <v>150</v>
      </c>
      <c r="K1815" s="7">
        <v>45932</v>
      </c>
      <c r="L1815" s="5"/>
      <c r="M1815" s="18"/>
    </row>
    <row r="1816" spans="1:13" x14ac:dyDescent="0.3">
      <c r="A1816" s="5">
        <v>1834</v>
      </c>
      <c r="B1816" s="5" t="s">
        <v>3753</v>
      </c>
      <c r="C1816" s="5" t="s">
        <v>3769</v>
      </c>
      <c r="D1816" s="5" t="s">
        <v>84</v>
      </c>
      <c r="E1816" s="5" t="s">
        <v>84</v>
      </c>
      <c r="F1816" s="5">
        <v>57615395</v>
      </c>
      <c r="G1816" s="5" t="s">
        <v>16</v>
      </c>
      <c r="H1816" s="7">
        <v>45922</v>
      </c>
      <c r="I1816" s="7">
        <v>45923</v>
      </c>
      <c r="J1816" s="8">
        <v>150</v>
      </c>
      <c r="K1816" s="7">
        <v>45932</v>
      </c>
      <c r="L1816" s="5"/>
      <c r="M1816" s="18"/>
    </row>
    <row r="1817" spans="1:13" x14ac:dyDescent="0.3">
      <c r="A1817" s="5">
        <v>1835</v>
      </c>
      <c r="B1817" s="5" t="s">
        <v>3754</v>
      </c>
      <c r="C1817" s="5" t="s">
        <v>849</v>
      </c>
      <c r="D1817" s="5" t="s">
        <v>601</v>
      </c>
      <c r="E1817" s="5" t="s">
        <v>850</v>
      </c>
      <c r="F1817" s="5">
        <v>57682584</v>
      </c>
      <c r="G1817" s="5" t="s">
        <v>16</v>
      </c>
      <c r="H1817" s="7">
        <v>45922</v>
      </c>
      <c r="I1817" s="7">
        <v>45923</v>
      </c>
      <c r="J1817" s="8">
        <v>150</v>
      </c>
      <c r="K1817" s="7">
        <v>45932</v>
      </c>
      <c r="L1817" s="5"/>
      <c r="M1817" s="18"/>
    </row>
    <row r="1818" spans="1:13" x14ac:dyDescent="0.3">
      <c r="A1818" s="5">
        <v>1836</v>
      </c>
      <c r="B1818" s="5" t="s">
        <v>3755</v>
      </c>
      <c r="C1818" s="5" t="s">
        <v>3770</v>
      </c>
      <c r="D1818" s="5" t="s">
        <v>68</v>
      </c>
      <c r="E1818" s="5" t="s">
        <v>696</v>
      </c>
      <c r="F1818" s="5">
        <v>57212364</v>
      </c>
      <c r="G1818" s="5" t="s">
        <v>16</v>
      </c>
      <c r="H1818" s="7">
        <v>45922</v>
      </c>
      <c r="I1818" s="7">
        <v>45923</v>
      </c>
      <c r="J1818" s="8">
        <v>150</v>
      </c>
      <c r="K1818" s="7">
        <v>45932</v>
      </c>
      <c r="L1818" s="5"/>
      <c r="M1818" s="18"/>
    </row>
    <row r="1819" spans="1:13" x14ac:dyDescent="0.3">
      <c r="A1819" s="5">
        <v>1837</v>
      </c>
      <c r="B1819" s="5" t="s">
        <v>3756</v>
      </c>
      <c r="C1819" s="5" t="s">
        <v>3771</v>
      </c>
      <c r="D1819" s="5" t="s">
        <v>68</v>
      </c>
      <c r="E1819" s="5" t="s">
        <v>49</v>
      </c>
      <c r="F1819" s="5">
        <v>57072879</v>
      </c>
      <c r="G1819" s="5" t="s">
        <v>16</v>
      </c>
      <c r="H1819" s="7">
        <v>45922</v>
      </c>
      <c r="I1819" s="7">
        <v>45923</v>
      </c>
      <c r="J1819" s="8">
        <v>150</v>
      </c>
      <c r="K1819" s="7">
        <v>45932</v>
      </c>
      <c r="L1819" s="5"/>
      <c r="M1819" s="18"/>
    </row>
    <row r="1820" spans="1:13" x14ac:dyDescent="0.3">
      <c r="A1820" s="5">
        <v>1838</v>
      </c>
      <c r="B1820" s="5" t="s">
        <v>233</v>
      </c>
      <c r="C1820" s="5" t="s">
        <v>831</v>
      </c>
      <c r="D1820" s="5" t="s">
        <v>68</v>
      </c>
      <c r="E1820" s="5" t="s">
        <v>226</v>
      </c>
      <c r="F1820" s="5">
        <v>57601772</v>
      </c>
      <c r="G1820" s="5" t="s">
        <v>16</v>
      </c>
      <c r="H1820" s="7">
        <v>45922</v>
      </c>
      <c r="I1820" s="7">
        <v>45923</v>
      </c>
      <c r="J1820" s="8">
        <v>150</v>
      </c>
      <c r="K1820" s="7">
        <v>45932</v>
      </c>
      <c r="L1820" s="5"/>
      <c r="M1820" s="18"/>
    </row>
    <row r="1821" spans="1:13" x14ac:dyDescent="0.3">
      <c r="A1821" s="5">
        <v>1839</v>
      </c>
      <c r="B1821" s="5" t="s">
        <v>424</v>
      </c>
      <c r="C1821" s="5" t="s">
        <v>3772</v>
      </c>
      <c r="D1821" s="5" t="s">
        <v>426</v>
      </c>
      <c r="E1821" s="5" t="s">
        <v>19</v>
      </c>
      <c r="F1821" s="5">
        <v>58290737</v>
      </c>
      <c r="G1821" s="5" t="s">
        <v>16</v>
      </c>
      <c r="H1821" s="7">
        <v>45922</v>
      </c>
      <c r="I1821" s="7">
        <v>45923</v>
      </c>
      <c r="J1821" s="8">
        <v>150</v>
      </c>
      <c r="K1821" s="7">
        <v>45932</v>
      </c>
      <c r="L1821" s="5"/>
      <c r="M1821" s="18"/>
    </row>
    <row r="1822" spans="1:13" x14ac:dyDescent="0.3">
      <c r="A1822" s="5">
        <v>1840</v>
      </c>
      <c r="B1822" s="5" t="s">
        <v>3757</v>
      </c>
      <c r="C1822" s="5" t="s">
        <v>3758</v>
      </c>
      <c r="D1822" s="5" t="s">
        <v>41</v>
      </c>
      <c r="E1822" s="5" t="s">
        <v>41</v>
      </c>
      <c r="F1822" s="5">
        <v>57628948</v>
      </c>
      <c r="G1822" s="5" t="s">
        <v>16</v>
      </c>
      <c r="H1822" s="7">
        <v>45922</v>
      </c>
      <c r="I1822" s="7">
        <v>45923</v>
      </c>
      <c r="J1822" s="8">
        <v>150</v>
      </c>
      <c r="K1822" s="7">
        <v>45932</v>
      </c>
      <c r="L1822" s="5"/>
      <c r="M1822" s="18"/>
    </row>
    <row r="1823" spans="1:13" x14ac:dyDescent="0.3">
      <c r="A1823" s="5">
        <v>1841</v>
      </c>
      <c r="B1823" s="5" t="s">
        <v>3759</v>
      </c>
      <c r="C1823" s="5" t="s">
        <v>3773</v>
      </c>
      <c r="D1823" s="5" t="s">
        <v>68</v>
      </c>
      <c r="E1823" s="5" t="s">
        <v>74</v>
      </c>
      <c r="F1823" s="5">
        <v>59263996</v>
      </c>
      <c r="G1823" s="5" t="s">
        <v>16</v>
      </c>
      <c r="H1823" s="7">
        <v>45922</v>
      </c>
      <c r="I1823" s="7">
        <v>45923</v>
      </c>
      <c r="J1823" s="8">
        <v>150</v>
      </c>
      <c r="K1823" s="7">
        <v>45932</v>
      </c>
      <c r="L1823" s="5"/>
      <c r="M1823" s="18"/>
    </row>
    <row r="1824" spans="1:13" x14ac:dyDescent="0.3">
      <c r="A1824" s="5">
        <v>1842</v>
      </c>
      <c r="B1824" s="5" t="s">
        <v>3760</v>
      </c>
      <c r="C1824" s="5" t="s">
        <v>3776</v>
      </c>
      <c r="D1824" s="5" t="s">
        <v>569</v>
      </c>
      <c r="E1824" s="5" t="s">
        <v>31</v>
      </c>
      <c r="F1824" s="5">
        <v>59275269</v>
      </c>
      <c r="G1824" s="5" t="s">
        <v>16</v>
      </c>
      <c r="H1824" s="7">
        <v>45922</v>
      </c>
      <c r="I1824" s="7">
        <v>45923</v>
      </c>
      <c r="J1824" s="8">
        <v>150</v>
      </c>
      <c r="K1824" s="7">
        <v>45932</v>
      </c>
      <c r="L1824" s="5"/>
      <c r="M1824" s="18"/>
    </row>
    <row r="1825" spans="1:13" x14ac:dyDescent="0.3">
      <c r="A1825" s="5">
        <v>1843</v>
      </c>
      <c r="B1825" s="5" t="s">
        <v>3777</v>
      </c>
      <c r="C1825" s="5" t="s">
        <v>3778</v>
      </c>
      <c r="D1825" s="5" t="s">
        <v>69</v>
      </c>
      <c r="E1825" s="5" t="s">
        <v>69</v>
      </c>
      <c r="F1825" s="5">
        <v>57584754</v>
      </c>
      <c r="G1825" s="5" t="s">
        <v>1024</v>
      </c>
      <c r="H1825" s="7">
        <v>45922</v>
      </c>
      <c r="I1825" s="7">
        <v>45923</v>
      </c>
      <c r="J1825" s="8">
        <v>150</v>
      </c>
      <c r="K1825" s="7">
        <v>45932</v>
      </c>
      <c r="L1825" s="5">
        <v>1700</v>
      </c>
      <c r="M1825" s="18"/>
    </row>
    <row r="1826" spans="1:13" x14ac:dyDescent="0.3">
      <c r="A1826" s="5">
        <v>1844</v>
      </c>
      <c r="B1826" s="5" t="s">
        <v>1761</v>
      </c>
      <c r="C1826" s="5" t="s">
        <v>3779</v>
      </c>
      <c r="D1826" s="5" t="s">
        <v>68</v>
      </c>
      <c r="E1826" s="5" t="s">
        <v>226</v>
      </c>
      <c r="F1826" s="5" t="s">
        <v>1763</v>
      </c>
      <c r="G1826" s="5" t="s">
        <v>16</v>
      </c>
      <c r="H1826" s="7">
        <v>45925</v>
      </c>
      <c r="I1826" s="7">
        <v>45926</v>
      </c>
      <c r="J1826" s="8">
        <v>150</v>
      </c>
      <c r="K1826" s="7">
        <v>45932</v>
      </c>
      <c r="L1826" s="5"/>
      <c r="M1826" s="18"/>
    </row>
    <row r="1827" spans="1:13" x14ac:dyDescent="0.3">
      <c r="A1827" s="5">
        <v>1845</v>
      </c>
      <c r="B1827" s="5" t="s">
        <v>3780</v>
      </c>
      <c r="C1827" s="5" t="s">
        <v>3846</v>
      </c>
      <c r="D1827" s="5" t="s">
        <v>475</v>
      </c>
      <c r="E1827" s="5" t="s">
        <v>3781</v>
      </c>
      <c r="F1827" s="5">
        <v>58195630</v>
      </c>
      <c r="G1827" s="5" t="s">
        <v>16</v>
      </c>
      <c r="H1827" s="7">
        <v>45925</v>
      </c>
      <c r="I1827" s="7">
        <v>45926</v>
      </c>
      <c r="J1827" s="8">
        <v>150</v>
      </c>
      <c r="K1827" s="7">
        <v>45932</v>
      </c>
      <c r="L1827" s="5"/>
      <c r="M1827" s="18"/>
    </row>
    <row r="1828" spans="1:13" x14ac:dyDescent="0.3">
      <c r="A1828" s="5">
        <v>1846</v>
      </c>
      <c r="B1828" s="5" t="s">
        <v>3783</v>
      </c>
      <c r="C1828" s="5" t="s">
        <v>3784</v>
      </c>
      <c r="D1828" s="5" t="s">
        <v>903</v>
      </c>
      <c r="E1828" s="5" t="s">
        <v>3441</v>
      </c>
      <c r="F1828" s="5">
        <v>57680284</v>
      </c>
      <c r="G1828" s="5" t="s">
        <v>16</v>
      </c>
      <c r="H1828" s="7">
        <v>45925</v>
      </c>
      <c r="I1828" s="7">
        <v>45926</v>
      </c>
      <c r="J1828" s="8">
        <v>150</v>
      </c>
      <c r="K1828" s="7">
        <v>45932</v>
      </c>
      <c r="L1828" s="5"/>
      <c r="M1828" s="18"/>
    </row>
    <row r="1829" spans="1:13" x14ac:dyDescent="0.3">
      <c r="A1829" s="5">
        <v>1847</v>
      </c>
      <c r="B1829" s="5" t="s">
        <v>2798</v>
      </c>
      <c r="C1829" s="5" t="s">
        <v>3785</v>
      </c>
      <c r="D1829" s="5" t="s">
        <v>68</v>
      </c>
      <c r="E1829" s="5" t="s">
        <v>63</v>
      </c>
      <c r="F1829" s="5">
        <v>59453635</v>
      </c>
      <c r="G1829" s="5" t="s">
        <v>16</v>
      </c>
      <c r="H1829" s="7">
        <v>45925</v>
      </c>
      <c r="I1829" s="7">
        <v>45926</v>
      </c>
      <c r="J1829" s="8">
        <v>150</v>
      </c>
      <c r="K1829" s="7">
        <v>45932</v>
      </c>
      <c r="L1829" s="5"/>
      <c r="M1829" s="18"/>
    </row>
    <row r="1830" spans="1:13" x14ac:dyDescent="0.3">
      <c r="A1830" s="5">
        <v>1848</v>
      </c>
      <c r="B1830" s="5" t="s">
        <v>3786</v>
      </c>
      <c r="C1830" s="5" t="s">
        <v>3787</v>
      </c>
      <c r="D1830" s="5" t="s">
        <v>569</v>
      </c>
      <c r="E1830" s="5" t="s">
        <v>804</v>
      </c>
      <c r="F1830" s="5">
        <v>58393865</v>
      </c>
      <c r="G1830" s="5" t="s">
        <v>16</v>
      </c>
      <c r="H1830" s="7">
        <v>45925</v>
      </c>
      <c r="I1830" s="7">
        <v>45926</v>
      </c>
      <c r="J1830" s="8">
        <v>150</v>
      </c>
      <c r="K1830" s="7">
        <v>45932</v>
      </c>
      <c r="L1830" s="5"/>
      <c r="M1830" s="18"/>
    </row>
    <row r="1831" spans="1:13" x14ac:dyDescent="0.3">
      <c r="A1831" s="5">
        <v>1849</v>
      </c>
      <c r="B1831" s="5" t="s">
        <v>3788</v>
      </c>
      <c r="C1831" s="5" t="s">
        <v>3789</v>
      </c>
      <c r="D1831" s="5" t="s">
        <v>426</v>
      </c>
      <c r="E1831" s="5" t="s">
        <v>594</v>
      </c>
      <c r="F1831" s="5">
        <v>57095329</v>
      </c>
      <c r="G1831" s="5" t="s">
        <v>16</v>
      </c>
      <c r="H1831" s="7">
        <v>45925</v>
      </c>
      <c r="I1831" s="7">
        <v>45926</v>
      </c>
      <c r="J1831" s="8">
        <v>150</v>
      </c>
      <c r="K1831" s="7">
        <v>45932</v>
      </c>
      <c r="L1831" s="5"/>
      <c r="M1831" s="18"/>
    </row>
    <row r="1832" spans="1:13" x14ac:dyDescent="0.3">
      <c r="A1832" s="5">
        <v>1850</v>
      </c>
      <c r="B1832" s="5" t="s">
        <v>2383</v>
      </c>
      <c r="C1832" s="5" t="s">
        <v>1099</v>
      </c>
      <c r="D1832" s="5" t="s">
        <v>569</v>
      </c>
      <c r="E1832" s="5" t="s">
        <v>291</v>
      </c>
      <c r="F1832" s="5">
        <v>59028343</v>
      </c>
      <c r="G1832" s="5" t="s">
        <v>16</v>
      </c>
      <c r="H1832" s="7">
        <v>45925</v>
      </c>
      <c r="I1832" s="7">
        <v>45926</v>
      </c>
      <c r="J1832" s="8">
        <v>150</v>
      </c>
      <c r="K1832" s="7">
        <v>45932</v>
      </c>
      <c r="L1832" s="5"/>
      <c r="M1832" s="18"/>
    </row>
    <row r="1833" spans="1:13" x14ac:dyDescent="0.3">
      <c r="A1833" s="5">
        <v>1851</v>
      </c>
      <c r="B1833" s="5" t="s">
        <v>3790</v>
      </c>
      <c r="C1833" s="5" t="s">
        <v>3791</v>
      </c>
      <c r="D1833" s="5" t="s">
        <v>68</v>
      </c>
      <c r="E1833" s="5" t="s">
        <v>696</v>
      </c>
      <c r="F1833" s="5">
        <v>59067571</v>
      </c>
      <c r="G1833" s="5" t="s">
        <v>16</v>
      </c>
      <c r="H1833" s="7">
        <v>45925</v>
      </c>
      <c r="I1833" s="7">
        <v>45926</v>
      </c>
      <c r="J1833" s="8">
        <v>150</v>
      </c>
      <c r="K1833" s="7">
        <v>45932</v>
      </c>
      <c r="L1833" s="5"/>
      <c r="M1833" s="18"/>
    </row>
    <row r="1834" spans="1:13" x14ac:dyDescent="0.3">
      <c r="A1834" s="5">
        <v>1852</v>
      </c>
      <c r="B1834" s="5" t="s">
        <v>3792</v>
      </c>
      <c r="C1834" s="5" t="s">
        <v>3407</v>
      </c>
      <c r="D1834" s="5" t="s">
        <v>137</v>
      </c>
      <c r="E1834" s="5" t="s">
        <v>3407</v>
      </c>
      <c r="F1834" s="5">
        <v>59099227</v>
      </c>
      <c r="G1834" s="5" t="s">
        <v>16</v>
      </c>
      <c r="H1834" s="7">
        <v>45925</v>
      </c>
      <c r="I1834" s="7">
        <v>45926</v>
      </c>
      <c r="J1834" s="8">
        <v>150</v>
      </c>
      <c r="K1834" s="7">
        <v>45932</v>
      </c>
      <c r="L1834" s="5"/>
      <c r="M1834" s="18"/>
    </row>
    <row r="1835" spans="1:13" x14ac:dyDescent="0.3">
      <c r="A1835" s="5">
        <v>1853</v>
      </c>
      <c r="B1835" s="5" t="s">
        <v>3793</v>
      </c>
      <c r="C1835" s="5" t="s">
        <v>3794</v>
      </c>
      <c r="D1835" s="5" t="s">
        <v>68</v>
      </c>
      <c r="E1835" s="5" t="s">
        <v>226</v>
      </c>
      <c r="F1835" s="5">
        <v>57336274</v>
      </c>
      <c r="G1835" s="5" t="s">
        <v>16</v>
      </c>
      <c r="H1835" s="7">
        <v>45925</v>
      </c>
      <c r="I1835" s="7">
        <v>45926</v>
      </c>
      <c r="J1835" s="8">
        <v>150</v>
      </c>
      <c r="K1835" s="7">
        <v>45932</v>
      </c>
      <c r="L1835" s="5"/>
      <c r="M1835" s="18"/>
    </row>
    <row r="1836" spans="1:13" x14ac:dyDescent="0.3">
      <c r="A1836" s="5">
        <v>1854</v>
      </c>
      <c r="B1836" s="5" t="s">
        <v>3795</v>
      </c>
      <c r="C1836" s="5" t="s">
        <v>3796</v>
      </c>
      <c r="D1836" s="5" t="s">
        <v>601</v>
      </c>
      <c r="E1836" s="5" t="s">
        <v>850</v>
      </c>
      <c r="F1836" s="5">
        <v>57937009</v>
      </c>
      <c r="G1836" s="5" t="s">
        <v>16</v>
      </c>
      <c r="H1836" s="7">
        <v>45925</v>
      </c>
      <c r="I1836" s="7">
        <v>45926</v>
      </c>
      <c r="J1836" s="8">
        <v>150</v>
      </c>
      <c r="K1836" s="7">
        <v>45932</v>
      </c>
      <c r="L1836" s="5"/>
    </row>
    <row r="1837" spans="1:13" x14ac:dyDescent="0.3">
      <c r="A1837" s="5">
        <v>1855</v>
      </c>
      <c r="B1837" s="5" t="s">
        <v>3797</v>
      </c>
      <c r="C1837" s="5" t="s">
        <v>3798</v>
      </c>
      <c r="D1837" s="5" t="s">
        <v>137</v>
      </c>
      <c r="E1837" s="5" t="s">
        <v>77</v>
      </c>
      <c r="F1837" s="5">
        <v>57684799</v>
      </c>
      <c r="G1837" s="5" t="s">
        <v>16</v>
      </c>
      <c r="H1837" s="7">
        <v>45925</v>
      </c>
      <c r="I1837" s="7">
        <v>45926</v>
      </c>
      <c r="J1837" s="8">
        <v>150</v>
      </c>
      <c r="K1837" s="7">
        <v>45932</v>
      </c>
      <c r="L1837" s="5"/>
    </row>
    <row r="1838" spans="1:13" x14ac:dyDescent="0.3">
      <c r="A1838" s="5">
        <v>1856</v>
      </c>
      <c r="B1838" s="5" t="s">
        <v>3799</v>
      </c>
      <c r="C1838" s="5" t="s">
        <v>3800</v>
      </c>
      <c r="D1838" s="5" t="s">
        <v>137</v>
      </c>
      <c r="E1838" s="5" t="s">
        <v>3801</v>
      </c>
      <c r="F1838" s="5">
        <v>59131851</v>
      </c>
      <c r="G1838" s="5" t="s">
        <v>16</v>
      </c>
      <c r="H1838" s="7">
        <v>45925</v>
      </c>
      <c r="I1838" s="7">
        <v>45926</v>
      </c>
      <c r="J1838" s="8">
        <v>150</v>
      </c>
      <c r="K1838" s="7">
        <v>45932</v>
      </c>
      <c r="L1838" s="5"/>
    </row>
    <row r="1839" spans="1:13" x14ac:dyDescent="0.3">
      <c r="A1839" s="5">
        <v>1857</v>
      </c>
      <c r="B1839" s="5" t="s">
        <v>3802</v>
      </c>
      <c r="C1839" s="5" t="s">
        <v>1855</v>
      </c>
      <c r="D1839" s="5" t="s">
        <v>137</v>
      </c>
      <c r="E1839" s="5" t="s">
        <v>1855</v>
      </c>
      <c r="F1839" s="5">
        <v>57697900</v>
      </c>
      <c r="G1839" s="5" t="s">
        <v>16</v>
      </c>
      <c r="H1839" s="7">
        <v>45925</v>
      </c>
      <c r="I1839" s="7">
        <v>45926</v>
      </c>
      <c r="J1839" s="8">
        <v>150</v>
      </c>
      <c r="K1839" s="7">
        <v>45932</v>
      </c>
      <c r="L1839" s="5"/>
    </row>
    <row r="1840" spans="1:13" x14ac:dyDescent="0.3">
      <c r="A1840" s="5">
        <v>1858</v>
      </c>
      <c r="B1840" s="5" t="s">
        <v>1171</v>
      </c>
      <c r="C1840" s="5" t="s">
        <v>1172</v>
      </c>
      <c r="D1840" s="5" t="s">
        <v>68</v>
      </c>
      <c r="E1840" s="5" t="s">
        <v>49</v>
      </c>
      <c r="F1840" s="5">
        <v>57805076</v>
      </c>
      <c r="G1840" s="5" t="s">
        <v>16</v>
      </c>
      <c r="H1840" s="7">
        <v>45925</v>
      </c>
      <c r="I1840" s="7">
        <v>45926</v>
      </c>
      <c r="J1840" s="8">
        <v>150</v>
      </c>
      <c r="K1840" s="7">
        <v>45932</v>
      </c>
      <c r="L1840" s="5"/>
    </row>
    <row r="1841" spans="1:13" x14ac:dyDescent="0.3">
      <c r="A1841" s="5">
        <v>1859</v>
      </c>
      <c r="B1841" s="5" t="s">
        <v>3803</v>
      </c>
      <c r="C1841" s="5" t="s">
        <v>3804</v>
      </c>
      <c r="D1841" s="5" t="s">
        <v>137</v>
      </c>
      <c r="E1841" s="5" t="s">
        <v>3749</v>
      </c>
      <c r="F1841" s="5">
        <v>52587942</v>
      </c>
      <c r="G1841" s="5" t="s">
        <v>16</v>
      </c>
      <c r="H1841" s="7">
        <v>45925</v>
      </c>
      <c r="I1841" s="7">
        <v>45926</v>
      </c>
      <c r="J1841" s="8">
        <v>150</v>
      </c>
      <c r="K1841" s="7">
        <v>45932</v>
      </c>
      <c r="L1841" s="5"/>
    </row>
    <row r="1842" spans="1:13" x14ac:dyDescent="0.3">
      <c r="A1842" s="5">
        <v>1860</v>
      </c>
      <c r="B1842" s="5" t="s">
        <v>3805</v>
      </c>
      <c r="C1842" s="5" t="s">
        <v>3806</v>
      </c>
      <c r="D1842" s="5" t="s">
        <v>41</v>
      </c>
      <c r="E1842" s="5" t="s">
        <v>3807</v>
      </c>
      <c r="F1842" s="5">
        <v>59116289</v>
      </c>
      <c r="G1842" s="5" t="s">
        <v>16</v>
      </c>
      <c r="H1842" s="7">
        <v>45925</v>
      </c>
      <c r="I1842" s="7">
        <v>45926</v>
      </c>
      <c r="J1842" s="8">
        <v>150</v>
      </c>
      <c r="K1842" s="7">
        <v>45932</v>
      </c>
      <c r="L1842" s="5"/>
    </row>
    <row r="1843" spans="1:13" x14ac:dyDescent="0.3">
      <c r="A1843" s="5">
        <v>1861</v>
      </c>
      <c r="B1843" s="5" t="s">
        <v>3808</v>
      </c>
      <c r="C1843" s="5" t="s">
        <v>3011</v>
      </c>
      <c r="D1843" s="5" t="s">
        <v>569</v>
      </c>
      <c r="E1843" s="5" t="s">
        <v>368</v>
      </c>
      <c r="F1843" s="5">
        <v>57752992</v>
      </c>
      <c r="G1843" s="5" t="s">
        <v>16</v>
      </c>
      <c r="H1843" s="7">
        <v>45925</v>
      </c>
      <c r="I1843" s="7">
        <v>45926</v>
      </c>
      <c r="J1843" s="8">
        <v>150</v>
      </c>
      <c r="K1843" s="7">
        <v>45932</v>
      </c>
      <c r="L1843" s="5"/>
    </row>
    <row r="1844" spans="1:13" x14ac:dyDescent="0.3">
      <c r="A1844" s="5">
        <v>1862</v>
      </c>
      <c r="B1844" s="5" t="s">
        <v>3809</v>
      </c>
      <c r="C1844" s="5" t="s">
        <v>3810</v>
      </c>
      <c r="D1844" s="5" t="s">
        <v>137</v>
      </c>
      <c r="E1844" s="5" t="s">
        <v>501</v>
      </c>
      <c r="F1844" s="5">
        <v>57072722</v>
      </c>
      <c r="G1844" s="5" t="s">
        <v>3617</v>
      </c>
      <c r="H1844" s="7">
        <v>45926</v>
      </c>
      <c r="I1844" s="7">
        <v>45926</v>
      </c>
      <c r="J1844" s="8">
        <v>150</v>
      </c>
      <c r="K1844" s="7">
        <v>45932</v>
      </c>
      <c r="L1844" s="5"/>
    </row>
    <row r="1845" spans="1:13" x14ac:dyDescent="0.3">
      <c r="A1845" s="5">
        <v>1863</v>
      </c>
      <c r="B1845" s="5" t="s">
        <v>3811</v>
      </c>
      <c r="C1845" s="5" t="s">
        <v>3812</v>
      </c>
      <c r="D1845" s="5" t="s">
        <v>601</v>
      </c>
      <c r="E1845" s="5" t="s">
        <v>850</v>
      </c>
      <c r="F1845" s="5">
        <v>57652962</v>
      </c>
      <c r="G1845" s="5" t="s">
        <v>3617</v>
      </c>
      <c r="H1845" s="7">
        <v>45926</v>
      </c>
      <c r="I1845" s="11">
        <v>45926</v>
      </c>
      <c r="J1845" s="8">
        <v>150</v>
      </c>
      <c r="K1845" s="7">
        <v>45932</v>
      </c>
      <c r="L1845" s="5"/>
      <c r="M1845" s="5"/>
    </row>
    <row r="1846" spans="1:13" x14ac:dyDescent="0.3">
      <c r="A1846" s="5">
        <v>1864</v>
      </c>
      <c r="B1846" s="5" t="s">
        <v>3813</v>
      </c>
      <c r="C1846" s="5" t="s">
        <v>3814</v>
      </c>
      <c r="D1846" s="5" t="s">
        <v>426</v>
      </c>
      <c r="E1846" s="5" t="s">
        <v>3815</v>
      </c>
      <c r="F1846" s="5">
        <v>57876866</v>
      </c>
      <c r="G1846" s="5" t="s">
        <v>3617</v>
      </c>
      <c r="H1846" s="7">
        <v>45926</v>
      </c>
      <c r="I1846" s="11">
        <v>45926</v>
      </c>
      <c r="J1846" s="8">
        <v>150</v>
      </c>
      <c r="K1846" s="7">
        <v>45932</v>
      </c>
      <c r="L1846" s="5"/>
      <c r="M1846" s="5" t="s">
        <v>3782</v>
      </c>
    </row>
    <row r="1847" spans="1:13" x14ac:dyDescent="0.3">
      <c r="A1847" s="5">
        <v>1865</v>
      </c>
      <c r="B1847" s="5" t="s">
        <v>3816</v>
      </c>
      <c r="C1847" s="5" t="s">
        <v>3817</v>
      </c>
      <c r="D1847" s="5" t="s">
        <v>68</v>
      </c>
      <c r="E1847" s="5" t="s">
        <v>63</v>
      </c>
      <c r="F1847" s="5" t="s">
        <v>3818</v>
      </c>
      <c r="G1847" s="5" t="s">
        <v>3617</v>
      </c>
      <c r="H1847" s="7">
        <v>45926</v>
      </c>
      <c r="I1847" s="11">
        <v>45926</v>
      </c>
      <c r="J1847" s="8">
        <v>150</v>
      </c>
      <c r="K1847" s="7">
        <v>45932</v>
      </c>
      <c r="L1847" s="5"/>
      <c r="M1847" s="5"/>
    </row>
    <row r="1848" spans="1:13" x14ac:dyDescent="0.3">
      <c r="A1848" s="5">
        <v>1867</v>
      </c>
      <c r="B1848" s="5" t="s">
        <v>3821</v>
      </c>
      <c r="C1848" s="5" t="s">
        <v>3822</v>
      </c>
      <c r="D1848" s="5" t="s">
        <v>569</v>
      </c>
      <c r="E1848" s="5" t="s">
        <v>3003</v>
      </c>
      <c r="F1848" s="5" t="s">
        <v>3823</v>
      </c>
      <c r="G1848" s="5" t="s">
        <v>3617</v>
      </c>
      <c r="H1848" s="7">
        <v>45926</v>
      </c>
      <c r="I1848" s="11">
        <v>45926</v>
      </c>
      <c r="J1848" s="8">
        <v>150</v>
      </c>
      <c r="K1848" s="7">
        <v>45932</v>
      </c>
      <c r="L1848" s="5"/>
      <c r="M1848" s="5"/>
    </row>
    <row r="1849" spans="1:13" x14ac:dyDescent="0.3">
      <c r="A1849" s="5">
        <v>1868</v>
      </c>
      <c r="B1849" s="5" t="s">
        <v>3824</v>
      </c>
      <c r="C1849" s="5" t="s">
        <v>3825</v>
      </c>
      <c r="D1849" s="5" t="s">
        <v>475</v>
      </c>
      <c r="E1849" s="5" t="s">
        <v>756</v>
      </c>
      <c r="F1849" s="5">
        <v>59471723</v>
      </c>
      <c r="G1849" s="5" t="s">
        <v>3617</v>
      </c>
      <c r="H1849" s="7">
        <v>45926</v>
      </c>
      <c r="I1849" s="11">
        <v>45926</v>
      </c>
      <c r="J1849" s="8">
        <v>150</v>
      </c>
      <c r="K1849" s="7">
        <v>45932</v>
      </c>
      <c r="L1849" s="5"/>
      <c r="M1849" s="5"/>
    </row>
    <row r="1850" spans="1:13" x14ac:dyDescent="0.3">
      <c r="A1850" s="5">
        <v>1869</v>
      </c>
      <c r="B1850" s="5" t="s">
        <v>3826</v>
      </c>
      <c r="C1850" s="5" t="s">
        <v>3827</v>
      </c>
      <c r="D1850" s="5" t="s">
        <v>475</v>
      </c>
      <c r="E1850" s="5" t="s">
        <v>807</v>
      </c>
      <c r="F1850" s="5">
        <v>58245125</v>
      </c>
      <c r="G1850" s="5" t="s">
        <v>3617</v>
      </c>
      <c r="H1850" s="7">
        <v>45926</v>
      </c>
      <c r="I1850" s="11">
        <v>45926</v>
      </c>
      <c r="J1850" s="8">
        <v>150</v>
      </c>
      <c r="K1850" s="7">
        <v>45932</v>
      </c>
      <c r="L1850" s="5"/>
      <c r="M1850" s="5"/>
    </row>
    <row r="1851" spans="1:13" x14ac:dyDescent="0.3">
      <c r="A1851" s="5">
        <v>1870</v>
      </c>
      <c r="B1851" s="5" t="s">
        <v>3828</v>
      </c>
      <c r="C1851" s="5" t="s">
        <v>3829</v>
      </c>
      <c r="D1851" s="5" t="s">
        <v>601</v>
      </c>
      <c r="E1851" s="5" t="s">
        <v>3830</v>
      </c>
      <c r="F1851" s="5">
        <v>57158994</v>
      </c>
      <c r="G1851" s="5" t="s">
        <v>963</v>
      </c>
      <c r="H1851" s="7">
        <v>45923</v>
      </c>
      <c r="I1851" s="11">
        <v>45926</v>
      </c>
      <c r="J1851" s="8">
        <v>150</v>
      </c>
      <c r="K1851" s="7">
        <v>45932</v>
      </c>
      <c r="L1851" s="5"/>
      <c r="M1851" s="5"/>
    </row>
    <row r="1852" spans="1:13" x14ac:dyDescent="0.3">
      <c r="A1852" s="5">
        <v>1871</v>
      </c>
      <c r="B1852" s="5" t="s">
        <v>3831</v>
      </c>
      <c r="C1852" s="5" t="s">
        <v>3832</v>
      </c>
      <c r="D1852" s="5" t="s">
        <v>137</v>
      </c>
      <c r="E1852" s="5" t="s">
        <v>1855</v>
      </c>
      <c r="F1852" s="5">
        <v>54909990</v>
      </c>
      <c r="G1852" s="5" t="s">
        <v>963</v>
      </c>
      <c r="H1852" s="7">
        <v>45926</v>
      </c>
      <c r="I1852" s="11">
        <v>45926</v>
      </c>
      <c r="J1852" s="8">
        <v>150</v>
      </c>
      <c r="K1852" s="7">
        <v>45932</v>
      </c>
      <c r="L1852" s="5">
        <v>800</v>
      </c>
      <c r="M1852" s="5"/>
    </row>
    <row r="1853" spans="1:13" x14ac:dyDescent="0.3">
      <c r="A1853" s="5">
        <v>1872</v>
      </c>
      <c r="B1853" s="5" t="s">
        <v>3834</v>
      </c>
      <c r="C1853" s="5" t="s">
        <v>3835</v>
      </c>
      <c r="D1853" s="5" t="s">
        <v>84</v>
      </c>
      <c r="E1853" s="5" t="s">
        <v>84</v>
      </c>
      <c r="F1853" s="5">
        <v>59278432</v>
      </c>
      <c r="G1853" s="5" t="s">
        <v>1024</v>
      </c>
      <c r="H1853" s="7">
        <v>45925</v>
      </c>
      <c r="I1853" s="11">
        <v>45926</v>
      </c>
      <c r="J1853" s="8">
        <v>150</v>
      </c>
      <c r="K1853" s="7">
        <v>45932</v>
      </c>
      <c r="L1853" s="5">
        <v>3300</v>
      </c>
      <c r="M1853" s="5"/>
    </row>
    <row r="1854" spans="1:13" x14ac:dyDescent="0.3">
      <c r="A1854" s="5">
        <v>1873</v>
      </c>
      <c r="B1854" s="5" t="s">
        <v>3836</v>
      </c>
      <c r="C1854" s="5" t="s">
        <v>3837</v>
      </c>
      <c r="D1854" s="5" t="s">
        <v>84</v>
      </c>
      <c r="E1854" s="5" t="s">
        <v>84</v>
      </c>
      <c r="F1854" s="5">
        <v>59220634</v>
      </c>
      <c r="G1854" s="5" t="s">
        <v>1024</v>
      </c>
      <c r="H1854" s="7">
        <v>45925</v>
      </c>
      <c r="I1854" s="11">
        <v>45926</v>
      </c>
      <c r="J1854" s="8">
        <v>150</v>
      </c>
      <c r="K1854" s="7">
        <v>45932</v>
      </c>
      <c r="L1854" s="5">
        <v>5050</v>
      </c>
      <c r="M1854" s="5"/>
    </row>
    <row r="1855" spans="1:13" x14ac:dyDescent="0.3">
      <c r="A1855" s="5">
        <v>1874</v>
      </c>
      <c r="B1855" s="5" t="s">
        <v>3838</v>
      </c>
      <c r="C1855" s="5" t="s">
        <v>3839</v>
      </c>
      <c r="D1855" s="5" t="s">
        <v>84</v>
      </c>
      <c r="E1855" s="5" t="s">
        <v>84</v>
      </c>
      <c r="F1855" s="5">
        <v>57992098</v>
      </c>
      <c r="G1855" s="5" t="s">
        <v>1024</v>
      </c>
      <c r="H1855" s="7">
        <v>45925</v>
      </c>
      <c r="I1855" s="11">
        <v>45926</v>
      </c>
      <c r="J1855" s="8">
        <v>150</v>
      </c>
      <c r="K1855" s="7">
        <v>45932</v>
      </c>
      <c r="L1855" s="5">
        <v>550</v>
      </c>
      <c r="M1855" s="5"/>
    </row>
    <row r="1856" spans="1:13" x14ac:dyDescent="0.3">
      <c r="A1856" s="5">
        <v>1875</v>
      </c>
      <c r="B1856" s="5" t="s">
        <v>3840</v>
      </c>
      <c r="C1856" s="5" t="s">
        <v>3841</v>
      </c>
      <c r="D1856" s="5" t="s">
        <v>84</v>
      </c>
      <c r="E1856" s="5" t="s">
        <v>3842</v>
      </c>
      <c r="F1856" s="5">
        <v>58309265</v>
      </c>
      <c r="G1856" s="5" t="s">
        <v>1024</v>
      </c>
      <c r="H1856" s="7">
        <v>45925</v>
      </c>
      <c r="I1856" s="11">
        <v>45926</v>
      </c>
      <c r="J1856" s="8">
        <v>150</v>
      </c>
      <c r="K1856" s="7">
        <v>45932</v>
      </c>
      <c r="L1856" s="5"/>
      <c r="M1856" s="5"/>
    </row>
    <row r="1857" spans="1:13" x14ac:dyDescent="0.3">
      <c r="A1857" s="5">
        <v>1876</v>
      </c>
      <c r="B1857" s="5" t="s">
        <v>3014</v>
      </c>
      <c r="C1857" s="5" t="s">
        <v>3843</v>
      </c>
      <c r="D1857" s="5" t="s">
        <v>68</v>
      </c>
      <c r="E1857" s="5" t="s">
        <v>69</v>
      </c>
      <c r="F1857" s="5">
        <v>57436998</v>
      </c>
      <c r="G1857" s="5" t="s">
        <v>1024</v>
      </c>
      <c r="H1857" s="7">
        <v>45925</v>
      </c>
      <c r="I1857" s="11">
        <v>45926</v>
      </c>
      <c r="J1857" s="8">
        <v>150</v>
      </c>
      <c r="K1857" s="7">
        <v>45932</v>
      </c>
      <c r="L1857" s="5">
        <v>3550</v>
      </c>
      <c r="M1857" s="5"/>
    </row>
    <row r="1858" spans="1:13" x14ac:dyDescent="0.3">
      <c r="A1858" s="5">
        <v>1877</v>
      </c>
      <c r="B1858" s="5" t="s">
        <v>3844</v>
      </c>
      <c r="C1858" s="5" t="s">
        <v>3845</v>
      </c>
      <c r="D1858" s="5" t="s">
        <v>137</v>
      </c>
      <c r="E1858" s="5" t="s">
        <v>700</v>
      </c>
      <c r="F1858" s="5">
        <v>57029943</v>
      </c>
      <c r="G1858" s="5" t="s">
        <v>1024</v>
      </c>
      <c r="H1858" s="7">
        <v>45925</v>
      </c>
      <c r="I1858" s="11">
        <v>45926</v>
      </c>
      <c r="J1858" s="8">
        <v>150</v>
      </c>
      <c r="K1858" s="7">
        <v>45932</v>
      </c>
      <c r="L1858" s="5"/>
      <c r="M1858" s="5"/>
    </row>
    <row r="1859" spans="1:13" x14ac:dyDescent="0.3">
      <c r="A1859" s="5">
        <v>1879</v>
      </c>
      <c r="B1859" s="5" t="s">
        <v>3851</v>
      </c>
      <c r="C1859" s="5" t="s">
        <v>3853</v>
      </c>
      <c r="D1859" s="5" t="s">
        <v>268</v>
      </c>
      <c r="E1859" s="5" t="s">
        <v>268</v>
      </c>
      <c r="F1859" s="5" t="s">
        <v>3852</v>
      </c>
      <c r="G1859" s="5" t="s">
        <v>1024</v>
      </c>
      <c r="H1859" s="7">
        <v>45925</v>
      </c>
      <c r="I1859" s="11">
        <v>45926</v>
      </c>
      <c r="J1859" s="8">
        <v>150</v>
      </c>
      <c r="K1859" s="7">
        <v>45932</v>
      </c>
      <c r="L1859" s="5">
        <v>2145</v>
      </c>
      <c r="M1859" s="5"/>
    </row>
    <row r="1860" spans="1:13" x14ac:dyDescent="0.3">
      <c r="A1860" s="5">
        <v>1880</v>
      </c>
      <c r="B1860" s="5" t="s">
        <v>3850</v>
      </c>
      <c r="C1860" s="5" t="s">
        <v>3849</v>
      </c>
      <c r="D1860" s="5" t="s">
        <v>163</v>
      </c>
      <c r="E1860" s="5" t="s">
        <v>163</v>
      </c>
      <c r="F1860" s="5">
        <v>59453610</v>
      </c>
      <c r="G1860" s="5" t="s">
        <v>1024</v>
      </c>
      <c r="H1860" s="7">
        <v>45925</v>
      </c>
      <c r="I1860" s="11">
        <v>45926</v>
      </c>
      <c r="J1860" s="8">
        <v>150</v>
      </c>
      <c r="K1860" s="7">
        <v>45932</v>
      </c>
      <c r="L1860" s="5">
        <v>1000</v>
      </c>
      <c r="M1860" s="5"/>
    </row>
    <row r="1861" spans="1:13" x14ac:dyDescent="0.3">
      <c r="A1861" s="5">
        <v>1881</v>
      </c>
      <c r="B1861" s="5" t="s">
        <v>3854</v>
      </c>
      <c r="C1861" s="5" t="s">
        <v>1914</v>
      </c>
      <c r="D1861" s="5" t="s">
        <v>259</v>
      </c>
      <c r="E1861" s="5" t="s">
        <v>259</v>
      </c>
      <c r="F1861" s="5">
        <v>59168249</v>
      </c>
      <c r="G1861" s="5" t="s">
        <v>963</v>
      </c>
      <c r="H1861" s="7">
        <v>45926</v>
      </c>
      <c r="I1861" s="11">
        <v>45926</v>
      </c>
      <c r="J1861" s="8">
        <v>150</v>
      </c>
      <c r="K1861" s="7">
        <v>45932</v>
      </c>
      <c r="L1861" s="5"/>
      <c r="M1861" s="5"/>
    </row>
    <row r="1862" spans="1:13" x14ac:dyDescent="0.3">
      <c r="A1862" s="5">
        <v>1866</v>
      </c>
      <c r="B1862" s="5" t="s">
        <v>3819</v>
      </c>
      <c r="C1862" s="5" t="s">
        <v>3820</v>
      </c>
      <c r="D1862" s="5" t="s">
        <v>68</v>
      </c>
      <c r="E1862" s="5" t="s">
        <v>696</v>
      </c>
      <c r="F1862" s="5">
        <v>58574769</v>
      </c>
      <c r="G1862" s="5" t="s">
        <v>3617</v>
      </c>
      <c r="H1862" s="7">
        <v>45926</v>
      </c>
      <c r="I1862" s="11">
        <v>45930</v>
      </c>
      <c r="J1862" s="8">
        <v>150</v>
      </c>
      <c r="K1862" s="7">
        <v>45932</v>
      </c>
      <c r="L1862" s="5"/>
      <c r="M1862" s="5"/>
    </row>
    <row r="1863" spans="1:13" x14ac:dyDescent="0.3">
      <c r="A1863" s="5">
        <v>1878</v>
      </c>
      <c r="B1863" s="5" t="s">
        <v>3848</v>
      </c>
      <c r="C1863" s="5" t="s">
        <v>1272</v>
      </c>
      <c r="D1863" s="5" t="s">
        <v>49</v>
      </c>
      <c r="E1863" s="5" t="s">
        <v>49</v>
      </c>
      <c r="F1863" s="5">
        <v>58347379</v>
      </c>
      <c r="G1863" s="5" t="s">
        <v>963</v>
      </c>
      <c r="H1863" s="7">
        <v>45926</v>
      </c>
      <c r="I1863" s="11">
        <v>45930</v>
      </c>
      <c r="J1863" s="8">
        <v>150</v>
      </c>
      <c r="K1863" s="7">
        <v>45932</v>
      </c>
      <c r="L1863" s="5">
        <v>1425</v>
      </c>
      <c r="M1863" s="5"/>
    </row>
    <row r="1864" spans="1:13" x14ac:dyDescent="0.3">
      <c r="A1864" s="5">
        <v>1883</v>
      </c>
      <c r="B1864" s="5" t="s">
        <v>3857</v>
      </c>
      <c r="C1864" s="5" t="s">
        <v>3894</v>
      </c>
      <c r="D1864" s="5" t="s">
        <v>84</v>
      </c>
      <c r="E1864" s="5" t="s">
        <v>84</v>
      </c>
      <c r="F1864" s="5">
        <v>58904970</v>
      </c>
      <c r="G1864" s="5" t="s">
        <v>16</v>
      </c>
      <c r="H1864" s="7">
        <v>45929</v>
      </c>
      <c r="I1864" s="11">
        <v>45930</v>
      </c>
      <c r="J1864" s="8">
        <v>150</v>
      </c>
      <c r="K1864" s="7">
        <v>45932</v>
      </c>
      <c r="L1864" s="5"/>
      <c r="M1864" s="5"/>
    </row>
    <row r="1865" spans="1:13" x14ac:dyDescent="0.3">
      <c r="A1865" s="5">
        <v>1884</v>
      </c>
      <c r="B1865" s="5" t="s">
        <v>2967</v>
      </c>
      <c r="C1865" s="5" t="s">
        <v>2968</v>
      </c>
      <c r="D1865" s="5" t="s">
        <v>84</v>
      </c>
      <c r="E1865" s="5" t="s">
        <v>2517</v>
      </c>
      <c r="F1865" s="5">
        <v>57588028</v>
      </c>
      <c r="G1865" s="5" t="s">
        <v>16</v>
      </c>
      <c r="H1865" s="7">
        <v>45929</v>
      </c>
      <c r="I1865" s="11">
        <v>45930</v>
      </c>
      <c r="J1865" s="8">
        <v>150</v>
      </c>
      <c r="K1865" s="7">
        <v>45932</v>
      </c>
      <c r="L1865" s="5"/>
      <c r="M1865" s="5"/>
    </row>
    <row r="1866" spans="1:13" x14ac:dyDescent="0.3">
      <c r="A1866" s="5">
        <v>1885</v>
      </c>
      <c r="B1866" s="5" t="s">
        <v>24</v>
      </c>
      <c r="C1866" s="5" t="s">
        <v>3895</v>
      </c>
      <c r="D1866" s="5" t="s">
        <v>137</v>
      </c>
      <c r="E1866" s="5" t="s">
        <v>27</v>
      </c>
      <c r="F1866" s="5">
        <v>57018248</v>
      </c>
      <c r="G1866" s="5" t="s">
        <v>16</v>
      </c>
      <c r="H1866" s="7">
        <v>45929</v>
      </c>
      <c r="I1866" s="11">
        <v>45930</v>
      </c>
      <c r="J1866" s="8">
        <v>150</v>
      </c>
      <c r="K1866" s="7">
        <v>45932</v>
      </c>
      <c r="L1866" s="5"/>
      <c r="M1866" s="5"/>
    </row>
    <row r="1867" spans="1:13" x14ac:dyDescent="0.3">
      <c r="A1867" s="5">
        <v>1886</v>
      </c>
      <c r="B1867" s="5" t="s">
        <v>3858</v>
      </c>
      <c r="C1867" s="5" t="s">
        <v>3896</v>
      </c>
      <c r="D1867" s="5" t="s">
        <v>903</v>
      </c>
      <c r="E1867" s="5" t="s">
        <v>1378</v>
      </c>
      <c r="F1867" s="5">
        <v>52575742</v>
      </c>
      <c r="G1867" s="5" t="s">
        <v>16</v>
      </c>
      <c r="H1867" s="7">
        <v>45929</v>
      </c>
      <c r="I1867" s="11">
        <v>45930</v>
      </c>
      <c r="J1867" s="8">
        <v>150</v>
      </c>
      <c r="K1867" s="7">
        <v>45932</v>
      </c>
      <c r="L1867" s="5"/>
      <c r="M1867" s="5"/>
    </row>
    <row r="1868" spans="1:13" x14ac:dyDescent="0.3">
      <c r="A1868" s="5">
        <v>1887</v>
      </c>
      <c r="B1868" s="5" t="s">
        <v>1851</v>
      </c>
      <c r="C1868" s="5" t="s">
        <v>1882</v>
      </c>
      <c r="D1868" s="5" t="s">
        <v>601</v>
      </c>
      <c r="E1868" s="5" t="s">
        <v>384</v>
      </c>
      <c r="F1868" s="5">
        <v>57538713</v>
      </c>
      <c r="G1868" s="5" t="s">
        <v>16</v>
      </c>
      <c r="H1868" s="7">
        <v>45929</v>
      </c>
      <c r="I1868" s="11">
        <v>45930</v>
      </c>
      <c r="J1868" s="8">
        <v>150</v>
      </c>
      <c r="K1868" s="7">
        <v>45932</v>
      </c>
      <c r="L1868" s="5"/>
      <c r="M1868" s="5"/>
    </row>
    <row r="1869" spans="1:13" x14ac:dyDescent="0.3">
      <c r="A1869" s="5">
        <v>1889</v>
      </c>
      <c r="B1869" s="5" t="s">
        <v>3859</v>
      </c>
      <c r="C1869" s="5" t="s">
        <v>3898</v>
      </c>
      <c r="D1869" s="5" t="s">
        <v>68</v>
      </c>
      <c r="E1869" s="5" t="s">
        <v>226</v>
      </c>
      <c r="F1869" s="5">
        <v>59160770</v>
      </c>
      <c r="G1869" s="5" t="s">
        <v>16</v>
      </c>
      <c r="H1869" s="7">
        <v>45929</v>
      </c>
      <c r="I1869" s="11">
        <v>45930</v>
      </c>
      <c r="J1869" s="8">
        <v>150</v>
      </c>
      <c r="K1869" s="7">
        <v>45932</v>
      </c>
      <c r="L1869" s="5"/>
      <c r="M1869" s="5"/>
    </row>
    <row r="1870" spans="1:13" x14ac:dyDescent="0.3">
      <c r="A1870" s="5">
        <v>1890</v>
      </c>
      <c r="B1870" s="5" t="s">
        <v>1908</v>
      </c>
      <c r="C1870" s="5" t="s">
        <v>1899</v>
      </c>
      <c r="D1870" s="5" t="s">
        <v>68</v>
      </c>
      <c r="E1870" s="5" t="s">
        <v>101</v>
      </c>
      <c r="F1870" s="5">
        <v>57610640</v>
      </c>
      <c r="G1870" s="5" t="s">
        <v>16</v>
      </c>
      <c r="H1870" s="7">
        <v>45929</v>
      </c>
      <c r="I1870" s="11">
        <v>45930</v>
      </c>
      <c r="J1870" s="8">
        <v>150</v>
      </c>
      <c r="K1870" s="7">
        <v>45932</v>
      </c>
      <c r="L1870" s="5"/>
      <c r="M1870" s="5"/>
    </row>
    <row r="1871" spans="1:13" x14ac:dyDescent="0.3">
      <c r="A1871" s="5">
        <v>1892</v>
      </c>
      <c r="B1871" s="5" t="s">
        <v>2563</v>
      </c>
      <c r="C1871" s="5" t="s">
        <v>3899</v>
      </c>
      <c r="D1871" s="5" t="s">
        <v>137</v>
      </c>
      <c r="E1871" s="5" t="s">
        <v>137</v>
      </c>
      <c r="F1871" s="5">
        <v>59702528</v>
      </c>
      <c r="G1871" s="5" t="s">
        <v>16</v>
      </c>
      <c r="H1871" s="7">
        <v>45929</v>
      </c>
      <c r="I1871" s="11">
        <v>45930</v>
      </c>
      <c r="J1871" s="8">
        <v>150</v>
      </c>
      <c r="K1871" s="7">
        <v>45932</v>
      </c>
      <c r="L1871" s="5"/>
      <c r="M1871" s="5"/>
    </row>
    <row r="1872" spans="1:13" x14ac:dyDescent="0.3">
      <c r="A1872" s="5">
        <v>1893</v>
      </c>
      <c r="B1872" s="5" t="s">
        <v>1001</v>
      </c>
      <c r="C1872" s="5" t="s">
        <v>1002</v>
      </c>
      <c r="D1872" s="5" t="s">
        <v>137</v>
      </c>
      <c r="E1872" s="5" t="s">
        <v>1003</v>
      </c>
      <c r="F1872" s="5">
        <v>58205520</v>
      </c>
      <c r="G1872" s="5" t="s">
        <v>16</v>
      </c>
      <c r="H1872" s="7">
        <v>45929</v>
      </c>
      <c r="I1872" s="11">
        <v>45930</v>
      </c>
      <c r="J1872" s="8">
        <v>150</v>
      </c>
      <c r="K1872" s="7">
        <v>45932</v>
      </c>
      <c r="L1872" s="5"/>
      <c r="M1872" s="5" t="s">
        <v>3833</v>
      </c>
    </row>
    <row r="1873" spans="1:13" x14ac:dyDescent="0.3">
      <c r="A1873" s="5">
        <v>1894</v>
      </c>
      <c r="B1873" s="5" t="s">
        <v>3861</v>
      </c>
      <c r="C1873" s="5" t="s">
        <v>3900</v>
      </c>
      <c r="D1873" s="5" t="s">
        <v>68</v>
      </c>
      <c r="E1873" s="5" t="s">
        <v>49</v>
      </c>
      <c r="F1873" s="5" t="s">
        <v>3862</v>
      </c>
      <c r="G1873" s="5" t="s">
        <v>16</v>
      </c>
      <c r="H1873" s="7">
        <v>45929</v>
      </c>
      <c r="I1873" s="11">
        <v>45930</v>
      </c>
      <c r="J1873" s="8">
        <v>150</v>
      </c>
      <c r="K1873" s="7">
        <v>45932</v>
      </c>
      <c r="L1873" s="5"/>
      <c r="M1873" s="5"/>
    </row>
    <row r="1874" spans="1:13" x14ac:dyDescent="0.3">
      <c r="A1874" s="5">
        <v>1895</v>
      </c>
      <c r="B1874" s="5" t="s">
        <v>3863</v>
      </c>
      <c r="C1874" s="5" t="s">
        <v>3901</v>
      </c>
      <c r="D1874" s="5" t="s">
        <v>68</v>
      </c>
      <c r="E1874" s="5" t="s">
        <v>69</v>
      </c>
      <c r="F1874" s="5">
        <v>58096929</v>
      </c>
      <c r="G1874" s="5" t="s">
        <v>16</v>
      </c>
      <c r="H1874" s="7">
        <v>45929</v>
      </c>
      <c r="I1874" s="11">
        <v>45930</v>
      </c>
      <c r="J1874" s="8">
        <v>150</v>
      </c>
      <c r="K1874" s="7">
        <v>45932</v>
      </c>
      <c r="L1874" s="5"/>
      <c r="M1874" s="5" t="s">
        <v>3833</v>
      </c>
    </row>
    <row r="1875" spans="1:13" x14ac:dyDescent="0.3">
      <c r="A1875" s="5">
        <v>1896</v>
      </c>
      <c r="B1875" s="5" t="s">
        <v>3864</v>
      </c>
      <c r="C1875" s="5" t="s">
        <v>3902</v>
      </c>
      <c r="D1875" s="5" t="s">
        <v>84</v>
      </c>
      <c r="E1875" s="5" t="s">
        <v>84</v>
      </c>
      <c r="F1875" s="5">
        <v>59221682</v>
      </c>
      <c r="G1875" s="5" t="s">
        <v>16</v>
      </c>
      <c r="H1875" s="7">
        <v>45929</v>
      </c>
      <c r="I1875" s="11">
        <v>45930</v>
      </c>
      <c r="J1875" s="8">
        <v>150</v>
      </c>
      <c r="K1875" s="7">
        <v>45932</v>
      </c>
      <c r="L1875" s="5"/>
      <c r="M1875" s="5" t="s">
        <v>3833</v>
      </c>
    </row>
    <row r="1876" spans="1:13" x14ac:dyDescent="0.3">
      <c r="A1876" s="5">
        <v>1897</v>
      </c>
      <c r="B1876" s="5" t="s">
        <v>3865</v>
      </c>
      <c r="C1876" s="5" t="s">
        <v>3903</v>
      </c>
      <c r="D1876" s="5" t="s">
        <v>601</v>
      </c>
      <c r="E1876" s="5" t="s">
        <v>546</v>
      </c>
      <c r="F1876" s="5">
        <v>57753678</v>
      </c>
      <c r="G1876" s="5" t="s">
        <v>16</v>
      </c>
      <c r="H1876" s="7">
        <v>45929</v>
      </c>
      <c r="I1876" s="11">
        <v>45930</v>
      </c>
      <c r="J1876" s="8">
        <v>150</v>
      </c>
      <c r="K1876" s="7">
        <v>45932</v>
      </c>
      <c r="L1876" s="5"/>
      <c r="M1876" s="5"/>
    </row>
    <row r="1877" spans="1:13" x14ac:dyDescent="0.3">
      <c r="A1877" s="5">
        <v>1898</v>
      </c>
      <c r="B1877" s="5" t="s">
        <v>1184</v>
      </c>
      <c r="C1877" s="5" t="s">
        <v>3904</v>
      </c>
      <c r="D1877" s="5" t="s">
        <v>41</v>
      </c>
      <c r="E1877" s="5" t="s">
        <v>3866</v>
      </c>
      <c r="F1877" s="5">
        <v>59052621</v>
      </c>
      <c r="G1877" s="5" t="s">
        <v>16</v>
      </c>
      <c r="H1877" s="7">
        <v>45929</v>
      </c>
      <c r="I1877" s="11">
        <v>45930</v>
      </c>
      <c r="J1877" s="8">
        <v>150</v>
      </c>
      <c r="K1877" s="7">
        <v>45932</v>
      </c>
      <c r="L1877" s="5"/>
      <c r="M1877" s="5" t="s">
        <v>3833</v>
      </c>
    </row>
    <row r="1878" spans="1:13" x14ac:dyDescent="0.3">
      <c r="A1878" s="5">
        <v>1899</v>
      </c>
      <c r="B1878" s="5" t="s">
        <v>3867</v>
      </c>
      <c r="C1878" s="5" t="s">
        <v>3905</v>
      </c>
      <c r="D1878" s="5" t="s">
        <v>569</v>
      </c>
      <c r="E1878" s="5" t="s">
        <v>706</v>
      </c>
      <c r="F1878" s="5">
        <v>57015354</v>
      </c>
      <c r="G1878" s="5" t="s">
        <v>16</v>
      </c>
      <c r="H1878" s="7">
        <v>45929</v>
      </c>
      <c r="I1878" s="11">
        <v>45930</v>
      </c>
      <c r="J1878" s="8">
        <v>150</v>
      </c>
      <c r="K1878" s="7">
        <v>45932</v>
      </c>
      <c r="L1878" s="5"/>
      <c r="M1878" s="5"/>
    </row>
    <row r="1879" spans="1:13" x14ac:dyDescent="0.3">
      <c r="A1879" s="5">
        <v>1900</v>
      </c>
      <c r="B1879" s="5" t="s">
        <v>3747</v>
      </c>
      <c r="C1879" s="5" t="s">
        <v>3764</v>
      </c>
      <c r="D1879" s="5" t="s">
        <v>68</v>
      </c>
      <c r="E1879" s="5" t="s">
        <v>1262</v>
      </c>
      <c r="F1879" s="5">
        <v>57528612</v>
      </c>
      <c r="G1879" s="5" t="s">
        <v>16</v>
      </c>
      <c r="H1879" s="7">
        <v>45929</v>
      </c>
      <c r="I1879" s="11">
        <v>45930</v>
      </c>
      <c r="J1879" s="8">
        <v>150</v>
      </c>
      <c r="K1879" s="7">
        <v>45932</v>
      </c>
      <c r="L1879" s="5"/>
      <c r="M1879" s="5"/>
    </row>
    <row r="1880" spans="1:13" x14ac:dyDescent="0.3">
      <c r="A1880" s="44">
        <v>1901</v>
      </c>
      <c r="B1880" s="5" t="s">
        <v>3868</v>
      </c>
      <c r="C1880" s="5" t="s">
        <v>3906</v>
      </c>
      <c r="D1880" s="5" t="s">
        <v>68</v>
      </c>
      <c r="E1880" s="5" t="s">
        <v>226</v>
      </c>
      <c r="F1880" s="5">
        <v>57085161</v>
      </c>
      <c r="G1880" s="5" t="s">
        <v>16</v>
      </c>
      <c r="H1880" s="7">
        <v>45929</v>
      </c>
      <c r="I1880" s="7">
        <v>45930</v>
      </c>
      <c r="J1880" s="8">
        <v>150</v>
      </c>
      <c r="K1880" s="7">
        <v>45932</v>
      </c>
      <c r="L1880" s="5"/>
      <c r="M1880" s="36"/>
    </row>
    <row r="1881" spans="1:13" x14ac:dyDescent="0.3">
      <c r="A1881" s="44">
        <v>1902</v>
      </c>
      <c r="B1881" s="5" t="s">
        <v>3869</v>
      </c>
      <c r="C1881" s="5" t="s">
        <v>216</v>
      </c>
      <c r="D1881" s="5" t="s">
        <v>68</v>
      </c>
      <c r="E1881" s="5" t="s">
        <v>1262</v>
      </c>
      <c r="F1881" s="5">
        <v>57863178</v>
      </c>
      <c r="G1881" s="5" t="s">
        <v>16</v>
      </c>
      <c r="H1881" s="7">
        <v>45929</v>
      </c>
      <c r="I1881" s="7">
        <v>45930</v>
      </c>
      <c r="J1881" s="8">
        <v>150</v>
      </c>
      <c r="K1881" s="7">
        <v>45932</v>
      </c>
      <c r="L1881" s="5"/>
      <c r="M1881" s="36"/>
    </row>
    <row r="1882" spans="1:13" x14ac:dyDescent="0.3">
      <c r="A1882" s="44">
        <v>1903</v>
      </c>
      <c r="B1882" s="5" t="s">
        <v>3870</v>
      </c>
      <c r="C1882" s="5" t="s">
        <v>3907</v>
      </c>
      <c r="D1882" s="5" t="s">
        <v>137</v>
      </c>
      <c r="E1882" s="5" t="s">
        <v>3871</v>
      </c>
      <c r="F1882" s="5">
        <v>59386531</v>
      </c>
      <c r="G1882" s="5" t="s">
        <v>16</v>
      </c>
      <c r="H1882" s="7">
        <v>45929</v>
      </c>
      <c r="I1882" s="7">
        <v>45930</v>
      </c>
      <c r="J1882" s="8">
        <v>150</v>
      </c>
      <c r="K1882" s="7">
        <v>45932</v>
      </c>
      <c r="L1882" s="5"/>
      <c r="M1882" s="45"/>
    </row>
    <row r="1883" spans="1:13" x14ac:dyDescent="0.3">
      <c r="A1883" s="44">
        <v>1904</v>
      </c>
      <c r="B1883" s="5" t="s">
        <v>3872</v>
      </c>
      <c r="C1883" s="5" t="s">
        <v>1878</v>
      </c>
      <c r="D1883" s="5" t="s">
        <v>137</v>
      </c>
      <c r="E1883" s="5" t="s">
        <v>874</v>
      </c>
      <c r="F1883" s="5">
        <v>58003023</v>
      </c>
      <c r="G1883" s="5" t="s">
        <v>16</v>
      </c>
      <c r="H1883" s="7">
        <v>45929</v>
      </c>
      <c r="I1883" s="7">
        <v>45930</v>
      </c>
      <c r="J1883" s="8">
        <v>150</v>
      </c>
      <c r="K1883" s="7">
        <v>45932</v>
      </c>
      <c r="L1883" s="5"/>
      <c r="M1883" s="46"/>
    </row>
    <row r="1884" spans="1:13" x14ac:dyDescent="0.3">
      <c r="A1884" s="44">
        <v>1906</v>
      </c>
      <c r="B1884" s="5" t="s">
        <v>3874</v>
      </c>
      <c r="C1884" s="5" t="s">
        <v>3910</v>
      </c>
      <c r="D1884" s="5" t="s">
        <v>68</v>
      </c>
      <c r="E1884" s="5" t="s">
        <v>49</v>
      </c>
      <c r="F1884" s="5">
        <v>54564433</v>
      </c>
      <c r="G1884" s="5" t="s">
        <v>16</v>
      </c>
      <c r="H1884" s="7">
        <v>45929</v>
      </c>
      <c r="I1884" s="7">
        <v>45930</v>
      </c>
      <c r="J1884" s="8">
        <v>150</v>
      </c>
      <c r="K1884" s="7">
        <v>45932</v>
      </c>
      <c r="L1884" s="5"/>
    </row>
    <row r="1885" spans="1:13" x14ac:dyDescent="0.3">
      <c r="A1885" s="44">
        <v>1907</v>
      </c>
      <c r="B1885" s="5" t="s">
        <v>733</v>
      </c>
      <c r="C1885" s="5" t="s">
        <v>1520</v>
      </c>
      <c r="D1885" s="5" t="s">
        <v>68</v>
      </c>
      <c r="E1885" s="5" t="s">
        <v>226</v>
      </c>
      <c r="F1885" s="5">
        <v>57718586</v>
      </c>
      <c r="G1885" s="5" t="s">
        <v>16</v>
      </c>
      <c r="H1885" s="7">
        <v>45929</v>
      </c>
      <c r="I1885" s="7">
        <v>45930</v>
      </c>
      <c r="J1885" s="8">
        <v>150</v>
      </c>
      <c r="K1885" s="7">
        <v>45932</v>
      </c>
      <c r="L1885" s="5"/>
    </row>
    <row r="1886" spans="1:13" x14ac:dyDescent="0.3">
      <c r="A1886" s="44">
        <v>1908</v>
      </c>
      <c r="B1886" s="5" t="s">
        <v>3875</v>
      </c>
      <c r="C1886" s="5" t="s">
        <v>3911</v>
      </c>
      <c r="D1886" s="5" t="s">
        <v>41</v>
      </c>
      <c r="E1886" s="5" t="s">
        <v>3876</v>
      </c>
      <c r="F1886" s="5">
        <v>58236632</v>
      </c>
      <c r="G1886" s="5" t="s">
        <v>16</v>
      </c>
      <c r="H1886" s="7">
        <v>45929</v>
      </c>
      <c r="I1886" s="7">
        <v>45930</v>
      </c>
      <c r="J1886" s="8">
        <v>150</v>
      </c>
      <c r="K1886" s="7">
        <v>45932</v>
      </c>
      <c r="L1886" s="5"/>
    </row>
    <row r="1887" spans="1:13" x14ac:dyDescent="0.3">
      <c r="A1887" s="44">
        <v>1909</v>
      </c>
      <c r="B1887" s="5" t="s">
        <v>3877</v>
      </c>
      <c r="C1887" s="5" t="s">
        <v>3912</v>
      </c>
      <c r="D1887" s="5" t="s">
        <v>68</v>
      </c>
      <c r="E1887" s="5" t="s">
        <v>49</v>
      </c>
      <c r="F1887" s="5">
        <v>58209390</v>
      </c>
      <c r="G1887" s="5" t="s">
        <v>16</v>
      </c>
      <c r="H1887" s="7">
        <v>45929</v>
      </c>
      <c r="I1887" s="7">
        <v>45930</v>
      </c>
      <c r="J1887" s="8">
        <v>150</v>
      </c>
      <c r="K1887" s="7">
        <v>45932</v>
      </c>
      <c r="L1887" s="5"/>
    </row>
    <row r="1888" spans="1:13" x14ac:dyDescent="0.3">
      <c r="A1888" s="44">
        <v>1910</v>
      </c>
      <c r="B1888" s="5" t="s">
        <v>3878</v>
      </c>
      <c r="C1888" s="5" t="s">
        <v>3913</v>
      </c>
      <c r="D1888" s="5" t="s">
        <v>601</v>
      </c>
      <c r="E1888" s="5" t="s">
        <v>546</v>
      </c>
      <c r="F1888" s="5">
        <v>57479722</v>
      </c>
      <c r="G1888" s="5" t="s">
        <v>16</v>
      </c>
      <c r="H1888" s="7">
        <v>45929</v>
      </c>
      <c r="I1888" s="7">
        <v>45930</v>
      </c>
      <c r="J1888" s="8">
        <v>150</v>
      </c>
      <c r="K1888" s="7">
        <v>45932</v>
      </c>
      <c r="L1888" s="5"/>
    </row>
    <row r="1889" spans="1:12" x14ac:dyDescent="0.3">
      <c r="A1889" s="44">
        <v>1911</v>
      </c>
      <c r="B1889" s="5" t="s">
        <v>3879</v>
      </c>
      <c r="C1889" s="5" t="s">
        <v>3914</v>
      </c>
      <c r="D1889" s="5" t="s">
        <v>475</v>
      </c>
      <c r="E1889" s="5" t="s">
        <v>807</v>
      </c>
      <c r="F1889" s="5">
        <v>59823881</v>
      </c>
      <c r="G1889" s="5" t="s">
        <v>16</v>
      </c>
      <c r="H1889" s="7">
        <v>45929</v>
      </c>
      <c r="I1889" s="7">
        <v>45930</v>
      </c>
      <c r="J1889" s="8">
        <v>150</v>
      </c>
      <c r="K1889" s="7">
        <v>45932</v>
      </c>
      <c r="L1889" s="5"/>
    </row>
    <row r="1890" spans="1:12" x14ac:dyDescent="0.3">
      <c r="A1890" s="44">
        <v>1912</v>
      </c>
      <c r="B1890" s="5" t="s">
        <v>3880</v>
      </c>
      <c r="C1890" s="5" t="s">
        <v>3915</v>
      </c>
      <c r="D1890" s="5" t="s">
        <v>68</v>
      </c>
      <c r="E1890" s="5" t="s">
        <v>226</v>
      </c>
      <c r="F1890" s="5">
        <v>59232517</v>
      </c>
      <c r="G1890" s="5" t="s">
        <v>16</v>
      </c>
      <c r="H1890" s="7">
        <v>45929</v>
      </c>
      <c r="I1890" s="7">
        <v>45930</v>
      </c>
      <c r="J1890" s="8">
        <v>150</v>
      </c>
      <c r="K1890" s="7">
        <v>45932</v>
      </c>
      <c r="L1890" s="5"/>
    </row>
    <row r="1891" spans="1:12" x14ac:dyDescent="0.3">
      <c r="A1891" s="44">
        <v>1914</v>
      </c>
      <c r="B1891" s="5" t="s">
        <v>508</v>
      </c>
      <c r="C1891" s="5" t="s">
        <v>3916</v>
      </c>
      <c r="D1891" s="5" t="s">
        <v>68</v>
      </c>
      <c r="E1891" s="5" t="s">
        <v>63</v>
      </c>
      <c r="F1891" s="5">
        <v>59067797</v>
      </c>
      <c r="G1891" s="5" t="s">
        <v>16</v>
      </c>
      <c r="H1891" s="7">
        <v>45929</v>
      </c>
      <c r="I1891" s="7">
        <v>45930</v>
      </c>
      <c r="J1891" s="8">
        <v>150</v>
      </c>
      <c r="K1891" s="7">
        <v>45932</v>
      </c>
      <c r="L1891" s="5"/>
    </row>
    <row r="1892" spans="1:12" x14ac:dyDescent="0.3">
      <c r="A1892" s="44">
        <v>1915</v>
      </c>
      <c r="B1892" s="5" t="s">
        <v>3881</v>
      </c>
      <c r="C1892" s="5" t="s">
        <v>3917</v>
      </c>
      <c r="D1892" s="5" t="s">
        <v>68</v>
      </c>
      <c r="E1892" s="5" t="s">
        <v>69</v>
      </c>
      <c r="F1892" s="5">
        <v>58541780</v>
      </c>
      <c r="G1892" s="5" t="s">
        <v>16</v>
      </c>
      <c r="H1892" s="7">
        <v>45929</v>
      </c>
      <c r="I1892" s="7">
        <v>45930</v>
      </c>
      <c r="J1892" s="8">
        <v>150</v>
      </c>
      <c r="K1892" s="7">
        <v>45932</v>
      </c>
      <c r="L1892" s="5"/>
    </row>
    <row r="1893" spans="1:12" x14ac:dyDescent="0.3">
      <c r="A1893" s="44">
        <v>1916</v>
      </c>
      <c r="B1893" s="5" t="s">
        <v>2160</v>
      </c>
      <c r="C1893" s="5" t="s">
        <v>3918</v>
      </c>
      <c r="D1893" s="5" t="s">
        <v>84</v>
      </c>
      <c r="E1893" s="5" t="s">
        <v>3882</v>
      </c>
      <c r="F1893" s="5" t="s">
        <v>3883</v>
      </c>
      <c r="G1893" s="5" t="s">
        <v>16</v>
      </c>
      <c r="H1893" s="7">
        <v>45929</v>
      </c>
      <c r="I1893" s="7">
        <v>45930</v>
      </c>
      <c r="J1893" s="8">
        <v>150</v>
      </c>
      <c r="K1893" s="7">
        <v>45932</v>
      </c>
      <c r="L1893" s="5"/>
    </row>
    <row r="1894" spans="1:12" x14ac:dyDescent="0.3">
      <c r="A1894" s="44">
        <v>1917</v>
      </c>
      <c r="B1894" s="5" t="s">
        <v>1237</v>
      </c>
      <c r="C1894" s="5" t="s">
        <v>3919</v>
      </c>
      <c r="D1894" s="5" t="s">
        <v>68</v>
      </c>
      <c r="E1894" s="5" t="s">
        <v>1398</v>
      </c>
      <c r="F1894" s="5">
        <v>58444248</v>
      </c>
      <c r="G1894" s="5" t="s">
        <v>16</v>
      </c>
      <c r="H1894" s="7">
        <v>45929</v>
      </c>
      <c r="I1894" s="7">
        <v>45930</v>
      </c>
      <c r="J1894" s="8">
        <v>150</v>
      </c>
      <c r="K1894" s="7">
        <v>45932</v>
      </c>
      <c r="L1894" s="5"/>
    </row>
    <row r="1895" spans="1:12" x14ac:dyDescent="0.3">
      <c r="A1895" s="44">
        <v>1918</v>
      </c>
      <c r="B1895" s="5" t="s">
        <v>3884</v>
      </c>
      <c r="C1895" s="5" t="s">
        <v>3920</v>
      </c>
      <c r="D1895" s="5" t="s">
        <v>137</v>
      </c>
      <c r="E1895" s="5" t="s">
        <v>98</v>
      </c>
      <c r="F1895" s="5">
        <v>57740480</v>
      </c>
      <c r="G1895" s="5" t="s">
        <v>16</v>
      </c>
      <c r="H1895" s="7">
        <v>45929</v>
      </c>
      <c r="I1895" s="7">
        <v>45930</v>
      </c>
      <c r="J1895" s="8">
        <v>150</v>
      </c>
      <c r="K1895" s="7">
        <v>45932</v>
      </c>
      <c r="L1895" s="5"/>
    </row>
    <row r="1896" spans="1:12" x14ac:dyDescent="0.3">
      <c r="A1896" s="44">
        <v>1920</v>
      </c>
      <c r="B1896" s="5" t="s">
        <v>3886</v>
      </c>
      <c r="C1896" s="5" t="s">
        <v>3922</v>
      </c>
      <c r="D1896" s="5" t="s">
        <v>41</v>
      </c>
      <c r="E1896" s="5" t="s">
        <v>3887</v>
      </c>
      <c r="F1896" s="5">
        <v>57728677</v>
      </c>
      <c r="G1896" s="5" t="s">
        <v>963</v>
      </c>
      <c r="H1896" s="7">
        <v>45930</v>
      </c>
      <c r="I1896" s="7">
        <v>45930</v>
      </c>
      <c r="J1896" s="8">
        <v>150</v>
      </c>
      <c r="K1896" s="7">
        <v>45932</v>
      </c>
      <c r="L1896" s="5">
        <v>1425</v>
      </c>
    </row>
    <row r="1897" spans="1:12" x14ac:dyDescent="0.3">
      <c r="A1897" s="44">
        <v>1923</v>
      </c>
      <c r="B1897" s="5" t="s">
        <v>3890</v>
      </c>
      <c r="C1897" s="5" t="s">
        <v>3925</v>
      </c>
      <c r="D1897" s="5" t="s">
        <v>84</v>
      </c>
      <c r="E1897" s="5" t="s">
        <v>84</v>
      </c>
      <c r="F1897" s="5">
        <v>58103509</v>
      </c>
      <c r="G1897" s="5" t="s">
        <v>1024</v>
      </c>
      <c r="H1897" s="7">
        <v>45929</v>
      </c>
      <c r="I1897" s="7">
        <v>45930</v>
      </c>
      <c r="J1897" s="8">
        <v>150</v>
      </c>
      <c r="K1897" s="7">
        <v>45932</v>
      </c>
      <c r="L1897" s="5"/>
    </row>
    <row r="1898" spans="1:12" x14ac:dyDescent="0.3">
      <c r="A1898" s="44">
        <v>1924</v>
      </c>
      <c r="B1898" s="5" t="s">
        <v>3891</v>
      </c>
      <c r="C1898" s="5" t="s">
        <v>3926</v>
      </c>
      <c r="D1898" s="5" t="s">
        <v>41</v>
      </c>
      <c r="E1898" s="5" t="s">
        <v>1440</v>
      </c>
      <c r="F1898" s="5">
        <v>59639741</v>
      </c>
      <c r="G1898" s="5" t="s">
        <v>1024</v>
      </c>
      <c r="H1898" s="7">
        <v>45929</v>
      </c>
      <c r="I1898" s="7">
        <v>45930</v>
      </c>
      <c r="J1898" s="8">
        <v>150</v>
      </c>
      <c r="K1898" s="7">
        <v>45932</v>
      </c>
      <c r="L1898" s="5"/>
    </row>
    <row r="1899" spans="1:12" x14ac:dyDescent="0.3">
      <c r="A1899" s="44">
        <v>1925</v>
      </c>
      <c r="B1899" s="5" t="s">
        <v>3892</v>
      </c>
      <c r="C1899" s="5" t="s">
        <v>3927</v>
      </c>
      <c r="D1899" s="5" t="s">
        <v>68</v>
      </c>
      <c r="E1899" s="5" t="s">
        <v>1793</v>
      </c>
      <c r="F1899" s="5">
        <v>59601777</v>
      </c>
      <c r="G1899" s="5" t="s">
        <v>1024</v>
      </c>
      <c r="H1899" s="7">
        <v>45929</v>
      </c>
      <c r="I1899" s="7">
        <v>45930</v>
      </c>
      <c r="J1899" s="8">
        <v>150</v>
      </c>
      <c r="K1899" s="7">
        <v>45932</v>
      </c>
      <c r="L1899" s="5">
        <v>1675</v>
      </c>
    </row>
    <row r="1900" spans="1:12" x14ac:dyDescent="0.3">
      <c r="A1900" s="44">
        <v>1927</v>
      </c>
      <c r="B1900" s="5" t="s">
        <v>3929</v>
      </c>
      <c r="C1900" s="5" t="s">
        <v>3930</v>
      </c>
      <c r="D1900" s="5" t="s">
        <v>594</v>
      </c>
      <c r="E1900" s="5" t="s">
        <v>594</v>
      </c>
      <c r="F1900" s="5">
        <v>58130927</v>
      </c>
      <c r="G1900" s="5" t="s">
        <v>1024</v>
      </c>
      <c r="H1900" s="7">
        <v>45929</v>
      </c>
      <c r="I1900" s="7">
        <v>45930</v>
      </c>
      <c r="J1900" s="8">
        <v>150</v>
      </c>
      <c r="K1900" s="7">
        <v>45932</v>
      </c>
      <c r="L1900" s="5"/>
    </row>
    <row r="1901" spans="1:12" x14ac:dyDescent="0.3">
      <c r="A1901" s="44">
        <v>1928</v>
      </c>
      <c r="B1901" s="5" t="s">
        <v>3931</v>
      </c>
      <c r="C1901" s="5" t="s">
        <v>3932</v>
      </c>
      <c r="D1901" s="5" t="s">
        <v>19</v>
      </c>
      <c r="E1901" s="5" t="s">
        <v>19</v>
      </c>
      <c r="F1901" s="5">
        <v>58265330</v>
      </c>
      <c r="G1901" s="5" t="s">
        <v>1024</v>
      </c>
      <c r="H1901" s="7">
        <v>45929</v>
      </c>
      <c r="I1901" s="7">
        <v>45930</v>
      </c>
      <c r="J1901" s="8">
        <v>150</v>
      </c>
      <c r="K1901" s="7">
        <v>45932</v>
      </c>
      <c r="L1901" s="5">
        <v>6295</v>
      </c>
    </row>
    <row r="1902" spans="1:12" x14ac:dyDescent="0.3">
      <c r="A1902" s="44">
        <v>1929</v>
      </c>
      <c r="B1902" s="5" t="s">
        <v>3933</v>
      </c>
      <c r="C1902" s="5" t="s">
        <v>3934</v>
      </c>
      <c r="D1902" s="5" t="s">
        <v>1833</v>
      </c>
      <c r="E1902" s="5" t="s">
        <v>1833</v>
      </c>
      <c r="F1902" s="5">
        <v>57265604</v>
      </c>
      <c r="G1902" s="5" t="s">
        <v>16</v>
      </c>
      <c r="H1902" s="7">
        <v>45929</v>
      </c>
      <c r="I1902" s="7">
        <v>45930</v>
      </c>
      <c r="J1902" s="8">
        <v>150</v>
      </c>
      <c r="K1902" s="7">
        <v>45932</v>
      </c>
      <c r="L1902" s="5"/>
    </row>
    <row r="1903" spans="1:12" x14ac:dyDescent="0.3">
      <c r="A1903" s="44">
        <v>1930</v>
      </c>
      <c r="B1903" s="5" t="s">
        <v>3935</v>
      </c>
      <c r="C1903" s="5" t="s">
        <v>3936</v>
      </c>
      <c r="D1903" s="5" t="s">
        <v>149</v>
      </c>
      <c r="E1903" s="5" t="s">
        <v>149</v>
      </c>
      <c r="F1903" s="5">
        <v>57023761</v>
      </c>
      <c r="G1903" s="5" t="s">
        <v>1024</v>
      </c>
      <c r="H1903" s="7">
        <v>45929</v>
      </c>
      <c r="I1903" s="7">
        <v>45930</v>
      </c>
      <c r="J1903" s="8">
        <v>150</v>
      </c>
      <c r="K1903" s="7">
        <v>45932</v>
      </c>
      <c r="L1903" s="5">
        <v>300</v>
      </c>
    </row>
    <row r="1904" spans="1:12" x14ac:dyDescent="0.3">
      <c r="A1904" s="44">
        <v>1931</v>
      </c>
      <c r="B1904" s="5" t="s">
        <v>3937</v>
      </c>
      <c r="C1904" s="5" t="s">
        <v>3938</v>
      </c>
      <c r="D1904" s="5" t="s">
        <v>262</v>
      </c>
      <c r="E1904" s="5" t="s">
        <v>262</v>
      </c>
      <c r="F1904" s="5">
        <v>58200830</v>
      </c>
      <c r="G1904" s="5" t="s">
        <v>1024</v>
      </c>
      <c r="H1904" s="7">
        <v>45929</v>
      </c>
      <c r="I1904" s="7">
        <v>45930</v>
      </c>
      <c r="J1904" s="8">
        <v>150</v>
      </c>
      <c r="K1904" s="7">
        <v>45932</v>
      </c>
      <c r="L1904" s="5">
        <v>150</v>
      </c>
    </row>
    <row r="1905" spans="1:12" x14ac:dyDescent="0.3">
      <c r="A1905" s="44">
        <v>1891</v>
      </c>
      <c r="B1905" s="5" t="s">
        <v>3860</v>
      </c>
      <c r="C1905" s="5" t="s">
        <v>1013</v>
      </c>
      <c r="D1905" s="5" t="s">
        <v>426</v>
      </c>
      <c r="E1905" s="5" t="s">
        <v>314</v>
      </c>
      <c r="F1905" s="5">
        <v>58384003</v>
      </c>
      <c r="G1905" s="5" t="s">
        <v>16</v>
      </c>
      <c r="H1905" s="7">
        <v>45929</v>
      </c>
      <c r="I1905" s="7">
        <v>45931</v>
      </c>
      <c r="J1905" s="8">
        <v>150</v>
      </c>
      <c r="K1905" s="7">
        <v>45932</v>
      </c>
      <c r="L1905" s="5"/>
    </row>
    <row r="1906" spans="1:12" x14ac:dyDescent="0.3">
      <c r="A1906" s="44">
        <v>1905</v>
      </c>
      <c r="B1906" s="5" t="s">
        <v>3873</v>
      </c>
      <c r="C1906" s="5" t="s">
        <v>3908</v>
      </c>
      <c r="D1906" s="5" t="s">
        <v>903</v>
      </c>
      <c r="E1906" s="5" t="s">
        <v>3909</v>
      </c>
      <c r="F1906" s="5">
        <v>58045575</v>
      </c>
      <c r="G1906" s="5" t="s">
        <v>16</v>
      </c>
      <c r="H1906" s="7">
        <v>45929</v>
      </c>
      <c r="I1906" s="7">
        <v>45932</v>
      </c>
      <c r="J1906" s="8">
        <v>150</v>
      </c>
      <c r="K1906" s="7">
        <v>45932</v>
      </c>
      <c r="L1906" s="5"/>
    </row>
    <row r="1907" spans="1:12" x14ac:dyDescent="0.3">
      <c r="A1907" s="44">
        <v>1882</v>
      </c>
      <c r="B1907" s="5" t="s">
        <v>3855</v>
      </c>
      <c r="C1907" s="5" t="s">
        <v>3856</v>
      </c>
      <c r="D1907" s="5" t="s">
        <v>49</v>
      </c>
      <c r="E1907" s="5" t="s">
        <v>49</v>
      </c>
      <c r="F1907" s="5">
        <v>52511111</v>
      </c>
      <c r="G1907" s="5" t="s">
        <v>963</v>
      </c>
      <c r="H1907" s="7">
        <v>45930</v>
      </c>
      <c r="I1907" s="7">
        <v>45933</v>
      </c>
      <c r="J1907" s="8">
        <v>150</v>
      </c>
      <c r="K1907" s="5"/>
      <c r="L1907" s="5">
        <v>1425</v>
      </c>
    </row>
    <row r="1908" spans="1:12" x14ac:dyDescent="0.3">
      <c r="A1908" s="44">
        <v>1888</v>
      </c>
      <c r="B1908" s="5" t="s">
        <v>889</v>
      </c>
      <c r="C1908" s="5" t="s">
        <v>3897</v>
      </c>
      <c r="D1908" s="5" t="s">
        <v>68</v>
      </c>
      <c r="E1908" s="5" t="s">
        <v>117</v>
      </c>
      <c r="F1908" s="5">
        <v>58089291</v>
      </c>
      <c r="G1908" s="5" t="s">
        <v>16</v>
      </c>
      <c r="H1908" s="7">
        <v>45929</v>
      </c>
      <c r="I1908" s="7">
        <v>45933</v>
      </c>
      <c r="J1908" s="8">
        <v>150</v>
      </c>
      <c r="K1908" s="5"/>
      <c r="L1908" s="5"/>
    </row>
    <row r="1909" spans="1:12" x14ac:dyDescent="0.3">
      <c r="A1909" s="44">
        <v>1913</v>
      </c>
      <c r="B1909" s="5" t="s">
        <v>233</v>
      </c>
      <c r="C1909" s="5" t="s">
        <v>831</v>
      </c>
      <c r="D1909" s="5" t="s">
        <v>68</v>
      </c>
      <c r="E1909" s="5" t="s">
        <v>226</v>
      </c>
      <c r="F1909" s="5">
        <v>57601772</v>
      </c>
      <c r="G1909" s="5" t="s">
        <v>16</v>
      </c>
      <c r="H1909" s="7">
        <v>45929</v>
      </c>
      <c r="I1909" s="7">
        <v>45933</v>
      </c>
      <c r="J1909" s="8">
        <v>150</v>
      </c>
      <c r="K1909" s="5"/>
      <c r="L1909" s="5"/>
    </row>
    <row r="1910" spans="1:12" x14ac:dyDescent="0.3">
      <c r="A1910" s="44">
        <v>1919</v>
      </c>
      <c r="B1910" s="5" t="s">
        <v>3885</v>
      </c>
      <c r="C1910" s="5" t="s">
        <v>3921</v>
      </c>
      <c r="D1910" s="5" t="s">
        <v>903</v>
      </c>
      <c r="E1910" s="5" t="s">
        <v>1040</v>
      </c>
      <c r="F1910" s="5">
        <v>54923309</v>
      </c>
      <c r="G1910" s="5" t="s">
        <v>963</v>
      </c>
      <c r="H1910" s="7">
        <v>45930</v>
      </c>
      <c r="I1910" s="7">
        <v>45933</v>
      </c>
      <c r="J1910" s="8">
        <v>150</v>
      </c>
      <c r="K1910" s="5"/>
      <c r="L1910" s="5">
        <v>800</v>
      </c>
    </row>
    <row r="1911" spans="1:12" x14ac:dyDescent="0.3">
      <c r="A1911" s="44">
        <v>1932</v>
      </c>
      <c r="B1911" s="5" t="s">
        <v>2520</v>
      </c>
      <c r="C1911" s="5" t="s">
        <v>3939</v>
      </c>
      <c r="D1911" s="5" t="s">
        <v>84</v>
      </c>
      <c r="E1911" s="5" t="s">
        <v>84</v>
      </c>
      <c r="F1911" s="5">
        <v>59208713</v>
      </c>
      <c r="G1911" s="5" t="s">
        <v>1146</v>
      </c>
      <c r="H1911" s="7">
        <v>45933</v>
      </c>
      <c r="I1911" s="7">
        <v>45933</v>
      </c>
      <c r="J1911" s="8">
        <v>150</v>
      </c>
      <c r="K1911" s="5"/>
      <c r="L1911" s="5">
        <v>1275</v>
      </c>
    </row>
    <row r="1912" spans="1:12" x14ac:dyDescent="0.3">
      <c r="A1912" s="44">
        <v>1933</v>
      </c>
      <c r="B1912" s="48" t="s">
        <v>3940</v>
      </c>
      <c r="C1912" s="48" t="s">
        <v>3942</v>
      </c>
      <c r="D1912" s="48" t="s">
        <v>131</v>
      </c>
      <c r="E1912" s="48" t="s">
        <v>131</v>
      </c>
      <c r="F1912" s="48">
        <v>52560702</v>
      </c>
      <c r="G1912" s="48" t="s">
        <v>3941</v>
      </c>
      <c r="H1912" s="7">
        <v>45933</v>
      </c>
      <c r="I1912" s="7">
        <v>45933</v>
      </c>
      <c r="J1912" s="8">
        <v>150</v>
      </c>
      <c r="K1912" s="5"/>
      <c r="L1912" s="48">
        <v>1200</v>
      </c>
    </row>
    <row r="1913" spans="1:12" x14ac:dyDescent="0.3">
      <c r="A1913" s="44">
        <v>1935</v>
      </c>
      <c r="B1913" s="5" t="s">
        <v>3945</v>
      </c>
      <c r="C1913" s="5" t="s">
        <v>3946</v>
      </c>
      <c r="D1913" s="5" t="s">
        <v>3947</v>
      </c>
      <c r="E1913" s="5" t="s">
        <v>3947</v>
      </c>
      <c r="F1913" s="5">
        <v>54224815</v>
      </c>
      <c r="G1913" s="5" t="s">
        <v>963</v>
      </c>
      <c r="H1913" s="7">
        <v>45933</v>
      </c>
      <c r="I1913" s="7">
        <v>45933</v>
      </c>
      <c r="J1913" s="8">
        <v>150</v>
      </c>
      <c r="K1913" s="5"/>
      <c r="L1913" s="5">
        <v>975</v>
      </c>
    </row>
    <row r="1914" spans="1:12" x14ac:dyDescent="0.3">
      <c r="A1914" s="44">
        <v>1937</v>
      </c>
      <c r="B1914" s="5" t="s">
        <v>3950</v>
      </c>
      <c r="C1914" s="5" t="s">
        <v>3951</v>
      </c>
      <c r="D1914" s="5" t="s">
        <v>68</v>
      </c>
      <c r="E1914" s="5" t="s">
        <v>101</v>
      </c>
      <c r="F1914" s="5">
        <v>59181771</v>
      </c>
      <c r="G1914" s="5" t="s">
        <v>16</v>
      </c>
      <c r="H1914" s="7">
        <v>45932</v>
      </c>
      <c r="I1914" s="7">
        <v>45933</v>
      </c>
      <c r="J1914" s="8">
        <v>150</v>
      </c>
      <c r="K1914" s="5"/>
      <c r="L1914" s="5"/>
    </row>
    <row r="1915" spans="1:12" x14ac:dyDescent="0.3">
      <c r="A1915" s="44">
        <v>1938</v>
      </c>
      <c r="B1915" s="5" t="s">
        <v>698</v>
      </c>
      <c r="C1915" s="5" t="s">
        <v>3952</v>
      </c>
      <c r="D1915" s="5" t="s">
        <v>137</v>
      </c>
      <c r="E1915" s="5" t="s">
        <v>700</v>
      </c>
      <c r="F1915" s="5">
        <v>58304085</v>
      </c>
      <c r="G1915" s="5" t="s">
        <v>16</v>
      </c>
      <c r="H1915" s="7">
        <v>45932</v>
      </c>
      <c r="I1915" s="7">
        <v>45933</v>
      </c>
      <c r="J1915" s="8">
        <v>150</v>
      </c>
      <c r="K1915" s="5"/>
      <c r="L1915" s="5"/>
    </row>
    <row r="1916" spans="1:12" x14ac:dyDescent="0.3">
      <c r="A1916" s="44">
        <v>1939</v>
      </c>
      <c r="B1916" s="5" t="s">
        <v>3953</v>
      </c>
      <c r="C1916" s="5" t="s">
        <v>3954</v>
      </c>
      <c r="D1916" s="5" t="s">
        <v>68</v>
      </c>
      <c r="E1916" s="5" t="s">
        <v>163</v>
      </c>
      <c r="F1916" s="5">
        <v>57744051</v>
      </c>
      <c r="G1916" s="5" t="s">
        <v>16</v>
      </c>
      <c r="H1916" s="7">
        <v>45932</v>
      </c>
      <c r="I1916" s="7">
        <v>45933</v>
      </c>
      <c r="J1916" s="8">
        <v>150</v>
      </c>
      <c r="K1916" s="5"/>
      <c r="L1916" s="5"/>
    </row>
    <row r="1917" spans="1:12" x14ac:dyDescent="0.3">
      <c r="A1917" s="44">
        <v>1940</v>
      </c>
      <c r="B1917" s="5" t="s">
        <v>713</v>
      </c>
      <c r="C1917" s="5" t="s">
        <v>3955</v>
      </c>
      <c r="D1917" s="5" t="s">
        <v>41</v>
      </c>
      <c r="E1917" s="5" t="s">
        <v>715</v>
      </c>
      <c r="F1917" s="5">
        <v>59864950</v>
      </c>
      <c r="G1917" s="5" t="s">
        <v>16</v>
      </c>
      <c r="H1917" s="7">
        <v>45932</v>
      </c>
      <c r="I1917" s="7">
        <v>45933</v>
      </c>
      <c r="J1917" s="8">
        <v>150</v>
      </c>
      <c r="K1917" s="5"/>
      <c r="L1917" s="5"/>
    </row>
    <row r="1918" spans="1:12" x14ac:dyDescent="0.3">
      <c r="A1918" s="44">
        <v>1941</v>
      </c>
      <c r="B1918" s="5" t="s">
        <v>3956</v>
      </c>
      <c r="C1918" s="5" t="s">
        <v>3957</v>
      </c>
      <c r="D1918" s="5" t="s">
        <v>137</v>
      </c>
      <c r="E1918" s="5" t="s">
        <v>3407</v>
      </c>
      <c r="F1918" s="5" t="s">
        <v>3958</v>
      </c>
      <c r="G1918" s="5" t="s">
        <v>16</v>
      </c>
      <c r="H1918" s="7">
        <v>45932</v>
      </c>
      <c r="I1918" s="7">
        <v>45933</v>
      </c>
      <c r="J1918" s="8">
        <v>150</v>
      </c>
      <c r="K1918" s="5"/>
      <c r="L1918" s="5" t="s">
        <v>3959</v>
      </c>
    </row>
    <row r="1919" spans="1:12" x14ac:dyDescent="0.3">
      <c r="A1919" s="44">
        <v>1942</v>
      </c>
      <c r="B1919" s="5" t="s">
        <v>3960</v>
      </c>
      <c r="C1919" s="5" t="s">
        <v>3961</v>
      </c>
      <c r="D1919" s="5" t="s">
        <v>84</v>
      </c>
      <c r="E1919" s="5" t="s">
        <v>2219</v>
      </c>
      <c r="F1919" s="5">
        <v>57425817</v>
      </c>
      <c r="G1919" s="5" t="s">
        <v>16</v>
      </c>
      <c r="H1919" s="7">
        <v>45932</v>
      </c>
      <c r="I1919" s="7">
        <v>45933</v>
      </c>
      <c r="J1919" s="8">
        <v>150</v>
      </c>
      <c r="K1919" s="5"/>
      <c r="L1919" s="5"/>
    </row>
    <row r="1920" spans="1:12" x14ac:dyDescent="0.3">
      <c r="A1920" s="44">
        <v>1943</v>
      </c>
      <c r="B1920" s="5" t="s">
        <v>3962</v>
      </c>
      <c r="C1920" s="5" t="s">
        <v>3963</v>
      </c>
      <c r="D1920" s="5" t="s">
        <v>68</v>
      </c>
      <c r="E1920" s="5" t="s">
        <v>101</v>
      </c>
      <c r="F1920" s="5">
        <v>57686075</v>
      </c>
      <c r="G1920" s="5" t="s">
        <v>16</v>
      </c>
      <c r="H1920" s="7">
        <v>45932</v>
      </c>
      <c r="I1920" s="7">
        <v>45933</v>
      </c>
      <c r="J1920" s="8">
        <v>150</v>
      </c>
      <c r="K1920" s="5"/>
      <c r="L1920" s="5"/>
    </row>
    <row r="1921" spans="1:13" x14ac:dyDescent="0.3">
      <c r="A1921" s="44">
        <v>1944</v>
      </c>
      <c r="B1921" s="5" t="s">
        <v>3964</v>
      </c>
      <c r="C1921" s="5" t="s">
        <v>3965</v>
      </c>
      <c r="D1921" s="5" t="s">
        <v>68</v>
      </c>
      <c r="E1921" s="5" t="s">
        <v>49</v>
      </c>
      <c r="F1921" s="5">
        <v>52513990</v>
      </c>
      <c r="G1921" s="5" t="s">
        <v>16</v>
      </c>
      <c r="H1921" s="7">
        <v>45932</v>
      </c>
      <c r="I1921" s="7">
        <v>45933</v>
      </c>
      <c r="J1921" s="8">
        <v>150</v>
      </c>
      <c r="K1921" s="5"/>
      <c r="L1921" s="5"/>
    </row>
    <row r="1922" spans="1:13" x14ac:dyDescent="0.3">
      <c r="A1922" s="44">
        <v>1945</v>
      </c>
      <c r="B1922" s="5" t="s">
        <v>3966</v>
      </c>
      <c r="C1922" s="5" t="s">
        <v>3967</v>
      </c>
      <c r="D1922" s="5" t="s">
        <v>137</v>
      </c>
      <c r="E1922" s="5" t="s">
        <v>3968</v>
      </c>
      <c r="F1922" s="5">
        <v>57852082</v>
      </c>
      <c r="G1922" s="5" t="s">
        <v>16</v>
      </c>
      <c r="H1922" s="7">
        <v>45932</v>
      </c>
      <c r="I1922" s="7">
        <v>45933</v>
      </c>
      <c r="J1922" s="8">
        <v>150</v>
      </c>
      <c r="K1922" s="5"/>
      <c r="L1922" s="5"/>
    </row>
    <row r="1923" spans="1:13" x14ac:dyDescent="0.3">
      <c r="A1923" s="44">
        <v>1946</v>
      </c>
      <c r="B1923" s="5" t="s">
        <v>3969</v>
      </c>
      <c r="C1923" s="5" t="s">
        <v>3970</v>
      </c>
      <c r="D1923" s="5" t="s">
        <v>84</v>
      </c>
      <c r="E1923" s="5" t="s">
        <v>84</v>
      </c>
      <c r="F1923" s="5" t="s">
        <v>3971</v>
      </c>
      <c r="G1923" s="5" t="s">
        <v>16</v>
      </c>
      <c r="H1923" s="7">
        <v>45932</v>
      </c>
      <c r="I1923" s="7">
        <v>45933</v>
      </c>
      <c r="J1923" s="8">
        <v>150</v>
      </c>
      <c r="K1923" s="5"/>
      <c r="L1923" s="5"/>
    </row>
    <row r="1924" spans="1:13" x14ac:dyDescent="0.3">
      <c r="A1924" s="44">
        <v>1947</v>
      </c>
      <c r="B1924" s="5" t="s">
        <v>3972</v>
      </c>
      <c r="C1924" s="5" t="s">
        <v>3973</v>
      </c>
      <c r="D1924" s="5" t="s">
        <v>84</v>
      </c>
      <c r="E1924" s="5" t="s">
        <v>149</v>
      </c>
      <c r="F1924" s="5">
        <v>57369588</v>
      </c>
      <c r="G1924" s="5" t="s">
        <v>16</v>
      </c>
      <c r="H1924" s="7">
        <v>45932</v>
      </c>
      <c r="I1924" s="7">
        <v>45933</v>
      </c>
      <c r="J1924" s="8">
        <v>150</v>
      </c>
      <c r="K1924" s="5"/>
      <c r="L1924" s="5" t="s">
        <v>3974</v>
      </c>
    </row>
    <row r="1925" spans="1:13" x14ac:dyDescent="0.3">
      <c r="A1925" s="44">
        <v>1948</v>
      </c>
      <c r="B1925" s="5" t="s">
        <v>3975</v>
      </c>
      <c r="C1925" s="5" t="s">
        <v>3976</v>
      </c>
      <c r="D1925" s="5" t="s">
        <v>68</v>
      </c>
      <c r="E1925" s="5" t="s">
        <v>1741</v>
      </c>
      <c r="F1925" s="5">
        <v>57541074</v>
      </c>
      <c r="G1925" s="5" t="s">
        <v>16</v>
      </c>
      <c r="H1925" s="7">
        <v>45932</v>
      </c>
      <c r="I1925" s="7">
        <v>45933</v>
      </c>
      <c r="J1925" s="8">
        <v>150</v>
      </c>
      <c r="K1925" s="5"/>
      <c r="L1925" s="5" t="s">
        <v>3977</v>
      </c>
    </row>
    <row r="1926" spans="1:13" x14ac:dyDescent="0.3">
      <c r="A1926" s="44">
        <v>1949</v>
      </c>
      <c r="B1926" s="5" t="s">
        <v>3978</v>
      </c>
      <c r="C1926" s="5" t="s">
        <v>3979</v>
      </c>
      <c r="D1926" s="5" t="s">
        <v>569</v>
      </c>
      <c r="E1926" s="5" t="s">
        <v>709</v>
      </c>
      <c r="F1926" s="5">
        <v>59466612</v>
      </c>
      <c r="G1926" s="5" t="s">
        <v>16</v>
      </c>
      <c r="H1926" s="7">
        <v>45932</v>
      </c>
      <c r="I1926" s="7">
        <v>45933</v>
      </c>
      <c r="J1926" s="8">
        <v>150</v>
      </c>
      <c r="K1926" s="5"/>
      <c r="L1926" s="5"/>
    </row>
    <row r="1927" spans="1:13" x14ac:dyDescent="0.3">
      <c r="A1927" s="5">
        <v>1950</v>
      </c>
      <c r="B1927" s="5" t="s">
        <v>96</v>
      </c>
      <c r="C1927" s="5" t="s">
        <v>3980</v>
      </c>
      <c r="D1927" s="5" t="s">
        <v>137</v>
      </c>
      <c r="E1927" s="5" t="s">
        <v>3407</v>
      </c>
      <c r="F1927" s="5">
        <v>58398955</v>
      </c>
      <c r="G1927" s="5" t="s">
        <v>16</v>
      </c>
      <c r="H1927" s="7">
        <v>45932</v>
      </c>
      <c r="I1927" s="7">
        <v>45933</v>
      </c>
      <c r="J1927" s="8">
        <v>150</v>
      </c>
      <c r="K1927" s="5"/>
      <c r="L1927" s="5"/>
    </row>
    <row r="1928" spans="1:13" x14ac:dyDescent="0.3">
      <c r="A1928" s="5">
        <v>1952</v>
      </c>
      <c r="B1928" s="5" t="s">
        <v>3982</v>
      </c>
      <c r="C1928" s="5" t="s">
        <v>3983</v>
      </c>
      <c r="D1928" s="5" t="s">
        <v>601</v>
      </c>
      <c r="E1928" s="5" t="s">
        <v>546</v>
      </c>
      <c r="F1928" s="5">
        <v>58138628</v>
      </c>
      <c r="G1928" s="5" t="s">
        <v>16</v>
      </c>
      <c r="H1928" s="7">
        <v>45932</v>
      </c>
      <c r="I1928" s="7">
        <v>45933</v>
      </c>
      <c r="J1928" s="8">
        <v>150</v>
      </c>
      <c r="K1928" s="5"/>
      <c r="L1928" s="5"/>
    </row>
    <row r="1929" spans="1:13" x14ac:dyDescent="0.3">
      <c r="A1929" s="5">
        <v>1953</v>
      </c>
      <c r="B1929" s="5" t="s">
        <v>3984</v>
      </c>
      <c r="C1929" s="5" t="s">
        <v>3985</v>
      </c>
      <c r="D1929" s="5" t="s">
        <v>569</v>
      </c>
      <c r="E1929" s="5" t="s">
        <v>3986</v>
      </c>
      <c r="F1929" s="5">
        <v>58372345</v>
      </c>
      <c r="G1929" s="5" t="s">
        <v>16</v>
      </c>
      <c r="H1929" s="7">
        <v>45932</v>
      </c>
      <c r="I1929" s="7">
        <v>45933</v>
      </c>
      <c r="J1929" s="8">
        <v>150</v>
      </c>
      <c r="K1929" s="5"/>
      <c r="L1929" s="5"/>
    </row>
    <row r="1930" spans="1:13" x14ac:dyDescent="0.3">
      <c r="A1930" s="5">
        <v>1954</v>
      </c>
      <c r="B1930" s="5" t="s">
        <v>233</v>
      </c>
      <c r="C1930" s="5" t="s">
        <v>3987</v>
      </c>
      <c r="D1930" s="5" t="s">
        <v>68</v>
      </c>
      <c r="E1930" s="5" t="s">
        <v>226</v>
      </c>
      <c r="F1930" s="5">
        <v>57601772</v>
      </c>
      <c r="G1930" s="5" t="s">
        <v>16</v>
      </c>
      <c r="H1930" s="7">
        <v>45932</v>
      </c>
      <c r="I1930" s="7">
        <v>45933</v>
      </c>
      <c r="J1930" s="8">
        <v>150</v>
      </c>
      <c r="K1930" s="5"/>
      <c r="L1930" s="5" t="s">
        <v>3988</v>
      </c>
    </row>
    <row r="1931" spans="1:13" x14ac:dyDescent="0.3">
      <c r="A1931" s="5">
        <v>1955</v>
      </c>
      <c r="B1931" s="5" t="s">
        <v>3989</v>
      </c>
      <c r="C1931" s="5" t="s">
        <v>3990</v>
      </c>
      <c r="D1931" s="5" t="s">
        <v>68</v>
      </c>
      <c r="E1931" s="5" t="s">
        <v>3991</v>
      </c>
      <c r="F1931" s="5">
        <v>57130915</v>
      </c>
      <c r="G1931" s="5" t="s">
        <v>16</v>
      </c>
      <c r="H1931" s="7">
        <v>45932</v>
      </c>
      <c r="I1931" s="7">
        <v>45933</v>
      </c>
      <c r="J1931" s="8">
        <v>150</v>
      </c>
      <c r="K1931" s="5"/>
      <c r="L1931" s="5"/>
      <c r="M1931" s="18"/>
    </row>
    <row r="1932" spans="1:13" x14ac:dyDescent="0.3">
      <c r="A1932" s="5">
        <v>1956</v>
      </c>
      <c r="B1932" s="5" t="s">
        <v>3992</v>
      </c>
      <c r="C1932" s="5" t="s">
        <v>3993</v>
      </c>
      <c r="D1932" s="5" t="s">
        <v>903</v>
      </c>
      <c r="E1932" s="5" t="s">
        <v>1040</v>
      </c>
      <c r="F1932" s="5">
        <v>52515201</v>
      </c>
      <c r="G1932" s="5" t="s">
        <v>16</v>
      </c>
      <c r="H1932" s="7">
        <v>45932</v>
      </c>
      <c r="I1932" s="7">
        <v>45933</v>
      </c>
      <c r="J1932" s="8">
        <v>150</v>
      </c>
      <c r="K1932" s="5"/>
      <c r="L1932" s="5"/>
      <c r="M1932" s="18"/>
    </row>
    <row r="1933" spans="1:13" x14ac:dyDescent="0.3">
      <c r="A1933" s="5">
        <v>1957</v>
      </c>
      <c r="B1933" s="5" t="s">
        <v>3994</v>
      </c>
      <c r="C1933" s="5" t="s">
        <v>3995</v>
      </c>
      <c r="D1933" s="5" t="s">
        <v>601</v>
      </c>
      <c r="E1933" s="5" t="s">
        <v>259</v>
      </c>
      <c r="F1933" s="5">
        <v>59287780</v>
      </c>
      <c r="G1933" s="5" t="s">
        <v>16</v>
      </c>
      <c r="H1933" s="7">
        <v>45932</v>
      </c>
      <c r="I1933" s="7">
        <v>45933</v>
      </c>
      <c r="J1933" s="8">
        <v>150</v>
      </c>
      <c r="K1933" s="5"/>
      <c r="L1933" s="5"/>
      <c r="M1933" s="18"/>
    </row>
    <row r="1934" spans="1:13" x14ac:dyDescent="0.3">
      <c r="A1934" s="5">
        <v>1958</v>
      </c>
      <c r="B1934" s="5" t="s">
        <v>3996</v>
      </c>
      <c r="C1934" s="5" t="s">
        <v>3997</v>
      </c>
      <c r="D1934" s="5" t="s">
        <v>84</v>
      </c>
      <c r="E1934" s="5" t="s">
        <v>2699</v>
      </c>
      <c r="F1934" s="5">
        <v>59286747</v>
      </c>
      <c r="G1934" s="5" t="s">
        <v>16</v>
      </c>
      <c r="H1934" s="7">
        <v>45932</v>
      </c>
      <c r="I1934" s="7">
        <v>45933</v>
      </c>
      <c r="J1934" s="8">
        <v>150</v>
      </c>
      <c r="K1934" s="5"/>
      <c r="L1934" s="5"/>
      <c r="M1934" s="18"/>
    </row>
    <row r="1935" spans="1:13" x14ac:dyDescent="0.3">
      <c r="A1935" s="5">
        <v>1959</v>
      </c>
      <c r="B1935" s="5" t="s">
        <v>3998</v>
      </c>
      <c r="C1935" s="5" t="s">
        <v>3999</v>
      </c>
      <c r="D1935" s="5" t="s">
        <v>41</v>
      </c>
      <c r="E1935" s="5" t="s">
        <v>4000</v>
      </c>
      <c r="F1935" s="5">
        <v>59496094</v>
      </c>
      <c r="G1935" s="5" t="s">
        <v>16</v>
      </c>
      <c r="H1935" s="7">
        <v>45932</v>
      </c>
      <c r="I1935" s="7">
        <v>45933</v>
      </c>
      <c r="J1935" s="8">
        <v>150</v>
      </c>
      <c r="K1935" s="5"/>
      <c r="L1935" s="5"/>
      <c r="M1935" s="18"/>
    </row>
    <row r="1936" spans="1:13" x14ac:dyDescent="0.3">
      <c r="A1936" s="5">
        <v>1960</v>
      </c>
      <c r="B1936" s="5" t="s">
        <v>349</v>
      </c>
      <c r="C1936" s="5" t="s">
        <v>2089</v>
      </c>
      <c r="D1936" s="5" t="s">
        <v>68</v>
      </c>
      <c r="E1936" s="5" t="s">
        <v>49</v>
      </c>
      <c r="F1936" s="5">
        <v>54899559</v>
      </c>
      <c r="G1936" s="5" t="s">
        <v>16</v>
      </c>
      <c r="H1936" s="7">
        <v>45932</v>
      </c>
      <c r="I1936" s="7">
        <v>45933</v>
      </c>
      <c r="J1936" s="8">
        <v>150</v>
      </c>
      <c r="K1936" s="5"/>
      <c r="L1936" s="5"/>
      <c r="M1936" s="18"/>
    </row>
    <row r="1937" spans="1:22" x14ac:dyDescent="0.3">
      <c r="A1937" s="5">
        <v>1961</v>
      </c>
      <c r="B1937" s="5" t="s">
        <v>4001</v>
      </c>
      <c r="C1937" s="5" t="s">
        <v>4002</v>
      </c>
      <c r="D1937" s="5" t="s">
        <v>68</v>
      </c>
      <c r="E1937" s="5" t="s">
        <v>49</v>
      </c>
      <c r="F1937" s="5">
        <v>58111868</v>
      </c>
      <c r="G1937" s="5" t="s">
        <v>16</v>
      </c>
      <c r="H1937" s="7">
        <v>45932</v>
      </c>
      <c r="I1937" s="7">
        <v>45933</v>
      </c>
      <c r="J1937" s="8">
        <v>150</v>
      </c>
      <c r="K1937" s="5"/>
      <c r="L1937" s="5"/>
      <c r="M1937" s="18"/>
    </row>
    <row r="1938" spans="1:22" x14ac:dyDescent="0.3">
      <c r="A1938" s="5">
        <v>1921</v>
      </c>
      <c r="B1938" s="5" t="s">
        <v>3888</v>
      </c>
      <c r="C1938" s="5" t="s">
        <v>3923</v>
      </c>
      <c r="D1938" s="5" t="s">
        <v>426</v>
      </c>
      <c r="E1938" s="5" t="s">
        <v>314</v>
      </c>
      <c r="F1938" s="5">
        <v>58324737</v>
      </c>
      <c r="G1938" s="5" t="s">
        <v>963</v>
      </c>
      <c r="H1938" s="7">
        <v>45930</v>
      </c>
      <c r="I1938" s="7">
        <v>45937</v>
      </c>
      <c r="J1938" s="8">
        <v>150</v>
      </c>
      <c r="K1938" s="7"/>
      <c r="L1938" s="5">
        <v>1425</v>
      </c>
      <c r="M1938" s="18"/>
    </row>
    <row r="1939" spans="1:22" x14ac:dyDescent="0.3">
      <c r="A1939" s="5">
        <v>1936</v>
      </c>
      <c r="B1939" s="5" t="s">
        <v>3948</v>
      </c>
      <c r="C1939" s="5" t="s">
        <v>3949</v>
      </c>
      <c r="D1939" s="5" t="s">
        <v>63</v>
      </c>
      <c r="E1939" s="5" t="s">
        <v>63</v>
      </c>
      <c r="F1939" s="5">
        <v>54747112</v>
      </c>
      <c r="G1939" s="5" t="s">
        <v>963</v>
      </c>
      <c r="H1939" s="7">
        <v>45933</v>
      </c>
      <c r="I1939" s="7">
        <v>45937</v>
      </c>
      <c r="J1939" s="8">
        <v>150</v>
      </c>
      <c r="K1939" s="5"/>
      <c r="L1939" s="5">
        <v>2649</v>
      </c>
      <c r="O1939" s="32"/>
      <c r="S1939" s="23"/>
      <c r="T1939" s="23"/>
      <c r="U1939" s="23"/>
      <c r="V1939" s="23"/>
    </row>
    <row r="1940" spans="1:22" x14ac:dyDescent="0.3">
      <c r="A1940" s="5">
        <v>1951</v>
      </c>
      <c r="B1940" s="5" t="s">
        <v>2551</v>
      </c>
      <c r="C1940" s="5" t="s">
        <v>3981</v>
      </c>
      <c r="D1940" s="5" t="s">
        <v>601</v>
      </c>
      <c r="E1940" s="5" t="s">
        <v>546</v>
      </c>
      <c r="F1940" s="5">
        <v>57199532</v>
      </c>
      <c r="G1940" s="5" t="s">
        <v>16</v>
      </c>
      <c r="H1940" s="7">
        <v>45932</v>
      </c>
      <c r="I1940" s="7">
        <v>45937</v>
      </c>
      <c r="J1940" s="8">
        <v>150</v>
      </c>
      <c r="K1940" s="5"/>
      <c r="L1940" s="5"/>
      <c r="O1940" s="32"/>
      <c r="S1940" s="23"/>
      <c r="T1940" s="23"/>
      <c r="U1940" s="23"/>
      <c r="V1940" s="23"/>
    </row>
    <row r="1941" spans="1:22" x14ac:dyDescent="0.3">
      <c r="A1941" s="5">
        <v>1962</v>
      </c>
      <c r="B1941" s="5" t="s">
        <v>4003</v>
      </c>
      <c r="C1941" s="5" t="s">
        <v>4004</v>
      </c>
      <c r="D1941" s="5" t="s">
        <v>137</v>
      </c>
      <c r="E1941" s="5" t="s">
        <v>4005</v>
      </c>
      <c r="F1941" s="5">
        <v>59494098</v>
      </c>
      <c r="G1941" s="5" t="s">
        <v>963</v>
      </c>
      <c r="H1941" s="7">
        <v>45937</v>
      </c>
      <c r="I1941" s="7">
        <v>45937</v>
      </c>
      <c r="J1941" s="8">
        <v>150</v>
      </c>
      <c r="K1941" s="5"/>
      <c r="L1941" s="5">
        <v>3299</v>
      </c>
    </row>
    <row r="1942" spans="1:22" x14ac:dyDescent="0.3">
      <c r="A1942" s="5">
        <v>1964</v>
      </c>
      <c r="B1942" s="5" t="s">
        <v>4008</v>
      </c>
      <c r="C1942" s="5" t="s">
        <v>4009</v>
      </c>
      <c r="D1942" s="5" t="s">
        <v>41</v>
      </c>
      <c r="E1942" s="5" t="s">
        <v>1818</v>
      </c>
      <c r="F1942" s="5">
        <v>59089263</v>
      </c>
      <c r="G1942" s="5" t="s">
        <v>16</v>
      </c>
      <c r="H1942" s="7">
        <v>45936</v>
      </c>
      <c r="I1942" s="7">
        <v>45937</v>
      </c>
      <c r="J1942" s="8">
        <v>150</v>
      </c>
      <c r="K1942" s="5"/>
      <c r="L1942" s="5"/>
    </row>
    <row r="1943" spans="1:22" x14ac:dyDescent="0.3">
      <c r="A1943" s="5">
        <v>1965</v>
      </c>
      <c r="B1943" s="5" t="s">
        <v>4010</v>
      </c>
      <c r="C1943" s="5" t="s">
        <v>4011</v>
      </c>
      <c r="D1943" s="5" t="s">
        <v>68</v>
      </c>
      <c r="E1943" s="5" t="s">
        <v>63</v>
      </c>
      <c r="F1943" s="5">
        <v>57925904</v>
      </c>
      <c r="G1943" s="5" t="s">
        <v>16</v>
      </c>
      <c r="H1943" s="7">
        <v>45936</v>
      </c>
      <c r="I1943" s="7">
        <v>45937</v>
      </c>
      <c r="J1943" s="8">
        <v>150</v>
      </c>
      <c r="K1943" s="5"/>
      <c r="L1943" s="5"/>
    </row>
    <row r="1944" spans="1:22" x14ac:dyDescent="0.3">
      <c r="A1944" s="5">
        <v>1966</v>
      </c>
      <c r="B1944" s="5" t="s">
        <v>4012</v>
      </c>
      <c r="C1944" s="5" t="s">
        <v>4013</v>
      </c>
      <c r="D1944" s="5" t="s">
        <v>137</v>
      </c>
      <c r="E1944" s="5" t="s">
        <v>4014</v>
      </c>
      <c r="F1944" s="5">
        <v>57984451</v>
      </c>
      <c r="G1944" s="5" t="s">
        <v>16</v>
      </c>
      <c r="H1944" s="7">
        <v>45936</v>
      </c>
      <c r="I1944" s="7">
        <v>45937</v>
      </c>
      <c r="J1944" s="8">
        <v>150</v>
      </c>
      <c r="K1944" s="5"/>
      <c r="L1944" s="5"/>
    </row>
    <row r="1945" spans="1:22" x14ac:dyDescent="0.3">
      <c r="A1945" s="5">
        <v>1967</v>
      </c>
      <c r="B1945" s="5" t="s">
        <v>4015</v>
      </c>
      <c r="C1945" s="5" t="s">
        <v>4016</v>
      </c>
      <c r="D1945" s="5" t="s">
        <v>68</v>
      </c>
      <c r="E1945" s="5" t="s">
        <v>49</v>
      </c>
      <c r="F1945" s="5">
        <v>57068104</v>
      </c>
      <c r="G1945" s="5" t="s">
        <v>16</v>
      </c>
      <c r="H1945" s="7">
        <v>45936</v>
      </c>
      <c r="I1945" s="7">
        <v>45937</v>
      </c>
      <c r="J1945" s="8">
        <v>150</v>
      </c>
      <c r="K1945" s="5"/>
      <c r="L1945" s="5"/>
    </row>
    <row r="1946" spans="1:22" x14ac:dyDescent="0.3">
      <c r="A1946" s="5">
        <v>1968</v>
      </c>
      <c r="B1946" s="5" t="s">
        <v>4017</v>
      </c>
      <c r="C1946" s="5" t="s">
        <v>4018</v>
      </c>
      <c r="D1946" s="5" t="s">
        <v>426</v>
      </c>
      <c r="E1946" s="5" t="s">
        <v>314</v>
      </c>
      <c r="F1946" s="5">
        <v>58362391</v>
      </c>
      <c r="G1946" s="5" t="s">
        <v>16</v>
      </c>
      <c r="H1946" s="7">
        <v>45936</v>
      </c>
      <c r="I1946" s="7">
        <v>45937</v>
      </c>
      <c r="J1946" s="8">
        <v>150</v>
      </c>
      <c r="K1946" s="5"/>
      <c r="L1946" s="5"/>
    </row>
    <row r="1947" spans="1:22" x14ac:dyDescent="0.3">
      <c r="A1947" s="5">
        <v>1969</v>
      </c>
      <c r="B1947" s="5" t="s">
        <v>4019</v>
      </c>
      <c r="C1947" s="5" t="s">
        <v>4020</v>
      </c>
      <c r="D1947" s="5" t="s">
        <v>137</v>
      </c>
      <c r="E1947" s="5" t="s">
        <v>700</v>
      </c>
      <c r="F1947" s="5">
        <v>57930174</v>
      </c>
      <c r="G1947" s="5" t="s">
        <v>16</v>
      </c>
      <c r="H1947" s="7">
        <v>45936</v>
      </c>
      <c r="I1947" s="7">
        <v>45937</v>
      </c>
      <c r="J1947" s="8">
        <v>150</v>
      </c>
      <c r="K1947" s="5"/>
      <c r="L1947" s="5"/>
    </row>
    <row r="1948" spans="1:22" x14ac:dyDescent="0.3">
      <c r="A1948" s="5">
        <v>1970</v>
      </c>
      <c r="B1948" s="5" t="s">
        <v>4021</v>
      </c>
      <c r="C1948" s="5" t="s">
        <v>4022</v>
      </c>
      <c r="D1948" s="5" t="s">
        <v>68</v>
      </c>
      <c r="E1948" s="5" t="s">
        <v>49</v>
      </c>
      <c r="F1948" s="5">
        <v>58178846</v>
      </c>
      <c r="G1948" s="5" t="s">
        <v>16</v>
      </c>
      <c r="H1948" s="7">
        <v>45936</v>
      </c>
      <c r="I1948" s="7">
        <v>45937</v>
      </c>
      <c r="J1948" s="8">
        <v>150</v>
      </c>
      <c r="K1948" s="5"/>
      <c r="L1948" s="5"/>
    </row>
    <row r="1949" spans="1:22" x14ac:dyDescent="0.3">
      <c r="A1949" s="5">
        <v>1971</v>
      </c>
      <c r="B1949" s="5" t="s">
        <v>3633</v>
      </c>
      <c r="C1949" s="5" t="s">
        <v>3652</v>
      </c>
      <c r="D1949" s="5" t="s">
        <v>426</v>
      </c>
      <c r="E1949" s="5" t="s">
        <v>3634</v>
      </c>
      <c r="F1949" s="5">
        <v>59478730</v>
      </c>
      <c r="G1949" s="5" t="s">
        <v>16</v>
      </c>
      <c r="H1949" s="7">
        <v>45936</v>
      </c>
      <c r="I1949" s="7">
        <v>45937</v>
      </c>
      <c r="J1949" s="8">
        <v>150</v>
      </c>
      <c r="K1949" s="5"/>
      <c r="L1949" s="5"/>
    </row>
    <row r="1950" spans="1:22" x14ac:dyDescent="0.3">
      <c r="A1950" s="5">
        <v>1972</v>
      </c>
      <c r="B1950" s="5" t="s">
        <v>829</v>
      </c>
      <c r="C1950" s="5" t="s">
        <v>830</v>
      </c>
      <c r="D1950" s="5" t="s">
        <v>68</v>
      </c>
      <c r="E1950" s="5" t="s">
        <v>74</v>
      </c>
      <c r="F1950" s="5">
        <v>57663201</v>
      </c>
      <c r="G1950" s="5" t="s">
        <v>16</v>
      </c>
      <c r="H1950" s="7">
        <v>45936</v>
      </c>
      <c r="I1950" s="7">
        <v>45937</v>
      </c>
      <c r="J1950" s="8">
        <v>150</v>
      </c>
      <c r="K1950" s="5"/>
      <c r="L1950" s="5"/>
    </row>
    <row r="1951" spans="1:22" x14ac:dyDescent="0.3">
      <c r="A1951" s="5">
        <v>1973</v>
      </c>
      <c r="B1951" s="5" t="s">
        <v>4023</v>
      </c>
      <c r="C1951" s="5" t="s">
        <v>4024</v>
      </c>
      <c r="D1951" s="5" t="s">
        <v>84</v>
      </c>
      <c r="E1951" s="5" t="s">
        <v>3398</v>
      </c>
      <c r="F1951" s="5">
        <v>55049869</v>
      </c>
      <c r="G1951" s="5" t="s">
        <v>16</v>
      </c>
      <c r="H1951" s="7">
        <v>45936</v>
      </c>
      <c r="I1951" s="7">
        <v>45937</v>
      </c>
      <c r="J1951" s="8">
        <v>150</v>
      </c>
      <c r="K1951" s="5"/>
      <c r="L1951" s="5"/>
    </row>
    <row r="1952" spans="1:22" x14ac:dyDescent="0.3">
      <c r="A1952" s="5">
        <v>1974</v>
      </c>
      <c r="B1952" s="5" t="s">
        <v>4025</v>
      </c>
      <c r="C1952" s="5" t="s">
        <v>4026</v>
      </c>
      <c r="D1952" s="5" t="s">
        <v>137</v>
      </c>
      <c r="E1952" s="5" t="s">
        <v>1700</v>
      </c>
      <c r="F1952" s="5">
        <v>59019315</v>
      </c>
      <c r="G1952" s="5" t="s">
        <v>16</v>
      </c>
      <c r="H1952" s="7">
        <v>45936</v>
      </c>
      <c r="I1952" s="7">
        <v>45937</v>
      </c>
      <c r="J1952" s="8">
        <v>150</v>
      </c>
      <c r="K1952" s="5"/>
      <c r="L1952" s="5"/>
    </row>
    <row r="1953" spans="1:12" x14ac:dyDescent="0.3">
      <c r="A1953" s="5">
        <v>1975</v>
      </c>
      <c r="B1953" s="5" t="s">
        <v>4027</v>
      </c>
      <c r="C1953" s="5" t="s">
        <v>2398</v>
      </c>
      <c r="D1953" s="5" t="s">
        <v>137</v>
      </c>
      <c r="E1953" s="5" t="s">
        <v>1855</v>
      </c>
      <c r="F1953" s="5">
        <v>57984927</v>
      </c>
      <c r="G1953" s="5" t="s">
        <v>16</v>
      </c>
      <c r="H1953" s="7">
        <v>45936</v>
      </c>
      <c r="I1953" s="7">
        <v>45937</v>
      </c>
      <c r="J1953" s="8">
        <v>150</v>
      </c>
      <c r="K1953" s="5"/>
      <c r="L1953" s="5"/>
    </row>
    <row r="1954" spans="1:12" x14ac:dyDescent="0.3">
      <c r="A1954" s="5">
        <v>1976</v>
      </c>
      <c r="B1954" s="5" t="s">
        <v>4028</v>
      </c>
      <c r="C1954" s="5" t="s">
        <v>4029</v>
      </c>
      <c r="D1954" s="5" t="s">
        <v>426</v>
      </c>
      <c r="E1954" s="5" t="s">
        <v>360</v>
      </c>
      <c r="F1954" s="5">
        <v>59464461</v>
      </c>
      <c r="G1954" s="5" t="s">
        <v>16</v>
      </c>
      <c r="H1954" s="7">
        <v>45936</v>
      </c>
      <c r="I1954" s="7">
        <v>45937</v>
      </c>
      <c r="J1954" s="8">
        <v>150</v>
      </c>
      <c r="K1954" s="5"/>
      <c r="L1954" s="5"/>
    </row>
    <row r="1955" spans="1:12" x14ac:dyDescent="0.3">
      <c r="A1955" s="5">
        <v>1977</v>
      </c>
      <c r="B1955" s="5" t="s">
        <v>4030</v>
      </c>
      <c r="C1955" s="5" t="s">
        <v>3011</v>
      </c>
      <c r="D1955" s="5" t="s">
        <v>569</v>
      </c>
      <c r="E1955" s="5" t="s">
        <v>368</v>
      </c>
      <c r="F1955" s="5">
        <v>57571710</v>
      </c>
      <c r="G1955" s="5" t="s">
        <v>16</v>
      </c>
      <c r="H1955" s="7">
        <v>45936</v>
      </c>
      <c r="I1955" s="7">
        <v>45937</v>
      </c>
      <c r="J1955" s="8">
        <v>150</v>
      </c>
      <c r="K1955" s="5"/>
      <c r="L1955" s="5"/>
    </row>
    <row r="1956" spans="1:12" x14ac:dyDescent="0.3">
      <c r="A1956" s="5">
        <v>1978</v>
      </c>
      <c r="B1956" s="5" t="s">
        <v>4031</v>
      </c>
      <c r="C1956" s="5" t="s">
        <v>4032</v>
      </c>
      <c r="D1956" s="5" t="s">
        <v>569</v>
      </c>
      <c r="E1956" s="5" t="s">
        <v>276</v>
      </c>
      <c r="F1956" s="5">
        <v>57033683</v>
      </c>
      <c r="G1956" s="5" t="s">
        <v>16</v>
      </c>
      <c r="H1956" s="7">
        <v>45936</v>
      </c>
      <c r="I1956" s="7">
        <v>45937</v>
      </c>
      <c r="J1956" s="8">
        <v>150</v>
      </c>
      <c r="K1956" s="5"/>
      <c r="L1956" s="5"/>
    </row>
    <row r="1957" spans="1:12" x14ac:dyDescent="0.3">
      <c r="A1957" s="5">
        <v>1979</v>
      </c>
      <c r="B1957" s="5" t="s">
        <v>4033</v>
      </c>
      <c r="C1957" s="5" t="s">
        <v>4034</v>
      </c>
      <c r="D1957" s="5" t="s">
        <v>137</v>
      </c>
      <c r="E1957" s="5" t="s">
        <v>223</v>
      </c>
      <c r="F1957" s="5">
        <v>57420361</v>
      </c>
      <c r="G1957" s="5" t="s">
        <v>16</v>
      </c>
      <c r="H1957" s="7">
        <v>45936</v>
      </c>
      <c r="I1957" s="7">
        <v>45937</v>
      </c>
      <c r="J1957" s="8">
        <v>150</v>
      </c>
      <c r="K1957" s="5"/>
      <c r="L1957" s="5"/>
    </row>
    <row r="1958" spans="1:12" x14ac:dyDescent="0.3">
      <c r="A1958" s="5">
        <v>1980</v>
      </c>
      <c r="B1958" s="5" t="s">
        <v>4035</v>
      </c>
      <c r="C1958" s="5" t="s">
        <v>4036</v>
      </c>
      <c r="D1958" s="5" t="s">
        <v>475</v>
      </c>
      <c r="E1958" s="5" t="s">
        <v>268</v>
      </c>
      <c r="F1958" s="5">
        <v>54797904</v>
      </c>
      <c r="G1958" s="5" t="s">
        <v>16</v>
      </c>
      <c r="H1958" s="7">
        <v>45936</v>
      </c>
      <c r="I1958" s="7">
        <v>45937</v>
      </c>
      <c r="J1958" s="8">
        <v>150</v>
      </c>
      <c r="K1958" s="5"/>
      <c r="L1958" s="5"/>
    </row>
    <row r="1959" spans="1:12" x14ac:dyDescent="0.3">
      <c r="A1959" s="5">
        <v>1981</v>
      </c>
      <c r="B1959" s="5" t="s">
        <v>1906</v>
      </c>
      <c r="C1959" s="5" t="s">
        <v>4037</v>
      </c>
      <c r="D1959" s="5" t="s">
        <v>68</v>
      </c>
      <c r="E1959" s="5" t="s">
        <v>117</v>
      </c>
      <c r="F1959" s="5">
        <v>59384619</v>
      </c>
      <c r="G1959" s="5" t="s">
        <v>16</v>
      </c>
      <c r="H1959" s="7">
        <v>45936</v>
      </c>
      <c r="I1959" s="7">
        <v>45937</v>
      </c>
      <c r="J1959" s="8">
        <v>150</v>
      </c>
      <c r="K1959" s="5"/>
      <c r="L1959" s="5"/>
    </row>
    <row r="1960" spans="1:12" x14ac:dyDescent="0.3">
      <c r="A1960" s="5">
        <v>1982</v>
      </c>
      <c r="B1960" s="5" t="s">
        <v>4038</v>
      </c>
      <c r="C1960" s="5" t="s">
        <v>4039</v>
      </c>
      <c r="D1960" s="5" t="s">
        <v>569</v>
      </c>
      <c r="E1960" s="5" t="s">
        <v>291</v>
      </c>
      <c r="F1960" s="5">
        <v>59466478</v>
      </c>
      <c r="G1960" s="5" t="s">
        <v>16</v>
      </c>
      <c r="H1960" s="7">
        <v>45936</v>
      </c>
      <c r="I1960" s="7">
        <v>45937</v>
      </c>
      <c r="J1960" s="8">
        <v>150</v>
      </c>
      <c r="K1960" s="5"/>
      <c r="L1960" s="5"/>
    </row>
    <row r="1961" spans="1:12" x14ac:dyDescent="0.3">
      <c r="A1961" s="5">
        <v>1983</v>
      </c>
      <c r="B1961" s="5" t="s">
        <v>1105</v>
      </c>
      <c r="C1961" s="5" t="s">
        <v>4040</v>
      </c>
      <c r="D1961" s="5" t="s">
        <v>68</v>
      </c>
      <c r="E1961" s="5" t="s">
        <v>101</v>
      </c>
      <c r="F1961" s="5">
        <v>58002834</v>
      </c>
      <c r="G1961" s="5" t="s">
        <v>16</v>
      </c>
      <c r="H1961" s="7">
        <v>45936</v>
      </c>
      <c r="I1961" s="7">
        <v>45937</v>
      </c>
      <c r="J1961" s="8">
        <v>150</v>
      </c>
      <c r="K1961" s="5"/>
      <c r="L1961" s="5"/>
    </row>
    <row r="1962" spans="1:12" x14ac:dyDescent="0.3">
      <c r="A1962" s="5">
        <v>1984</v>
      </c>
      <c r="B1962" s="5" t="s">
        <v>4041</v>
      </c>
      <c r="C1962" s="5" t="s">
        <v>4042</v>
      </c>
      <c r="D1962" s="5" t="s">
        <v>68</v>
      </c>
      <c r="E1962" s="5" t="s">
        <v>1262</v>
      </c>
      <c r="F1962" s="5">
        <v>58036926</v>
      </c>
      <c r="G1962" s="5" t="s">
        <v>16</v>
      </c>
      <c r="H1962" s="7">
        <v>45936</v>
      </c>
      <c r="I1962" s="7">
        <v>45937</v>
      </c>
      <c r="J1962" s="8">
        <v>150</v>
      </c>
      <c r="K1962" s="5"/>
      <c r="L1962" s="5"/>
    </row>
    <row r="1963" spans="1:12" x14ac:dyDescent="0.3">
      <c r="A1963" s="5">
        <v>1986</v>
      </c>
      <c r="B1963" s="5" t="s">
        <v>3844</v>
      </c>
      <c r="C1963" s="5" t="s">
        <v>3845</v>
      </c>
      <c r="D1963" s="5" t="s">
        <v>137</v>
      </c>
      <c r="E1963" s="5" t="s">
        <v>700</v>
      </c>
      <c r="F1963" s="5">
        <v>57029943</v>
      </c>
      <c r="G1963" s="5" t="s">
        <v>1024</v>
      </c>
      <c r="H1963" s="7">
        <v>45936</v>
      </c>
      <c r="I1963" s="7">
        <v>45937</v>
      </c>
      <c r="J1963" s="8">
        <v>150</v>
      </c>
      <c r="K1963" s="5"/>
      <c r="L1963" s="5"/>
    </row>
    <row r="1964" spans="1:12" x14ac:dyDescent="0.3">
      <c r="A1964" s="5">
        <v>1987</v>
      </c>
      <c r="B1964" s="5" t="s">
        <v>3724</v>
      </c>
      <c r="C1964" s="5" t="s">
        <v>3725</v>
      </c>
      <c r="D1964" s="5" t="s">
        <v>68</v>
      </c>
      <c r="E1964" s="5" t="s">
        <v>49</v>
      </c>
      <c r="F1964" s="5">
        <v>58450139</v>
      </c>
      <c r="G1964" s="5" t="s">
        <v>1024</v>
      </c>
      <c r="H1964" s="7">
        <v>45936</v>
      </c>
      <c r="I1964" s="7">
        <v>45937</v>
      </c>
      <c r="J1964" s="8">
        <v>150</v>
      </c>
      <c r="K1964" s="5"/>
      <c r="L1964" s="5">
        <v>4500</v>
      </c>
    </row>
    <row r="1965" spans="1:12" x14ac:dyDescent="0.3">
      <c r="A1965" s="5">
        <v>1988</v>
      </c>
      <c r="B1965" s="5" t="s">
        <v>3281</v>
      </c>
      <c r="C1965" s="5" t="s">
        <v>3282</v>
      </c>
      <c r="D1965" s="5" t="s">
        <v>569</v>
      </c>
      <c r="E1965" s="5" t="s">
        <v>144</v>
      </c>
      <c r="F1965" s="5">
        <v>57532722</v>
      </c>
      <c r="G1965" s="5" t="s">
        <v>1024</v>
      </c>
      <c r="H1965" s="7">
        <v>45936</v>
      </c>
      <c r="I1965" s="7">
        <v>45937</v>
      </c>
      <c r="J1965" s="8">
        <v>150</v>
      </c>
      <c r="K1965" s="5"/>
      <c r="L1965" s="5"/>
    </row>
    <row r="1966" spans="1:12" x14ac:dyDescent="0.3">
      <c r="A1966" s="5">
        <v>1989</v>
      </c>
      <c r="B1966" s="5" t="s">
        <v>4045</v>
      </c>
      <c r="C1966" s="5" t="s">
        <v>4046</v>
      </c>
      <c r="D1966" s="5" t="s">
        <v>137</v>
      </c>
      <c r="E1966" s="5" t="s">
        <v>4014</v>
      </c>
      <c r="F1966" s="5">
        <v>52570579</v>
      </c>
      <c r="G1966" s="5" t="s">
        <v>1024</v>
      </c>
      <c r="H1966" s="7">
        <v>45936</v>
      </c>
      <c r="I1966" s="7">
        <v>45937</v>
      </c>
      <c r="J1966" s="8">
        <v>150</v>
      </c>
      <c r="K1966" s="5"/>
      <c r="L1966" s="5"/>
    </row>
    <row r="1967" spans="1:12" x14ac:dyDescent="0.3">
      <c r="A1967" s="5">
        <v>1990</v>
      </c>
      <c r="B1967" s="5" t="s">
        <v>4047</v>
      </c>
      <c r="C1967" s="5" t="s">
        <v>4048</v>
      </c>
      <c r="D1967" s="5" t="s">
        <v>84</v>
      </c>
      <c r="E1967" s="5" t="s">
        <v>84</v>
      </c>
      <c r="F1967" s="5">
        <v>59220634</v>
      </c>
      <c r="G1967" s="5" t="s">
        <v>1024</v>
      </c>
      <c r="H1967" s="7">
        <v>45936</v>
      </c>
      <c r="I1967" s="7">
        <v>45937</v>
      </c>
      <c r="J1967" s="8">
        <v>150</v>
      </c>
      <c r="K1967" s="5"/>
      <c r="L1967" s="5">
        <v>1145</v>
      </c>
    </row>
    <row r="1968" spans="1:12" x14ac:dyDescent="0.3">
      <c r="A1968" s="5">
        <v>1991</v>
      </c>
      <c r="B1968" s="5" t="s">
        <v>4049</v>
      </c>
      <c r="C1968" s="5" t="s">
        <v>4050</v>
      </c>
      <c r="D1968" s="5" t="s">
        <v>84</v>
      </c>
      <c r="E1968" s="5" t="s">
        <v>4051</v>
      </c>
      <c r="F1968" s="5">
        <v>59017520</v>
      </c>
      <c r="G1968" s="5" t="s">
        <v>1024</v>
      </c>
      <c r="H1968" s="7">
        <v>45936</v>
      </c>
      <c r="I1968" s="7">
        <v>45937</v>
      </c>
      <c r="J1968" s="8">
        <v>150</v>
      </c>
      <c r="K1968" s="5"/>
      <c r="L1968" s="5"/>
    </row>
    <row r="1969" spans="1:12" x14ac:dyDescent="0.3">
      <c r="A1969" s="5">
        <v>1992</v>
      </c>
      <c r="B1969" s="5" t="s">
        <v>4052</v>
      </c>
      <c r="C1969" s="5" t="s">
        <v>4053</v>
      </c>
      <c r="D1969" s="5" t="s">
        <v>475</v>
      </c>
      <c r="E1969" s="5" t="s">
        <v>807</v>
      </c>
      <c r="F1969" s="5">
        <v>59814937</v>
      </c>
      <c r="G1969" s="5" t="s">
        <v>1024</v>
      </c>
      <c r="H1969" s="7">
        <v>45936</v>
      </c>
      <c r="I1969" s="7">
        <v>45937</v>
      </c>
      <c r="J1969" s="8">
        <v>150</v>
      </c>
      <c r="K1969" s="5"/>
      <c r="L1969" s="5"/>
    </row>
    <row r="1970" spans="1:12" x14ac:dyDescent="0.3">
      <c r="A1970" s="5">
        <v>1994</v>
      </c>
      <c r="B1970" s="5" t="s">
        <v>4056</v>
      </c>
      <c r="C1970" s="5" t="s">
        <v>3926</v>
      </c>
      <c r="D1970" s="5" t="s">
        <v>41</v>
      </c>
      <c r="E1970" s="5" t="s">
        <v>1440</v>
      </c>
      <c r="F1970" s="5">
        <v>59639741</v>
      </c>
      <c r="G1970" s="5" t="s">
        <v>1024</v>
      </c>
      <c r="H1970" s="7">
        <v>45936</v>
      </c>
      <c r="I1970" s="7">
        <v>45937</v>
      </c>
      <c r="J1970" s="8">
        <v>150</v>
      </c>
      <c r="K1970" s="5"/>
      <c r="L1970" s="5"/>
    </row>
    <row r="1971" spans="1:12" x14ac:dyDescent="0.3">
      <c r="A1971" s="5">
        <v>1995</v>
      </c>
      <c r="B1971" s="5" t="s">
        <v>4057</v>
      </c>
      <c r="C1971" s="5" t="s">
        <v>4058</v>
      </c>
      <c r="D1971" s="5" t="s">
        <v>569</v>
      </c>
      <c r="E1971" s="5" t="s">
        <v>4059</v>
      </c>
      <c r="F1971" s="5">
        <v>57699364</v>
      </c>
      <c r="G1971" s="5" t="s">
        <v>1024</v>
      </c>
      <c r="H1971" s="7">
        <v>45936</v>
      </c>
      <c r="I1971" s="7">
        <v>45937</v>
      </c>
      <c r="J1971" s="8">
        <v>150</v>
      </c>
      <c r="K1971" s="5"/>
      <c r="L1971" s="5"/>
    </row>
    <row r="1972" spans="1:12" x14ac:dyDescent="0.3">
      <c r="A1972" s="5">
        <v>1996</v>
      </c>
      <c r="B1972" s="35" t="s">
        <v>4060</v>
      </c>
      <c r="C1972" s="5" t="s">
        <v>4061</v>
      </c>
      <c r="D1972" s="35" t="s">
        <v>137</v>
      </c>
      <c r="E1972" s="35" t="s">
        <v>4062</v>
      </c>
      <c r="F1972" s="35">
        <v>57731303</v>
      </c>
      <c r="G1972" s="5" t="s">
        <v>963</v>
      </c>
      <c r="H1972" s="7">
        <v>45937</v>
      </c>
      <c r="I1972" s="7">
        <v>45937</v>
      </c>
      <c r="J1972" s="8">
        <v>150</v>
      </c>
      <c r="K1972" s="5"/>
      <c r="L1972" s="35">
        <v>800</v>
      </c>
    </row>
    <row r="1973" spans="1:12" x14ac:dyDescent="0.3">
      <c r="A1973" s="5">
        <v>1934</v>
      </c>
      <c r="B1973" s="5" t="s">
        <v>3943</v>
      </c>
      <c r="C1973" s="5" t="s">
        <v>3944</v>
      </c>
      <c r="D1973" s="5" t="s">
        <v>63</v>
      </c>
      <c r="E1973" s="5" t="s">
        <v>63</v>
      </c>
      <c r="F1973" s="5">
        <v>52566093</v>
      </c>
      <c r="G1973" s="5" t="s">
        <v>963</v>
      </c>
      <c r="H1973" s="7">
        <v>45933</v>
      </c>
      <c r="I1973" s="7">
        <v>45940</v>
      </c>
      <c r="J1973" s="8">
        <v>150</v>
      </c>
      <c r="K1973" s="5"/>
      <c r="L1973" s="5">
        <v>975</v>
      </c>
    </row>
    <row r="1974" spans="1:12" x14ac:dyDescent="0.3">
      <c r="A1974" s="5">
        <v>1963</v>
      </c>
      <c r="B1974" s="5" t="s">
        <v>4006</v>
      </c>
      <c r="C1974" s="5" t="s">
        <v>4007</v>
      </c>
      <c r="D1974" s="5" t="s">
        <v>903</v>
      </c>
      <c r="E1974" s="5" t="s">
        <v>1040</v>
      </c>
      <c r="F1974" s="5">
        <v>52513770</v>
      </c>
      <c r="G1974" s="5" t="s">
        <v>963</v>
      </c>
      <c r="H1974" s="7">
        <v>45937</v>
      </c>
      <c r="I1974" s="7">
        <v>45940</v>
      </c>
      <c r="J1974" s="8">
        <v>150</v>
      </c>
      <c r="K1974" s="5"/>
      <c r="L1974" s="5">
        <v>4149</v>
      </c>
    </row>
    <row r="1975" spans="1:12" x14ac:dyDescent="0.3">
      <c r="A1975" s="5">
        <v>1993</v>
      </c>
      <c r="B1975" s="5" t="s">
        <v>4054</v>
      </c>
      <c r="C1975" s="5" t="s">
        <v>4055</v>
      </c>
      <c r="D1975" s="5" t="s">
        <v>68</v>
      </c>
      <c r="E1975" s="5" t="s">
        <v>785</v>
      </c>
      <c r="F1975" s="5">
        <v>58844797</v>
      </c>
      <c r="G1975" s="5" t="s">
        <v>1024</v>
      </c>
      <c r="H1975" s="7">
        <v>45936</v>
      </c>
      <c r="I1975" s="7">
        <v>45940</v>
      </c>
      <c r="J1975" s="8">
        <v>150</v>
      </c>
      <c r="K1975" s="5"/>
      <c r="L1975" s="5">
        <v>4100</v>
      </c>
    </row>
    <row r="1976" spans="1:12" x14ac:dyDescent="0.3">
      <c r="A1976" s="5">
        <v>1998</v>
      </c>
      <c r="B1976" s="35" t="s">
        <v>4065</v>
      </c>
      <c r="C1976" s="5" t="s">
        <v>4066</v>
      </c>
      <c r="D1976" s="35" t="s">
        <v>569</v>
      </c>
      <c r="E1976" s="35" t="s">
        <v>458</v>
      </c>
      <c r="F1976" s="35">
        <v>59188047</v>
      </c>
      <c r="G1976" s="5" t="s">
        <v>16</v>
      </c>
      <c r="H1976" s="7">
        <v>45939</v>
      </c>
      <c r="I1976" s="7">
        <v>45940</v>
      </c>
      <c r="J1976" s="8">
        <v>150</v>
      </c>
      <c r="K1976" s="5"/>
      <c r="L1976" s="35"/>
    </row>
    <row r="1977" spans="1:12" x14ac:dyDescent="0.3">
      <c r="A1977" s="5">
        <v>1999</v>
      </c>
      <c r="B1977" s="35" t="s">
        <v>4067</v>
      </c>
      <c r="C1977" s="5" t="s">
        <v>4068</v>
      </c>
      <c r="D1977" s="35" t="s">
        <v>68</v>
      </c>
      <c r="E1977" s="35" t="s">
        <v>447</v>
      </c>
      <c r="F1977" s="35">
        <v>57907405</v>
      </c>
      <c r="G1977" s="5" t="s">
        <v>16</v>
      </c>
      <c r="H1977" s="7">
        <v>45939</v>
      </c>
      <c r="I1977" s="7">
        <v>45940</v>
      </c>
      <c r="J1977" s="8">
        <v>150</v>
      </c>
      <c r="K1977" s="5"/>
      <c r="L1977" s="35"/>
    </row>
    <row r="1978" spans="1:12" x14ac:dyDescent="0.3">
      <c r="A1978" s="5">
        <v>2000</v>
      </c>
      <c r="B1978" s="35" t="s">
        <v>4069</v>
      </c>
      <c r="C1978" s="5" t="s">
        <v>4070</v>
      </c>
      <c r="D1978" s="35" t="s">
        <v>569</v>
      </c>
      <c r="E1978" s="35" t="s">
        <v>305</v>
      </c>
      <c r="F1978" s="35">
        <v>58129778</v>
      </c>
      <c r="G1978" s="5" t="s">
        <v>16</v>
      </c>
      <c r="H1978" s="7">
        <v>45939</v>
      </c>
      <c r="I1978" s="7">
        <v>45940</v>
      </c>
      <c r="J1978" s="8">
        <v>150</v>
      </c>
      <c r="K1978" s="5"/>
      <c r="L1978" s="35"/>
    </row>
    <row r="1979" spans="1:12" x14ac:dyDescent="0.3">
      <c r="A1979" s="5">
        <v>2001</v>
      </c>
      <c r="B1979" s="35" t="s">
        <v>4071</v>
      </c>
      <c r="C1979" s="5" t="s">
        <v>4072</v>
      </c>
      <c r="D1979" s="35" t="s">
        <v>84</v>
      </c>
      <c r="E1979" s="35" t="s">
        <v>4073</v>
      </c>
      <c r="F1979" s="35">
        <v>59267867</v>
      </c>
      <c r="G1979" s="5" t="s">
        <v>16</v>
      </c>
      <c r="H1979" s="7">
        <v>45939</v>
      </c>
      <c r="I1979" s="7">
        <v>45940</v>
      </c>
      <c r="J1979" s="8">
        <v>150</v>
      </c>
      <c r="K1979" s="5"/>
      <c r="L1979" s="35"/>
    </row>
    <row r="1980" spans="1:12" x14ac:dyDescent="0.3">
      <c r="A1980" s="5">
        <v>2002</v>
      </c>
      <c r="B1980" s="35" t="s">
        <v>4074</v>
      </c>
      <c r="C1980" s="5" t="s">
        <v>4075</v>
      </c>
      <c r="D1980" s="35" t="s">
        <v>84</v>
      </c>
      <c r="E1980" s="35" t="s">
        <v>1199</v>
      </c>
      <c r="F1980" s="35">
        <v>57902844</v>
      </c>
      <c r="G1980" s="5" t="s">
        <v>16</v>
      </c>
      <c r="H1980" s="7">
        <v>45939</v>
      </c>
      <c r="I1980" s="7">
        <v>45940</v>
      </c>
      <c r="J1980" s="8">
        <v>150</v>
      </c>
      <c r="K1980" s="5"/>
      <c r="L1980" s="35"/>
    </row>
    <row r="1981" spans="1:12" x14ac:dyDescent="0.3">
      <c r="A1981" s="5">
        <v>2003</v>
      </c>
      <c r="B1981" s="35" t="s">
        <v>2413</v>
      </c>
      <c r="C1981" s="5" t="s">
        <v>4076</v>
      </c>
      <c r="D1981" s="35" t="s">
        <v>68</v>
      </c>
      <c r="E1981" s="35" t="s">
        <v>101</v>
      </c>
      <c r="F1981" s="35">
        <v>57366395</v>
      </c>
      <c r="G1981" s="5" t="s">
        <v>16</v>
      </c>
      <c r="H1981" s="7">
        <v>45939</v>
      </c>
      <c r="I1981" s="7">
        <v>45940</v>
      </c>
      <c r="J1981" s="8">
        <v>150</v>
      </c>
      <c r="K1981" s="5"/>
      <c r="L1981" s="35"/>
    </row>
    <row r="1982" spans="1:12" x14ac:dyDescent="0.3">
      <c r="A1982" s="5">
        <v>2004</v>
      </c>
      <c r="B1982" s="35" t="s">
        <v>4077</v>
      </c>
      <c r="C1982" s="5" t="s">
        <v>4078</v>
      </c>
      <c r="D1982" s="35" t="s">
        <v>68</v>
      </c>
      <c r="E1982" s="35" t="s">
        <v>101</v>
      </c>
      <c r="F1982" s="35" t="s">
        <v>4079</v>
      </c>
      <c r="G1982" s="5" t="s">
        <v>16</v>
      </c>
      <c r="H1982" s="7">
        <v>45939</v>
      </c>
      <c r="I1982" s="7">
        <v>45940</v>
      </c>
      <c r="J1982" s="8">
        <v>150</v>
      </c>
      <c r="K1982" s="5"/>
      <c r="L1982" s="35"/>
    </row>
    <row r="1983" spans="1:12" x14ac:dyDescent="0.3">
      <c r="A1983" s="5">
        <v>2005</v>
      </c>
      <c r="B1983" s="35" t="s">
        <v>4080</v>
      </c>
      <c r="C1983" s="5" t="s">
        <v>4081</v>
      </c>
      <c r="D1983" s="35" t="s">
        <v>84</v>
      </c>
      <c r="E1983" s="35" t="s">
        <v>4082</v>
      </c>
      <c r="F1983" s="35">
        <v>57679916</v>
      </c>
      <c r="G1983" s="5" t="s">
        <v>16</v>
      </c>
      <c r="H1983" s="7">
        <v>45939</v>
      </c>
      <c r="I1983" s="7">
        <v>45940</v>
      </c>
      <c r="J1983" s="8">
        <v>150</v>
      </c>
      <c r="K1983" s="5"/>
      <c r="L1983" s="35"/>
    </row>
    <row r="1984" spans="1:12" x14ac:dyDescent="0.3">
      <c r="A1984" s="5">
        <v>2006</v>
      </c>
      <c r="B1984" s="35" t="s">
        <v>4083</v>
      </c>
      <c r="C1984" s="5" t="s">
        <v>1899</v>
      </c>
      <c r="D1984" s="35" t="s">
        <v>68</v>
      </c>
      <c r="E1984" s="35" t="s">
        <v>101</v>
      </c>
      <c r="F1984" s="35">
        <v>57610640</v>
      </c>
      <c r="G1984" s="5" t="s">
        <v>16</v>
      </c>
      <c r="H1984" s="7">
        <v>45939</v>
      </c>
      <c r="I1984" s="7">
        <v>45940</v>
      </c>
      <c r="J1984" s="8">
        <v>150</v>
      </c>
      <c r="K1984" s="5"/>
      <c r="L1984" s="35"/>
    </row>
    <row r="1985" spans="1:13" x14ac:dyDescent="0.3">
      <c r="A1985" s="5">
        <v>2007</v>
      </c>
      <c r="B1985" s="35" t="s">
        <v>1548</v>
      </c>
      <c r="C1985" s="5" t="s">
        <v>1549</v>
      </c>
      <c r="D1985" s="35" t="s">
        <v>569</v>
      </c>
      <c r="E1985" s="35" t="s">
        <v>158</v>
      </c>
      <c r="F1985" s="35">
        <v>59025676</v>
      </c>
      <c r="G1985" s="5" t="s">
        <v>16</v>
      </c>
      <c r="H1985" s="7">
        <v>45939</v>
      </c>
      <c r="I1985" s="7">
        <v>45940</v>
      </c>
      <c r="J1985" s="8">
        <v>150</v>
      </c>
      <c r="K1985" s="5"/>
      <c r="L1985" s="35"/>
    </row>
    <row r="1986" spans="1:13" x14ac:dyDescent="0.3">
      <c r="A1986" s="5">
        <v>2008</v>
      </c>
      <c r="B1986" s="35" t="s">
        <v>1594</v>
      </c>
      <c r="C1986" s="5" t="s">
        <v>4084</v>
      </c>
      <c r="D1986" s="35" t="s">
        <v>68</v>
      </c>
      <c r="E1986" s="35" t="s">
        <v>226</v>
      </c>
      <c r="F1986" s="35">
        <v>58293056</v>
      </c>
      <c r="G1986" s="5" t="s">
        <v>16</v>
      </c>
      <c r="H1986" s="7">
        <v>45939</v>
      </c>
      <c r="I1986" s="7">
        <v>45940</v>
      </c>
      <c r="J1986" s="8">
        <v>150</v>
      </c>
      <c r="K1986" s="5"/>
      <c r="L1986" s="35"/>
    </row>
    <row r="1987" spans="1:13" x14ac:dyDescent="0.3">
      <c r="A1987" s="5">
        <v>2009</v>
      </c>
      <c r="B1987" s="35" t="s">
        <v>4085</v>
      </c>
      <c r="C1987" s="5" t="s">
        <v>4086</v>
      </c>
      <c r="D1987" s="35" t="s">
        <v>601</v>
      </c>
      <c r="E1987" s="35" t="s">
        <v>357</v>
      </c>
      <c r="F1987" s="35">
        <v>59246819</v>
      </c>
      <c r="G1987" s="5" t="s">
        <v>16</v>
      </c>
      <c r="H1987" s="7">
        <v>45939</v>
      </c>
      <c r="I1987" s="7">
        <v>45940</v>
      </c>
      <c r="J1987" s="8">
        <v>150</v>
      </c>
      <c r="K1987" s="5"/>
      <c r="L1987" s="35"/>
    </row>
    <row r="1988" spans="1:13" x14ac:dyDescent="0.3">
      <c r="A1988" s="5">
        <v>2010</v>
      </c>
      <c r="B1988" s="35" t="s">
        <v>4087</v>
      </c>
      <c r="C1988" s="5" t="s">
        <v>4088</v>
      </c>
      <c r="D1988" s="35" t="s">
        <v>569</v>
      </c>
      <c r="E1988" s="35" t="s">
        <v>368</v>
      </c>
      <c r="F1988" s="35" t="s">
        <v>4089</v>
      </c>
      <c r="G1988" s="5" t="s">
        <v>16</v>
      </c>
      <c r="H1988" s="7">
        <v>45939</v>
      </c>
      <c r="I1988" s="7">
        <v>45940</v>
      </c>
      <c r="J1988" s="8">
        <v>150</v>
      </c>
      <c r="K1988" s="5"/>
      <c r="L1988" s="35"/>
    </row>
    <row r="1989" spans="1:13" x14ac:dyDescent="0.3">
      <c r="A1989" s="5">
        <v>2011</v>
      </c>
      <c r="B1989" s="35" t="s">
        <v>4090</v>
      </c>
      <c r="C1989" s="5" t="s">
        <v>4091</v>
      </c>
      <c r="D1989" s="35" t="s">
        <v>426</v>
      </c>
      <c r="E1989" s="35" t="s">
        <v>1475</v>
      </c>
      <c r="F1989" s="35">
        <v>59214638</v>
      </c>
      <c r="G1989" s="5" t="s">
        <v>16</v>
      </c>
      <c r="H1989" s="7">
        <v>45939</v>
      </c>
      <c r="I1989" s="7">
        <v>45940</v>
      </c>
      <c r="J1989" s="8">
        <v>150</v>
      </c>
      <c r="K1989" s="5"/>
      <c r="L1989" s="35"/>
    </row>
    <row r="1990" spans="1:13" x14ac:dyDescent="0.3">
      <c r="A1990" s="5">
        <v>2012</v>
      </c>
      <c r="B1990" s="35" t="s">
        <v>349</v>
      </c>
      <c r="C1990" s="5" t="s">
        <v>4092</v>
      </c>
      <c r="D1990" s="35" t="s">
        <v>68</v>
      </c>
      <c r="E1990" s="35" t="s">
        <v>49</v>
      </c>
      <c r="F1990" s="35">
        <v>54899559</v>
      </c>
      <c r="G1990" s="5" t="s">
        <v>16</v>
      </c>
      <c r="H1990" s="7">
        <v>45939</v>
      </c>
      <c r="I1990" s="7">
        <v>45940</v>
      </c>
      <c r="J1990" s="8">
        <v>150</v>
      </c>
      <c r="K1990" s="5"/>
      <c r="L1990" s="35"/>
    </row>
    <row r="1991" spans="1:13" x14ac:dyDescent="0.3">
      <c r="A1991" s="5">
        <v>2014</v>
      </c>
      <c r="B1991" s="35" t="s">
        <v>4094</v>
      </c>
      <c r="C1991" s="5" t="s">
        <v>4095</v>
      </c>
      <c r="D1991" s="35" t="s">
        <v>68</v>
      </c>
      <c r="E1991" s="35" t="s">
        <v>1741</v>
      </c>
      <c r="F1991" s="35">
        <v>57880288</v>
      </c>
      <c r="G1991" s="5" t="s">
        <v>16</v>
      </c>
      <c r="H1991" s="7">
        <v>45939</v>
      </c>
      <c r="I1991" s="7">
        <v>45940</v>
      </c>
      <c r="J1991" s="8">
        <v>150</v>
      </c>
      <c r="K1991" s="5"/>
      <c r="L1991" s="35"/>
    </row>
    <row r="1992" spans="1:13" x14ac:dyDescent="0.3">
      <c r="A1992" s="5">
        <v>2015</v>
      </c>
      <c r="B1992" s="35" t="s">
        <v>4096</v>
      </c>
      <c r="C1992" s="5" t="s">
        <v>1821</v>
      </c>
      <c r="D1992" s="35" t="s">
        <v>601</v>
      </c>
      <c r="E1992" s="35" t="s">
        <v>546</v>
      </c>
      <c r="F1992" s="35">
        <v>59187813</v>
      </c>
      <c r="G1992" s="5" t="s">
        <v>16</v>
      </c>
      <c r="H1992" s="7">
        <v>45939</v>
      </c>
      <c r="I1992" s="7">
        <v>45940</v>
      </c>
      <c r="J1992" s="8">
        <v>150</v>
      </c>
      <c r="K1992" s="5"/>
      <c r="L1992" s="35"/>
    </row>
    <row r="1993" spans="1:13" x14ac:dyDescent="0.3">
      <c r="A1993" s="5">
        <v>2016</v>
      </c>
      <c r="B1993" s="35" t="s">
        <v>2422</v>
      </c>
      <c r="C1993" s="5" t="s">
        <v>2423</v>
      </c>
      <c r="D1993" s="35" t="s">
        <v>903</v>
      </c>
      <c r="E1993" s="35" t="s">
        <v>2424</v>
      </c>
      <c r="F1993" s="35">
        <v>58402146</v>
      </c>
      <c r="G1993" s="5" t="s">
        <v>16</v>
      </c>
      <c r="H1993" s="7">
        <v>45939</v>
      </c>
      <c r="I1993" s="7">
        <v>45940</v>
      </c>
      <c r="J1993" s="8">
        <v>150</v>
      </c>
      <c r="K1993" s="5"/>
      <c r="L1993" s="35"/>
    </row>
    <row r="1994" spans="1:13" x14ac:dyDescent="0.3">
      <c r="A1994" s="5">
        <v>2017</v>
      </c>
      <c r="B1994" s="35" t="s">
        <v>4097</v>
      </c>
      <c r="C1994" s="5" t="s">
        <v>4098</v>
      </c>
      <c r="D1994" s="35" t="s">
        <v>68</v>
      </c>
      <c r="E1994" s="35" t="s">
        <v>163</v>
      </c>
      <c r="F1994" s="35">
        <v>57120459</v>
      </c>
      <c r="G1994" s="5" t="s">
        <v>16</v>
      </c>
      <c r="H1994" s="7">
        <v>45939</v>
      </c>
      <c r="I1994" s="7">
        <v>45940</v>
      </c>
      <c r="J1994" s="8">
        <v>150</v>
      </c>
      <c r="K1994" s="5"/>
      <c r="L1994" s="35"/>
    </row>
    <row r="1995" spans="1:13" x14ac:dyDescent="0.3">
      <c r="A1995" s="5">
        <v>2018</v>
      </c>
      <c r="B1995" s="35" t="s">
        <v>4099</v>
      </c>
      <c r="C1995" s="5" t="s">
        <v>4100</v>
      </c>
      <c r="D1995" s="35" t="s">
        <v>426</v>
      </c>
      <c r="E1995" s="35" t="s">
        <v>15</v>
      </c>
      <c r="F1995" s="35">
        <v>57949856</v>
      </c>
      <c r="G1995" s="5" t="s">
        <v>16</v>
      </c>
      <c r="H1995" s="7">
        <v>45939</v>
      </c>
      <c r="I1995" s="7">
        <v>45940</v>
      </c>
      <c r="J1995" s="8">
        <v>150</v>
      </c>
      <c r="K1995" s="5"/>
      <c r="L1995" s="35"/>
    </row>
    <row r="1996" spans="1:13" x14ac:dyDescent="0.3">
      <c r="A1996" s="5">
        <v>2019</v>
      </c>
      <c r="B1996" s="35" t="s">
        <v>4101</v>
      </c>
      <c r="C1996" s="5" t="s">
        <v>4102</v>
      </c>
      <c r="D1996" s="35" t="s">
        <v>68</v>
      </c>
      <c r="E1996" s="35" t="s">
        <v>69</v>
      </c>
      <c r="F1996" s="35">
        <v>57863876</v>
      </c>
      <c r="G1996" s="5" t="s">
        <v>16</v>
      </c>
      <c r="H1996" s="7">
        <v>45939</v>
      </c>
      <c r="I1996" s="7">
        <v>45940</v>
      </c>
      <c r="J1996" s="8">
        <v>150</v>
      </c>
      <c r="K1996" s="5"/>
      <c r="L1996" s="35"/>
    </row>
    <row r="1997" spans="1:13" x14ac:dyDescent="0.3">
      <c r="A1997" s="5">
        <v>2020</v>
      </c>
      <c r="B1997" s="35" t="s">
        <v>467</v>
      </c>
      <c r="C1997" s="5" t="s">
        <v>4103</v>
      </c>
      <c r="D1997" s="35" t="s">
        <v>84</v>
      </c>
      <c r="E1997" s="35" t="s">
        <v>469</v>
      </c>
      <c r="F1997" s="35">
        <v>54875885</v>
      </c>
      <c r="G1997" s="5" t="s">
        <v>16</v>
      </c>
      <c r="H1997" s="7">
        <v>45939</v>
      </c>
      <c r="I1997" s="7">
        <v>45940</v>
      </c>
      <c r="J1997" s="8">
        <v>150</v>
      </c>
      <c r="K1997" s="5"/>
      <c r="L1997" s="35"/>
      <c r="M1997" s="40"/>
    </row>
    <row r="1998" spans="1:13" x14ac:dyDescent="0.3">
      <c r="A1998" s="5">
        <v>2021</v>
      </c>
      <c r="B1998" s="35" t="s">
        <v>4104</v>
      </c>
      <c r="C1998" s="5" t="s">
        <v>2745</v>
      </c>
      <c r="D1998" s="35" t="s">
        <v>601</v>
      </c>
      <c r="E1998" s="35" t="s">
        <v>1369</v>
      </c>
      <c r="F1998" s="35">
        <v>59096603</v>
      </c>
      <c r="G1998" s="5" t="s">
        <v>16</v>
      </c>
      <c r="H1998" s="7">
        <v>45939</v>
      </c>
      <c r="I1998" s="7">
        <v>45940</v>
      </c>
      <c r="J1998" s="8">
        <v>150</v>
      </c>
      <c r="K1998" s="5"/>
      <c r="L1998" s="35"/>
      <c r="M1998" s="40"/>
    </row>
    <row r="1999" spans="1:13" x14ac:dyDescent="0.3">
      <c r="A1999" s="5">
        <v>2022</v>
      </c>
      <c r="B1999" s="35" t="s">
        <v>694</v>
      </c>
      <c r="C1999" s="5" t="s">
        <v>4105</v>
      </c>
      <c r="D1999" s="35" t="s">
        <v>68</v>
      </c>
      <c r="E1999" s="35" t="s">
        <v>696</v>
      </c>
      <c r="F1999" s="35">
        <v>57025491</v>
      </c>
      <c r="G1999" s="5" t="s">
        <v>16</v>
      </c>
      <c r="H1999" s="7">
        <v>45939</v>
      </c>
      <c r="I1999" s="7">
        <v>45940</v>
      </c>
      <c r="J1999" s="8">
        <v>150</v>
      </c>
      <c r="K1999" s="5"/>
      <c r="L1999" s="35"/>
      <c r="M1999" s="40"/>
    </row>
    <row r="2000" spans="1:13" x14ac:dyDescent="0.3">
      <c r="A2000" s="5">
        <v>2023</v>
      </c>
      <c r="B2000" s="35" t="s">
        <v>2311</v>
      </c>
      <c r="C2000" s="5" t="s">
        <v>2173</v>
      </c>
      <c r="D2000" s="35" t="s">
        <v>569</v>
      </c>
      <c r="E2000" s="35" t="s">
        <v>276</v>
      </c>
      <c r="F2000" s="35">
        <v>58356435</v>
      </c>
      <c r="G2000" s="5" t="s">
        <v>16</v>
      </c>
      <c r="H2000" s="7">
        <v>45939</v>
      </c>
      <c r="I2000" s="7">
        <v>45940</v>
      </c>
      <c r="J2000" s="8">
        <v>150</v>
      </c>
      <c r="K2000" s="5"/>
      <c r="L2000" s="35"/>
      <c r="M2000" s="40"/>
    </row>
    <row r="2001" spans="1:14" x14ac:dyDescent="0.3">
      <c r="A2001" s="5">
        <v>2024</v>
      </c>
      <c r="B2001" s="35" t="s">
        <v>310</v>
      </c>
      <c r="C2001" s="5" t="s">
        <v>4106</v>
      </c>
      <c r="D2001" s="35" t="s">
        <v>84</v>
      </c>
      <c r="E2001" s="35" t="s">
        <v>2219</v>
      </c>
      <c r="F2001" s="35">
        <v>59262648</v>
      </c>
      <c r="G2001" s="5" t="s">
        <v>16</v>
      </c>
      <c r="H2001" s="7">
        <v>45939</v>
      </c>
      <c r="I2001" s="7">
        <v>45940</v>
      </c>
      <c r="J2001" s="8">
        <v>150</v>
      </c>
      <c r="K2001" s="5"/>
      <c r="L2001" s="35"/>
      <c r="M2001" s="40"/>
      <c r="N2001" s="18"/>
    </row>
    <row r="2002" spans="1:14" x14ac:dyDescent="0.3">
      <c r="A2002" s="5">
        <v>2025</v>
      </c>
      <c r="B2002" s="35" t="s">
        <v>4107</v>
      </c>
      <c r="C2002" s="5" t="s">
        <v>4108</v>
      </c>
      <c r="D2002" s="35" t="s">
        <v>475</v>
      </c>
      <c r="E2002" s="35" t="s">
        <v>807</v>
      </c>
      <c r="F2002" s="35">
        <v>59091440</v>
      </c>
      <c r="G2002" s="5" t="s">
        <v>16</v>
      </c>
      <c r="H2002" s="7">
        <v>45939</v>
      </c>
      <c r="I2002" s="7">
        <v>45940</v>
      </c>
      <c r="J2002" s="8">
        <v>150</v>
      </c>
      <c r="K2002" s="5"/>
      <c r="L2002" s="35"/>
      <c r="M2002" s="40"/>
      <c r="N2002" s="18"/>
    </row>
    <row r="2003" spans="1:14" x14ac:dyDescent="0.3">
      <c r="A2003" s="5">
        <v>2026</v>
      </c>
      <c r="B2003" s="35" t="s">
        <v>4109</v>
      </c>
      <c r="C2003" s="5" t="s">
        <v>4110</v>
      </c>
      <c r="D2003" s="35" t="s">
        <v>601</v>
      </c>
      <c r="E2003" s="35" t="s">
        <v>546</v>
      </c>
      <c r="F2003" s="35">
        <v>54285159</v>
      </c>
      <c r="G2003" s="5" t="s">
        <v>16</v>
      </c>
      <c r="H2003" s="7">
        <v>45939</v>
      </c>
      <c r="I2003" s="7">
        <v>45940</v>
      </c>
      <c r="J2003" s="8">
        <v>150</v>
      </c>
      <c r="K2003" s="5"/>
      <c r="L2003" s="35"/>
      <c r="M2003" s="40"/>
      <c r="N2003" s="18"/>
    </row>
    <row r="2004" spans="1:14" x14ac:dyDescent="0.3">
      <c r="A2004" s="5">
        <v>2027</v>
      </c>
      <c r="B2004" s="35" t="s">
        <v>4111</v>
      </c>
      <c r="C2004" s="5" t="s">
        <v>4112</v>
      </c>
      <c r="D2004" s="35" t="s">
        <v>68</v>
      </c>
      <c r="E2004" s="35" t="s">
        <v>74</v>
      </c>
      <c r="F2004" s="35">
        <v>58107058</v>
      </c>
      <c r="G2004" s="5" t="s">
        <v>16</v>
      </c>
      <c r="H2004" s="7">
        <v>45939</v>
      </c>
      <c r="I2004" s="7">
        <v>45940</v>
      </c>
      <c r="J2004" s="8">
        <v>150</v>
      </c>
      <c r="K2004" s="5"/>
      <c r="L2004" s="35"/>
      <c r="M2004" s="40"/>
      <c r="N2004" s="18"/>
    </row>
    <row r="2005" spans="1:14" x14ac:dyDescent="0.3">
      <c r="A2005" s="5">
        <v>2028</v>
      </c>
      <c r="B2005" s="35" t="s">
        <v>4113</v>
      </c>
      <c r="C2005" s="5" t="s">
        <v>4114</v>
      </c>
      <c r="D2005" s="35" t="s">
        <v>475</v>
      </c>
      <c r="E2005" s="35" t="s">
        <v>268</v>
      </c>
      <c r="F2005" s="35">
        <v>58273436</v>
      </c>
      <c r="G2005" s="5" t="s">
        <v>16</v>
      </c>
      <c r="H2005" s="7">
        <v>45939</v>
      </c>
      <c r="I2005" s="7">
        <v>45940</v>
      </c>
      <c r="J2005" s="8">
        <v>150</v>
      </c>
      <c r="K2005" s="5"/>
      <c r="L2005" s="35"/>
      <c r="M2005" s="40"/>
      <c r="N2005" s="18"/>
    </row>
    <row r="2006" spans="1:14" x14ac:dyDescent="0.3">
      <c r="A2006" s="5">
        <v>2029</v>
      </c>
      <c r="B2006" s="35" t="s">
        <v>4115</v>
      </c>
      <c r="C2006" s="5" t="s">
        <v>4100</v>
      </c>
      <c r="D2006" s="35" t="s">
        <v>426</v>
      </c>
      <c r="E2006" s="35" t="s">
        <v>15</v>
      </c>
      <c r="F2006" s="35">
        <v>57949856</v>
      </c>
      <c r="G2006" s="5" t="s">
        <v>16</v>
      </c>
      <c r="H2006" s="7">
        <v>45939</v>
      </c>
      <c r="I2006" s="7">
        <v>45940</v>
      </c>
      <c r="J2006" s="8">
        <v>150</v>
      </c>
      <c r="K2006" s="5"/>
      <c r="L2006" s="35"/>
      <c r="M2006" s="40"/>
      <c r="N2006" s="18"/>
    </row>
    <row r="2007" spans="1:14" x14ac:dyDescent="0.3">
      <c r="A2007" s="5">
        <v>2030</v>
      </c>
      <c r="B2007" s="35" t="s">
        <v>1200</v>
      </c>
      <c r="C2007" s="5" t="s">
        <v>354</v>
      </c>
      <c r="D2007" s="35" t="s">
        <v>601</v>
      </c>
      <c r="E2007" s="35" t="s">
        <v>211</v>
      </c>
      <c r="F2007" s="35">
        <v>52593875</v>
      </c>
      <c r="G2007" s="5" t="s">
        <v>16</v>
      </c>
      <c r="H2007" s="7">
        <v>45939</v>
      </c>
      <c r="I2007" s="7">
        <v>45940</v>
      </c>
      <c r="J2007" s="8">
        <v>150</v>
      </c>
      <c r="K2007" s="5"/>
      <c r="L2007" s="35"/>
      <c r="M2007" s="40"/>
      <c r="N2007" s="18"/>
    </row>
    <row r="2008" spans="1:14" x14ac:dyDescent="0.3">
      <c r="A2008" s="5">
        <v>2031</v>
      </c>
      <c r="B2008" s="35" t="s">
        <v>1119</v>
      </c>
      <c r="C2008" s="5" t="s">
        <v>4116</v>
      </c>
      <c r="D2008" s="35" t="s">
        <v>84</v>
      </c>
      <c r="E2008" s="35" t="s">
        <v>84</v>
      </c>
      <c r="F2008" s="35">
        <v>52592727</v>
      </c>
      <c r="G2008" s="5" t="s">
        <v>16</v>
      </c>
      <c r="H2008" s="7">
        <v>45939</v>
      </c>
      <c r="I2008" s="7">
        <v>45940</v>
      </c>
      <c r="J2008" s="8">
        <v>150</v>
      </c>
      <c r="K2008" s="5"/>
      <c r="L2008" s="35"/>
      <c r="M2008" s="40"/>
      <c r="N2008" s="18"/>
    </row>
    <row r="2009" spans="1:14" x14ac:dyDescent="0.3">
      <c r="A2009" s="5">
        <v>2032</v>
      </c>
      <c r="B2009" s="35" t="s">
        <v>121</v>
      </c>
      <c r="C2009" s="5" t="s">
        <v>122</v>
      </c>
      <c r="D2009" s="35" t="s">
        <v>137</v>
      </c>
      <c r="E2009" s="35" t="s">
        <v>123</v>
      </c>
      <c r="F2009" s="35">
        <v>57246549</v>
      </c>
      <c r="G2009" s="5" t="s">
        <v>16</v>
      </c>
      <c r="H2009" s="7">
        <v>45939</v>
      </c>
      <c r="I2009" s="7">
        <v>45940</v>
      </c>
      <c r="J2009" s="8">
        <v>150</v>
      </c>
      <c r="K2009" s="5"/>
      <c r="L2009" s="35"/>
      <c r="M2009" s="40"/>
      <c r="N2009" s="18"/>
    </row>
    <row r="2010" spans="1:14" x14ac:dyDescent="0.3">
      <c r="A2010" s="5">
        <v>2033</v>
      </c>
      <c r="B2010" s="35" t="s">
        <v>4117</v>
      </c>
      <c r="C2010" s="5" t="s">
        <v>4118</v>
      </c>
      <c r="D2010" s="35" t="s">
        <v>475</v>
      </c>
      <c r="E2010" s="35" t="s">
        <v>807</v>
      </c>
      <c r="F2010" s="35">
        <v>52588981</v>
      </c>
      <c r="G2010" s="5" t="s">
        <v>16</v>
      </c>
      <c r="H2010" s="7">
        <v>45939</v>
      </c>
      <c r="I2010" s="7">
        <v>45940</v>
      </c>
      <c r="J2010" s="8">
        <v>150</v>
      </c>
      <c r="K2010" s="5"/>
      <c r="L2010" s="35"/>
      <c r="M2010" s="40"/>
      <c r="N2010" s="18"/>
    </row>
    <row r="2011" spans="1:14" x14ac:dyDescent="0.3">
      <c r="A2011" s="5">
        <v>2034</v>
      </c>
      <c r="B2011" s="35" t="s">
        <v>4119</v>
      </c>
      <c r="C2011" s="5" t="s">
        <v>4120</v>
      </c>
      <c r="D2011" s="35" t="s">
        <v>41</v>
      </c>
      <c r="E2011" s="35" t="s">
        <v>126</v>
      </c>
      <c r="F2011" s="35">
        <v>59279665</v>
      </c>
      <c r="G2011" s="5" t="s">
        <v>16</v>
      </c>
      <c r="H2011" s="7">
        <v>45939</v>
      </c>
      <c r="I2011" s="7">
        <v>45940</v>
      </c>
      <c r="J2011" s="8">
        <v>150</v>
      </c>
      <c r="K2011" s="5"/>
      <c r="L2011" s="35"/>
      <c r="M2011" s="40"/>
      <c r="N2011" s="18"/>
    </row>
    <row r="2012" spans="1:14" x14ac:dyDescent="0.3">
      <c r="A2012" s="5">
        <v>2035</v>
      </c>
      <c r="B2012" s="35" t="s">
        <v>987</v>
      </c>
      <c r="C2012" s="5" t="s">
        <v>2043</v>
      </c>
      <c r="D2012" s="35" t="s">
        <v>601</v>
      </c>
      <c r="E2012" s="35" t="s">
        <v>634</v>
      </c>
      <c r="F2012" s="35">
        <v>59283079</v>
      </c>
      <c r="G2012" s="5" t="s">
        <v>16</v>
      </c>
      <c r="H2012" s="7">
        <v>45939</v>
      </c>
      <c r="I2012" s="7">
        <v>45940</v>
      </c>
      <c r="J2012" s="8">
        <v>150</v>
      </c>
      <c r="K2012" s="5"/>
      <c r="L2012" s="35"/>
      <c r="M2012" s="40"/>
      <c r="N2012" s="18"/>
    </row>
    <row r="2013" spans="1:14" x14ac:dyDescent="0.3">
      <c r="A2013" s="5">
        <v>2036</v>
      </c>
      <c r="B2013" s="35" t="s">
        <v>4121</v>
      </c>
      <c r="C2013" s="5" t="s">
        <v>4122</v>
      </c>
      <c r="D2013" s="35" t="s">
        <v>68</v>
      </c>
      <c r="E2013" s="35" t="s">
        <v>69</v>
      </c>
      <c r="F2013" s="35">
        <v>54940068</v>
      </c>
      <c r="G2013" s="5" t="s">
        <v>1024</v>
      </c>
      <c r="H2013" s="7">
        <v>45939</v>
      </c>
      <c r="I2013" s="7">
        <v>45940</v>
      </c>
      <c r="J2013" s="8">
        <v>150</v>
      </c>
      <c r="K2013" s="5"/>
      <c r="L2013" s="35"/>
      <c r="M2013" s="40"/>
      <c r="N2013" s="18"/>
    </row>
    <row r="2014" spans="1:14" x14ac:dyDescent="0.3">
      <c r="A2014" s="5">
        <v>2037</v>
      </c>
      <c r="B2014" s="35" t="s">
        <v>4142</v>
      </c>
      <c r="C2014" s="5" t="s">
        <v>3932</v>
      </c>
      <c r="D2014" s="35" t="s">
        <v>426</v>
      </c>
      <c r="E2014" s="35" t="s">
        <v>19</v>
      </c>
      <c r="F2014" s="35" t="s">
        <v>4123</v>
      </c>
      <c r="G2014" s="5" t="s">
        <v>1024</v>
      </c>
      <c r="H2014" s="7">
        <v>45939</v>
      </c>
      <c r="I2014" s="7">
        <v>45940</v>
      </c>
      <c r="J2014" s="8">
        <v>150</v>
      </c>
      <c r="K2014" s="5"/>
      <c r="L2014" s="35">
        <v>5725</v>
      </c>
      <c r="M2014" s="40"/>
      <c r="N2014" s="18"/>
    </row>
    <row r="2015" spans="1:14" x14ac:dyDescent="0.3">
      <c r="A2015" s="5">
        <v>2038</v>
      </c>
      <c r="B2015" s="35" t="s">
        <v>2845</v>
      </c>
      <c r="C2015" s="5" t="s">
        <v>4124</v>
      </c>
      <c r="D2015" s="35" t="s">
        <v>41</v>
      </c>
      <c r="E2015" s="35" t="s">
        <v>4125</v>
      </c>
      <c r="F2015" s="35">
        <v>57507379</v>
      </c>
      <c r="G2015" s="5" t="s">
        <v>1024</v>
      </c>
      <c r="H2015" s="7">
        <v>45939</v>
      </c>
      <c r="I2015" s="7">
        <v>45940</v>
      </c>
      <c r="J2015" s="8">
        <v>150</v>
      </c>
      <c r="K2015" s="5"/>
      <c r="L2015" s="35">
        <v>2100</v>
      </c>
      <c r="M2015" s="40"/>
      <c r="N2015" s="18"/>
    </row>
    <row r="2016" spans="1:14" x14ac:dyDescent="0.3">
      <c r="A2016" s="5">
        <v>2039</v>
      </c>
      <c r="B2016" s="35" t="s">
        <v>4126</v>
      </c>
      <c r="C2016" s="5" t="s">
        <v>4127</v>
      </c>
      <c r="D2016" s="35" t="s">
        <v>601</v>
      </c>
      <c r="E2016" s="35" t="s">
        <v>546</v>
      </c>
      <c r="F2016" s="35">
        <v>57055133</v>
      </c>
      <c r="G2016" s="5" t="s">
        <v>1024</v>
      </c>
      <c r="H2016" s="7">
        <v>45939</v>
      </c>
      <c r="I2016" s="7">
        <v>45940</v>
      </c>
      <c r="J2016" s="8">
        <v>150</v>
      </c>
      <c r="K2016" s="5"/>
      <c r="L2016" s="35"/>
      <c r="M2016" s="40"/>
      <c r="N2016" s="18"/>
    </row>
    <row r="2017" spans="1:14" x14ac:dyDescent="0.3">
      <c r="A2017" s="5">
        <v>2043</v>
      </c>
      <c r="B2017" s="35" t="s">
        <v>4131</v>
      </c>
      <c r="C2017" s="5" t="s">
        <v>4132</v>
      </c>
      <c r="D2017" s="35" t="s">
        <v>84</v>
      </c>
      <c r="E2017" s="35" t="s">
        <v>84</v>
      </c>
      <c r="F2017" s="35">
        <v>58370880</v>
      </c>
      <c r="G2017" s="5" t="s">
        <v>3617</v>
      </c>
      <c r="H2017" s="7">
        <v>45940</v>
      </c>
      <c r="I2017" s="7">
        <v>45940</v>
      </c>
      <c r="J2017" s="8">
        <v>150</v>
      </c>
      <c r="K2017" s="5"/>
      <c r="L2017" s="35"/>
      <c r="M2017" s="40"/>
      <c r="N2017" s="18"/>
    </row>
    <row r="2018" spans="1:14" x14ac:dyDescent="0.3">
      <c r="A2018" s="5">
        <v>2044</v>
      </c>
      <c r="B2018" s="35" t="s">
        <v>4133</v>
      </c>
      <c r="C2018" s="5" t="s">
        <v>4134</v>
      </c>
      <c r="D2018" s="35" t="s">
        <v>68</v>
      </c>
      <c r="E2018" s="35" t="s">
        <v>69</v>
      </c>
      <c r="F2018" s="35">
        <v>58246946</v>
      </c>
      <c r="G2018" s="5" t="s">
        <v>3617</v>
      </c>
      <c r="H2018" s="7">
        <v>45940</v>
      </c>
      <c r="I2018" s="7">
        <v>45940</v>
      </c>
      <c r="J2018" s="8">
        <v>150</v>
      </c>
      <c r="K2018" s="5"/>
      <c r="L2018" s="35"/>
      <c r="M2018" s="40"/>
      <c r="N2018" s="18"/>
    </row>
    <row r="2019" spans="1:14" x14ac:dyDescent="0.3">
      <c r="A2019" s="5">
        <v>2045</v>
      </c>
      <c r="B2019" s="35" t="s">
        <v>4135</v>
      </c>
      <c r="C2019" s="5" t="s">
        <v>4055</v>
      </c>
      <c r="D2019" s="35" t="s">
        <v>68</v>
      </c>
      <c r="E2019" s="35" t="s">
        <v>785</v>
      </c>
      <c r="F2019" s="35">
        <v>57724658</v>
      </c>
      <c r="G2019" s="5" t="s">
        <v>3617</v>
      </c>
      <c r="H2019" s="7">
        <v>45940</v>
      </c>
      <c r="I2019" s="7">
        <v>45940</v>
      </c>
      <c r="J2019" s="8">
        <v>150</v>
      </c>
      <c r="K2019" s="5"/>
      <c r="L2019" s="35"/>
      <c r="M2019" s="40"/>
      <c r="N2019" s="18"/>
    </row>
    <row r="2020" spans="1:14" x14ac:dyDescent="0.3">
      <c r="A2020" s="5">
        <v>2046</v>
      </c>
      <c r="B2020" s="35" t="s">
        <v>4136</v>
      </c>
      <c r="C2020" s="5" t="s">
        <v>4137</v>
      </c>
      <c r="D2020" s="35" t="s">
        <v>137</v>
      </c>
      <c r="E2020" s="35" t="s">
        <v>1855</v>
      </c>
      <c r="F2020" s="35">
        <v>54946241</v>
      </c>
      <c r="G2020" s="5" t="s">
        <v>3617</v>
      </c>
      <c r="H2020" s="7">
        <v>45940</v>
      </c>
      <c r="I2020" s="7">
        <v>45940</v>
      </c>
      <c r="J2020" s="8">
        <v>150</v>
      </c>
      <c r="K2020" s="5"/>
      <c r="L2020" s="35"/>
      <c r="M2020" s="40"/>
      <c r="N2020" s="18"/>
    </row>
    <row r="2021" spans="1:14" x14ac:dyDescent="0.3">
      <c r="A2021" s="5">
        <v>2047</v>
      </c>
      <c r="B2021" s="35" t="s">
        <v>4138</v>
      </c>
      <c r="C2021" s="5" t="s">
        <v>4139</v>
      </c>
      <c r="D2021" s="35" t="s">
        <v>68</v>
      </c>
      <c r="E2021" s="35" t="s">
        <v>63</v>
      </c>
      <c r="F2021" s="35">
        <v>57133862</v>
      </c>
      <c r="G2021" s="5" t="s">
        <v>3617</v>
      </c>
      <c r="H2021" s="7">
        <v>45940</v>
      </c>
      <c r="I2021" s="7">
        <v>45940</v>
      </c>
      <c r="J2021" s="8">
        <v>150</v>
      </c>
      <c r="K2021" s="5"/>
      <c r="L2021" s="35"/>
      <c r="M2021" s="40"/>
      <c r="N2021" s="18"/>
    </row>
    <row r="2022" spans="1:14" x14ac:dyDescent="0.3">
      <c r="A2022" s="5">
        <v>1985</v>
      </c>
      <c r="B2022" s="5" t="s">
        <v>4043</v>
      </c>
      <c r="C2022" s="5" t="s">
        <v>4044</v>
      </c>
      <c r="D2022" s="5" t="s">
        <v>137</v>
      </c>
      <c r="E2022" s="5" t="s">
        <v>1855</v>
      </c>
      <c r="F2022" s="5">
        <v>57057154</v>
      </c>
      <c r="G2022" s="5" t="s">
        <v>16</v>
      </c>
      <c r="H2022" s="7">
        <v>45936</v>
      </c>
      <c r="I2022" s="7">
        <v>45944</v>
      </c>
      <c r="J2022" s="8">
        <v>150</v>
      </c>
      <c r="K2022" s="5"/>
      <c r="L2022" s="5"/>
      <c r="M2022" s="40"/>
      <c r="N2022" s="18"/>
    </row>
    <row r="2023" spans="1:14" x14ac:dyDescent="0.3">
      <c r="A2023" s="5">
        <v>2013</v>
      </c>
      <c r="B2023" s="35" t="s">
        <v>1187</v>
      </c>
      <c r="C2023" s="5" t="s">
        <v>4093</v>
      </c>
      <c r="D2023" s="35" t="s">
        <v>137</v>
      </c>
      <c r="E2023" s="35" t="s">
        <v>1855</v>
      </c>
      <c r="F2023" s="35">
        <v>57726954</v>
      </c>
      <c r="G2023" s="5" t="s">
        <v>16</v>
      </c>
      <c r="H2023" s="7">
        <v>45939</v>
      </c>
      <c r="I2023" s="7">
        <v>45944</v>
      </c>
      <c r="J2023" s="8">
        <v>150</v>
      </c>
      <c r="K2023" s="5"/>
      <c r="L2023" s="35"/>
      <c r="M2023" s="40"/>
      <c r="N2023" s="18"/>
    </row>
    <row r="2024" spans="1:14" x14ac:dyDescent="0.3">
      <c r="A2024" s="5">
        <v>2040</v>
      </c>
      <c r="B2024" s="35" t="s">
        <v>4128</v>
      </c>
      <c r="C2024" s="5" t="s">
        <v>4129</v>
      </c>
      <c r="D2024" s="35" t="s">
        <v>84</v>
      </c>
      <c r="E2024" s="35" t="s">
        <v>84</v>
      </c>
      <c r="F2024" s="35">
        <v>52532024</v>
      </c>
      <c r="G2024" s="5" t="s">
        <v>1024</v>
      </c>
      <c r="H2024" s="7">
        <v>45939</v>
      </c>
      <c r="I2024" s="7">
        <v>45944</v>
      </c>
      <c r="J2024" s="8">
        <v>150</v>
      </c>
      <c r="K2024" s="5"/>
      <c r="L2024" s="35">
        <v>2275</v>
      </c>
      <c r="M2024" s="40"/>
      <c r="N2024" s="18"/>
    </row>
    <row r="2025" spans="1:14" x14ac:dyDescent="0.3">
      <c r="A2025" s="5">
        <v>2041</v>
      </c>
      <c r="B2025" s="35" t="s">
        <v>3724</v>
      </c>
      <c r="C2025" s="5" t="s">
        <v>3725</v>
      </c>
      <c r="D2025" s="35" t="s">
        <v>68</v>
      </c>
      <c r="E2025" s="35" t="s">
        <v>49</v>
      </c>
      <c r="F2025" s="35">
        <v>58450139</v>
      </c>
      <c r="G2025" s="5" t="s">
        <v>1024</v>
      </c>
      <c r="H2025" s="7">
        <v>45939</v>
      </c>
      <c r="I2025" s="7">
        <v>45944</v>
      </c>
      <c r="J2025" s="8">
        <v>150</v>
      </c>
      <c r="K2025" s="5"/>
      <c r="L2025" s="35">
        <v>8000</v>
      </c>
      <c r="M2025" s="40"/>
      <c r="N2025" s="18"/>
    </row>
    <row r="2026" spans="1:14" x14ac:dyDescent="0.3">
      <c r="A2026" s="5">
        <v>2042</v>
      </c>
      <c r="B2026" s="35" t="s">
        <v>1319</v>
      </c>
      <c r="C2026" s="5" t="s">
        <v>4130</v>
      </c>
      <c r="D2026" s="35" t="s">
        <v>41</v>
      </c>
      <c r="E2026" s="35" t="s">
        <v>1322</v>
      </c>
      <c r="F2026" s="35">
        <v>54955604</v>
      </c>
      <c r="G2026" s="5" t="s">
        <v>1024</v>
      </c>
      <c r="H2026" s="7">
        <v>45939</v>
      </c>
      <c r="I2026" s="7">
        <v>45944</v>
      </c>
      <c r="J2026" s="8">
        <v>150</v>
      </c>
      <c r="K2026" s="5"/>
      <c r="L2026" s="35">
        <v>1800</v>
      </c>
      <c r="M2026" s="40"/>
      <c r="N2026" s="18"/>
    </row>
    <row r="2027" spans="1:14" x14ac:dyDescent="0.3">
      <c r="A2027" s="5">
        <v>2048</v>
      </c>
      <c r="B2027" s="35" t="s">
        <v>4140</v>
      </c>
      <c r="C2027" s="5" t="s">
        <v>4141</v>
      </c>
      <c r="D2027" s="35" t="s">
        <v>84</v>
      </c>
      <c r="E2027" s="35" t="s">
        <v>84</v>
      </c>
      <c r="F2027" s="35">
        <v>58255155</v>
      </c>
      <c r="G2027" s="5" t="s">
        <v>1146</v>
      </c>
      <c r="H2027" s="7">
        <v>45940</v>
      </c>
      <c r="I2027" s="7">
        <v>45944</v>
      </c>
      <c r="J2027" s="8">
        <v>150</v>
      </c>
      <c r="K2027" s="5"/>
      <c r="L2027" s="35">
        <v>375</v>
      </c>
      <c r="M2027" s="40"/>
      <c r="N2027" s="18"/>
    </row>
    <row r="2028" spans="1:14" x14ac:dyDescent="0.3">
      <c r="A2028" s="5">
        <v>2052</v>
      </c>
      <c r="B2028" s="35" t="s">
        <v>4151</v>
      </c>
      <c r="C2028" s="5" t="s">
        <v>4152</v>
      </c>
      <c r="D2028" s="35" t="s">
        <v>68</v>
      </c>
      <c r="E2028" s="35" t="s">
        <v>696</v>
      </c>
      <c r="F2028" s="35">
        <v>57212364</v>
      </c>
      <c r="G2028" s="5" t="s">
        <v>16</v>
      </c>
      <c r="H2028" s="7">
        <v>45943</v>
      </c>
      <c r="I2028" s="7">
        <v>45944</v>
      </c>
      <c r="J2028" s="8">
        <v>150</v>
      </c>
      <c r="K2028" s="5"/>
      <c r="L2028" s="35"/>
      <c r="M2028" s="40"/>
      <c r="N2028" s="18"/>
    </row>
    <row r="2029" spans="1:14" x14ac:dyDescent="0.3">
      <c r="A2029" s="35">
        <v>2053</v>
      </c>
      <c r="B2029" s="35" t="s">
        <v>938</v>
      </c>
      <c r="C2029" s="5" t="s">
        <v>4153</v>
      </c>
      <c r="D2029" s="35" t="s">
        <v>84</v>
      </c>
      <c r="E2029" s="35" t="s">
        <v>84</v>
      </c>
      <c r="F2029" s="35">
        <v>59474962</v>
      </c>
      <c r="G2029" s="5" t="s">
        <v>16</v>
      </c>
      <c r="H2029" s="7">
        <v>45943</v>
      </c>
      <c r="I2029" s="7">
        <v>45944</v>
      </c>
      <c r="J2029" s="8">
        <v>150</v>
      </c>
      <c r="K2029" s="5"/>
      <c r="L2029" s="35"/>
      <c r="M2029" s="40"/>
      <c r="N2029" s="18"/>
    </row>
    <row r="2030" spans="1:14" x14ac:dyDescent="0.3">
      <c r="A2030" s="5">
        <v>2054</v>
      </c>
      <c r="B2030" s="35" t="s">
        <v>4154</v>
      </c>
      <c r="C2030" s="5" t="s">
        <v>4155</v>
      </c>
      <c r="D2030" s="35" t="s">
        <v>569</v>
      </c>
      <c r="E2030" s="35" t="s">
        <v>291</v>
      </c>
      <c r="F2030" s="35">
        <v>58181644</v>
      </c>
      <c r="G2030" s="5" t="s">
        <v>16</v>
      </c>
      <c r="H2030" s="7">
        <v>45943</v>
      </c>
      <c r="I2030" s="7">
        <v>45944</v>
      </c>
      <c r="J2030" s="8">
        <v>150</v>
      </c>
      <c r="K2030" s="5"/>
      <c r="L2030" s="35"/>
      <c r="M2030" s="40"/>
      <c r="N2030" s="18"/>
    </row>
    <row r="2031" spans="1:14" x14ac:dyDescent="0.3">
      <c r="A2031" s="5">
        <v>2055</v>
      </c>
      <c r="B2031" s="35" t="s">
        <v>3754</v>
      </c>
      <c r="C2031" s="5" t="s">
        <v>849</v>
      </c>
      <c r="D2031" s="35" t="s">
        <v>601</v>
      </c>
      <c r="E2031" s="35" t="s">
        <v>850</v>
      </c>
      <c r="F2031" s="35">
        <v>57682584</v>
      </c>
      <c r="G2031" s="5" t="s">
        <v>16</v>
      </c>
      <c r="H2031" s="7">
        <v>45943</v>
      </c>
      <c r="I2031" s="7">
        <v>45944</v>
      </c>
      <c r="J2031" s="8">
        <v>150</v>
      </c>
      <c r="K2031" s="5"/>
      <c r="L2031" s="35"/>
      <c r="M2031" s="40"/>
      <c r="N2031" s="18"/>
    </row>
    <row r="2032" spans="1:14" x14ac:dyDescent="0.3">
      <c r="A2032" s="35">
        <v>2057</v>
      </c>
      <c r="B2032" s="35" t="s">
        <v>4158</v>
      </c>
      <c r="C2032" s="5" t="s">
        <v>84</v>
      </c>
      <c r="D2032" s="35" t="s">
        <v>84</v>
      </c>
      <c r="E2032" s="35" t="s">
        <v>84</v>
      </c>
      <c r="F2032" s="35">
        <v>58645591</v>
      </c>
      <c r="G2032" s="5" t="s">
        <v>16</v>
      </c>
      <c r="H2032" s="7">
        <v>45943</v>
      </c>
      <c r="I2032" s="7">
        <v>45944</v>
      </c>
      <c r="J2032" s="8">
        <v>150</v>
      </c>
      <c r="K2032" s="5"/>
      <c r="L2032" s="35"/>
      <c r="M2032" s="40"/>
      <c r="N2032" s="18"/>
    </row>
    <row r="2033" spans="1:16" x14ac:dyDescent="0.3">
      <c r="A2033" s="5">
        <v>2058</v>
      </c>
      <c r="B2033" s="35" t="s">
        <v>4001</v>
      </c>
      <c r="C2033" s="5" t="s">
        <v>4159</v>
      </c>
      <c r="D2033" s="35" t="s">
        <v>68</v>
      </c>
      <c r="E2033" s="35" t="s">
        <v>49</v>
      </c>
      <c r="F2033" s="35">
        <v>58111868</v>
      </c>
      <c r="G2033" s="5" t="s">
        <v>16</v>
      </c>
      <c r="H2033" s="7">
        <v>45943</v>
      </c>
      <c r="I2033" s="7">
        <v>45944</v>
      </c>
      <c r="J2033" s="8">
        <v>150</v>
      </c>
      <c r="K2033" s="5"/>
      <c r="L2033" s="35"/>
      <c r="M2033" s="40"/>
      <c r="N2033" s="18"/>
    </row>
    <row r="2034" spans="1:16" x14ac:dyDescent="0.3">
      <c r="A2034" s="5">
        <v>2059</v>
      </c>
      <c r="B2034" s="35" t="s">
        <v>4160</v>
      </c>
      <c r="C2034" s="5" t="s">
        <v>3407</v>
      </c>
      <c r="D2034" s="35" t="s">
        <v>137</v>
      </c>
      <c r="E2034" s="35" t="s">
        <v>3407</v>
      </c>
      <c r="F2034" s="35">
        <v>59099227</v>
      </c>
      <c r="G2034" s="5" t="s">
        <v>16</v>
      </c>
      <c r="H2034" s="7">
        <v>45943</v>
      </c>
      <c r="I2034" s="7">
        <v>45944</v>
      </c>
      <c r="J2034" s="8">
        <v>150</v>
      </c>
      <c r="K2034" s="5"/>
      <c r="L2034" s="35"/>
      <c r="M2034" s="40"/>
      <c r="N2034" s="18"/>
    </row>
    <row r="2035" spans="1:16" ht="28.8" x14ac:dyDescent="0.3">
      <c r="A2035" s="5">
        <v>2060</v>
      </c>
      <c r="B2035" s="35" t="s">
        <v>4161</v>
      </c>
      <c r="C2035" s="5" t="s">
        <v>4162</v>
      </c>
      <c r="D2035" s="35" t="s">
        <v>68</v>
      </c>
      <c r="E2035" s="35" t="s">
        <v>49</v>
      </c>
      <c r="F2035" s="35">
        <v>57191755</v>
      </c>
      <c r="G2035" s="5" t="s">
        <v>16</v>
      </c>
      <c r="H2035" s="7">
        <v>45943</v>
      </c>
      <c r="I2035" s="7">
        <v>45944</v>
      </c>
      <c r="J2035" s="8">
        <v>150</v>
      </c>
      <c r="K2035" s="5"/>
      <c r="L2035" s="35" t="s">
        <v>4163</v>
      </c>
      <c r="M2035" s="40"/>
      <c r="N2035" s="18"/>
    </row>
    <row r="2036" spans="1:16" x14ac:dyDescent="0.3">
      <c r="A2036" s="5">
        <v>2062</v>
      </c>
      <c r="B2036" s="35" t="s">
        <v>1383</v>
      </c>
      <c r="C2036" s="5" t="s">
        <v>4165</v>
      </c>
      <c r="D2036" s="35" t="s">
        <v>68</v>
      </c>
      <c r="E2036" s="35" t="s">
        <v>4166</v>
      </c>
      <c r="F2036" s="35">
        <v>57257131</v>
      </c>
      <c r="G2036" s="5" t="s">
        <v>16</v>
      </c>
      <c r="H2036" s="7">
        <v>45943</v>
      </c>
      <c r="I2036" s="7">
        <v>45944</v>
      </c>
      <c r="J2036" s="8">
        <v>150</v>
      </c>
      <c r="K2036" s="5"/>
      <c r="L2036" s="35"/>
      <c r="M2036" s="40"/>
      <c r="N2036" s="18"/>
    </row>
    <row r="2037" spans="1:16" x14ac:dyDescent="0.3">
      <c r="A2037" s="5">
        <v>2063</v>
      </c>
      <c r="B2037" s="35" t="s">
        <v>4015</v>
      </c>
      <c r="C2037" s="5" t="s">
        <v>4016</v>
      </c>
      <c r="D2037" s="35" t="s">
        <v>68</v>
      </c>
      <c r="E2037" s="35" t="s">
        <v>49</v>
      </c>
      <c r="F2037" s="35">
        <v>57068104</v>
      </c>
      <c r="G2037" s="5" t="s">
        <v>16</v>
      </c>
      <c r="H2037" s="7">
        <v>45943</v>
      </c>
      <c r="I2037" s="7">
        <v>45944</v>
      </c>
      <c r="J2037" s="8">
        <v>150</v>
      </c>
      <c r="K2037" s="5"/>
      <c r="L2037" s="35"/>
      <c r="M2037" s="40"/>
      <c r="N2037" s="18"/>
    </row>
    <row r="2038" spans="1:16" x14ac:dyDescent="0.3">
      <c r="A2038" s="5">
        <v>2064</v>
      </c>
      <c r="B2038" s="35" t="s">
        <v>4167</v>
      </c>
      <c r="C2038" s="5" t="s">
        <v>4168</v>
      </c>
      <c r="D2038" s="35" t="s">
        <v>84</v>
      </c>
      <c r="E2038" s="35" t="s">
        <v>149</v>
      </c>
      <c r="F2038" s="35" t="s">
        <v>4169</v>
      </c>
      <c r="G2038" s="5" t="s">
        <v>16</v>
      </c>
      <c r="H2038" s="7">
        <v>45943</v>
      </c>
      <c r="I2038" s="7">
        <v>45944</v>
      </c>
      <c r="J2038" s="8">
        <v>150</v>
      </c>
      <c r="K2038" s="5"/>
      <c r="L2038" s="35"/>
      <c r="M2038" s="40"/>
      <c r="N2038" s="18"/>
    </row>
    <row r="2039" spans="1:16" x14ac:dyDescent="0.3">
      <c r="A2039" s="35">
        <v>2065</v>
      </c>
      <c r="B2039" s="35" t="s">
        <v>4170</v>
      </c>
      <c r="C2039" s="5" t="s">
        <v>4171</v>
      </c>
      <c r="D2039" s="35" t="s">
        <v>601</v>
      </c>
      <c r="E2039" s="35" t="s">
        <v>634</v>
      </c>
      <c r="F2039" s="35">
        <v>59275795</v>
      </c>
      <c r="G2039" s="5" t="s">
        <v>16</v>
      </c>
      <c r="H2039" s="7">
        <v>45943</v>
      </c>
      <c r="I2039" s="7">
        <v>45944</v>
      </c>
      <c r="J2039" s="8">
        <v>150</v>
      </c>
      <c r="K2039" s="5"/>
      <c r="L2039" s="35"/>
      <c r="M2039" s="40"/>
      <c r="N2039" s="18"/>
    </row>
    <row r="2040" spans="1:16" x14ac:dyDescent="0.3">
      <c r="A2040" s="5">
        <v>2066</v>
      </c>
      <c r="B2040" s="35" t="s">
        <v>4172</v>
      </c>
      <c r="C2040" s="5" t="s">
        <v>4173</v>
      </c>
      <c r="D2040" s="35" t="s">
        <v>137</v>
      </c>
      <c r="E2040" s="35" t="s">
        <v>223</v>
      </c>
      <c r="F2040" s="35">
        <v>57012996</v>
      </c>
      <c r="G2040" s="5" t="s">
        <v>16</v>
      </c>
      <c r="H2040" s="7">
        <v>45943</v>
      </c>
      <c r="I2040" s="7">
        <v>45944</v>
      </c>
      <c r="J2040" s="8">
        <v>150</v>
      </c>
      <c r="K2040" s="5"/>
      <c r="L2040" s="35"/>
      <c r="M2040" s="40"/>
      <c r="N2040" s="18"/>
    </row>
    <row r="2041" spans="1:16" x14ac:dyDescent="0.3">
      <c r="A2041" s="5">
        <v>2067</v>
      </c>
      <c r="B2041" s="35" t="s">
        <v>4174</v>
      </c>
      <c r="C2041" s="5" t="s">
        <v>4175</v>
      </c>
      <c r="D2041" s="35" t="s">
        <v>68</v>
      </c>
      <c r="E2041" s="35" t="s">
        <v>63</v>
      </c>
      <c r="F2041" s="35">
        <v>58317285</v>
      </c>
      <c r="G2041" s="5" t="s">
        <v>16</v>
      </c>
      <c r="H2041" s="7">
        <v>45943</v>
      </c>
      <c r="I2041" s="7">
        <v>45944</v>
      </c>
      <c r="J2041" s="8">
        <v>150</v>
      </c>
      <c r="K2041" s="5"/>
      <c r="L2041" s="35"/>
      <c r="M2041" s="40"/>
      <c r="N2041" s="18"/>
    </row>
    <row r="2042" spans="1:16" x14ac:dyDescent="0.3">
      <c r="A2042" s="5">
        <v>2068</v>
      </c>
      <c r="B2042" s="35" t="s">
        <v>4176</v>
      </c>
      <c r="C2042" s="5" t="s">
        <v>4177</v>
      </c>
      <c r="D2042" s="35" t="s">
        <v>569</v>
      </c>
      <c r="E2042" s="35" t="s">
        <v>414</v>
      </c>
      <c r="F2042" s="35">
        <v>59282339</v>
      </c>
      <c r="G2042" s="5" t="s">
        <v>16</v>
      </c>
      <c r="H2042" s="7">
        <v>45943</v>
      </c>
      <c r="I2042" s="7">
        <v>45944</v>
      </c>
      <c r="J2042" s="8">
        <v>150</v>
      </c>
      <c r="K2042" s="5"/>
      <c r="L2042" s="35"/>
      <c r="M2042" s="40"/>
      <c r="N2042" s="18"/>
    </row>
    <row r="2043" spans="1:16" x14ac:dyDescent="0.3">
      <c r="A2043" s="35">
        <v>2069</v>
      </c>
      <c r="B2043" s="35" t="s">
        <v>4178</v>
      </c>
      <c r="C2043" s="5" t="s">
        <v>4179</v>
      </c>
      <c r="D2043" s="35" t="s">
        <v>68</v>
      </c>
      <c r="E2043" s="35" t="s">
        <v>101</v>
      </c>
      <c r="F2043" s="35">
        <v>57091629</v>
      </c>
      <c r="G2043" s="5" t="s">
        <v>16</v>
      </c>
      <c r="H2043" s="7">
        <v>45943</v>
      </c>
      <c r="I2043" s="7">
        <v>45944</v>
      </c>
      <c r="J2043" s="8">
        <v>150</v>
      </c>
      <c r="K2043" s="5"/>
      <c r="L2043" s="35"/>
      <c r="M2043" s="40"/>
      <c r="N2043" s="18"/>
    </row>
    <row r="2044" spans="1:16" x14ac:dyDescent="0.3">
      <c r="A2044" s="5">
        <v>2070</v>
      </c>
      <c r="B2044" s="35" t="s">
        <v>4180</v>
      </c>
      <c r="C2044" s="5" t="s">
        <v>4181</v>
      </c>
      <c r="D2044" s="35" t="s">
        <v>68</v>
      </c>
      <c r="E2044" s="35" t="s">
        <v>74</v>
      </c>
      <c r="F2044" s="35">
        <v>58399665</v>
      </c>
      <c r="G2044" s="5" t="s">
        <v>16</v>
      </c>
      <c r="H2044" s="7">
        <v>45943</v>
      </c>
      <c r="I2044" s="7">
        <v>45944</v>
      </c>
      <c r="J2044" s="8">
        <v>150</v>
      </c>
      <c r="K2044" s="5"/>
      <c r="L2044" s="35"/>
      <c r="M2044" s="40"/>
      <c r="N2044" s="18"/>
    </row>
    <row r="2045" spans="1:16" x14ac:dyDescent="0.3">
      <c r="A2045" s="5">
        <v>2071</v>
      </c>
      <c r="B2045" s="35" t="s">
        <v>1187</v>
      </c>
      <c r="C2045" s="5" t="s">
        <v>4093</v>
      </c>
      <c r="D2045" s="35" t="s">
        <v>137</v>
      </c>
      <c r="E2045" s="35" t="s">
        <v>1855</v>
      </c>
      <c r="F2045" s="35">
        <v>57726954</v>
      </c>
      <c r="G2045" s="5" t="s">
        <v>16</v>
      </c>
      <c r="H2045" s="7">
        <v>45943</v>
      </c>
      <c r="I2045" s="7">
        <v>45944</v>
      </c>
      <c r="J2045" s="8">
        <v>150</v>
      </c>
      <c r="K2045" s="5"/>
      <c r="L2045" s="35"/>
      <c r="M2045" s="40"/>
      <c r="N2045" s="18"/>
      <c r="O2045" s="18"/>
      <c r="P2045" s="18"/>
    </row>
    <row r="2046" spans="1:16" x14ac:dyDescent="0.3">
      <c r="A2046" s="5">
        <v>2072</v>
      </c>
      <c r="B2046" s="35" t="s">
        <v>4182</v>
      </c>
      <c r="C2046" s="5" t="s">
        <v>4183</v>
      </c>
      <c r="D2046" s="35" t="s">
        <v>569</v>
      </c>
      <c r="E2046" s="35" t="s">
        <v>458</v>
      </c>
      <c r="F2046" s="35">
        <v>57505121</v>
      </c>
      <c r="G2046" s="5" t="s">
        <v>16</v>
      </c>
      <c r="H2046" s="7">
        <v>45943</v>
      </c>
      <c r="I2046" s="7">
        <v>45944</v>
      </c>
      <c r="J2046" s="8">
        <v>150</v>
      </c>
      <c r="K2046" s="5"/>
      <c r="L2046" s="35"/>
      <c r="M2046" s="40"/>
      <c r="N2046" s="18"/>
      <c r="O2046" s="18"/>
      <c r="P2046" s="18"/>
    </row>
    <row r="2047" spans="1:16" x14ac:dyDescent="0.3">
      <c r="A2047" s="35">
        <v>2073</v>
      </c>
      <c r="B2047" s="35" t="s">
        <v>3486</v>
      </c>
      <c r="C2047" s="5" t="s">
        <v>3487</v>
      </c>
      <c r="D2047" s="35" t="s">
        <v>569</v>
      </c>
      <c r="E2047" s="35" t="s">
        <v>201</v>
      </c>
      <c r="F2047" s="35">
        <v>57615049</v>
      </c>
      <c r="G2047" s="5" t="s">
        <v>16</v>
      </c>
      <c r="H2047" s="7">
        <v>45943</v>
      </c>
      <c r="I2047" s="7">
        <v>45944</v>
      </c>
      <c r="J2047" s="8">
        <v>150</v>
      </c>
      <c r="K2047" s="5"/>
      <c r="L2047" s="35"/>
      <c r="M2047" s="40"/>
      <c r="N2047" s="18"/>
      <c r="O2047" s="18"/>
      <c r="P2047" s="18"/>
    </row>
    <row r="2048" spans="1:16" x14ac:dyDescent="0.3">
      <c r="A2048" s="5">
        <v>2074</v>
      </c>
      <c r="B2048" s="35" t="s">
        <v>4184</v>
      </c>
      <c r="C2048" s="5" t="s">
        <v>4185</v>
      </c>
      <c r="D2048" s="35" t="s">
        <v>569</v>
      </c>
      <c r="E2048" s="35" t="s">
        <v>1818</v>
      </c>
      <c r="F2048" s="35">
        <v>58085105</v>
      </c>
      <c r="G2048" s="5" t="s">
        <v>1146</v>
      </c>
      <c r="H2048" s="7">
        <v>45944</v>
      </c>
      <c r="I2048" s="7">
        <v>45944</v>
      </c>
      <c r="J2048" s="8">
        <v>150</v>
      </c>
      <c r="K2048" s="5"/>
      <c r="L2048" s="35" t="s">
        <v>1932</v>
      </c>
      <c r="M2048" s="40"/>
      <c r="N2048" s="18"/>
      <c r="O2048" s="18"/>
      <c r="P2048" s="18"/>
    </row>
    <row r="2049" spans="1:16" x14ac:dyDescent="0.3">
      <c r="A2049" s="5">
        <v>2075</v>
      </c>
      <c r="B2049" s="35" t="s">
        <v>4186</v>
      </c>
      <c r="C2049" s="5" t="s">
        <v>4187</v>
      </c>
      <c r="D2049" s="35" t="s">
        <v>569</v>
      </c>
      <c r="E2049" s="35" t="s">
        <v>4188</v>
      </c>
      <c r="F2049" s="35">
        <v>59494005</v>
      </c>
      <c r="G2049" s="5" t="s">
        <v>1024</v>
      </c>
      <c r="H2049" s="7">
        <v>45943</v>
      </c>
      <c r="I2049" s="7">
        <v>45944</v>
      </c>
      <c r="J2049" s="8">
        <v>150</v>
      </c>
      <c r="K2049" s="5"/>
      <c r="L2049" s="35">
        <v>1600</v>
      </c>
      <c r="M2049" s="40"/>
      <c r="N2049" s="18"/>
      <c r="O2049" s="18"/>
      <c r="P2049" s="18"/>
    </row>
    <row r="2050" spans="1:16" x14ac:dyDescent="0.3">
      <c r="A2050" s="5">
        <v>2076</v>
      </c>
      <c r="B2050" s="35" t="s">
        <v>324</v>
      </c>
      <c r="C2050" s="5" t="s">
        <v>4189</v>
      </c>
      <c r="D2050" s="35" t="s">
        <v>84</v>
      </c>
      <c r="E2050" s="35" t="s">
        <v>84</v>
      </c>
      <c r="F2050" s="35">
        <v>57566408</v>
      </c>
      <c r="G2050" s="5" t="s">
        <v>1024</v>
      </c>
      <c r="H2050" s="7">
        <v>45943</v>
      </c>
      <c r="I2050" s="7">
        <v>45944</v>
      </c>
      <c r="J2050" s="8">
        <v>150</v>
      </c>
      <c r="K2050" s="5"/>
      <c r="L2050" s="35"/>
      <c r="O2050" s="18"/>
      <c r="P2050" s="18"/>
    </row>
    <row r="2051" spans="1:16" x14ac:dyDescent="0.3">
      <c r="A2051" s="35">
        <v>2077</v>
      </c>
      <c r="B2051" s="35" t="s">
        <v>1563</v>
      </c>
      <c r="C2051" s="5" t="s">
        <v>4190</v>
      </c>
      <c r="D2051" s="35" t="s">
        <v>41</v>
      </c>
      <c r="E2051" s="35" t="s">
        <v>4125</v>
      </c>
      <c r="F2051" s="35">
        <v>57489546</v>
      </c>
      <c r="G2051" s="5" t="s">
        <v>1024</v>
      </c>
      <c r="H2051" s="7">
        <v>45943</v>
      </c>
      <c r="I2051" s="7">
        <v>45944</v>
      </c>
      <c r="J2051" s="8">
        <v>150</v>
      </c>
      <c r="K2051" s="5"/>
      <c r="L2051" s="35">
        <v>2100</v>
      </c>
      <c r="O2051" s="18"/>
      <c r="P2051" s="18"/>
    </row>
    <row r="2052" spans="1:16" x14ac:dyDescent="0.3">
      <c r="A2052" s="5">
        <v>2079</v>
      </c>
      <c r="B2052" s="35" t="s">
        <v>4047</v>
      </c>
      <c r="C2052" s="5" t="s">
        <v>4193</v>
      </c>
      <c r="D2052" s="35" t="s">
        <v>84</v>
      </c>
      <c r="E2052" s="35" t="s">
        <v>84</v>
      </c>
      <c r="F2052" s="35">
        <v>59220634</v>
      </c>
      <c r="G2052" s="5" t="s">
        <v>1024</v>
      </c>
      <c r="H2052" s="7">
        <v>45943</v>
      </c>
      <c r="I2052" s="7">
        <v>45944</v>
      </c>
      <c r="J2052" s="8">
        <v>150</v>
      </c>
      <c r="K2052" s="5"/>
      <c r="L2052" s="35">
        <v>2000</v>
      </c>
      <c r="M2052" s="49"/>
      <c r="O2052" s="18"/>
      <c r="P2052" s="18"/>
    </row>
    <row r="2053" spans="1:16" x14ac:dyDescent="0.3">
      <c r="A2053" s="5">
        <v>2080</v>
      </c>
      <c r="B2053" s="35" t="s">
        <v>513</v>
      </c>
      <c r="C2053" s="5" t="s">
        <v>4194</v>
      </c>
      <c r="D2053" s="35" t="s">
        <v>68</v>
      </c>
      <c r="E2053" s="35" t="s">
        <v>63</v>
      </c>
      <c r="F2053" s="35">
        <v>55039098</v>
      </c>
      <c r="G2053" s="5" t="s">
        <v>1024</v>
      </c>
      <c r="H2053" s="7">
        <v>45943</v>
      </c>
      <c r="I2053" s="7">
        <v>45944</v>
      </c>
      <c r="J2053" s="8">
        <v>150</v>
      </c>
      <c r="K2053" s="5"/>
      <c r="L2053" s="35">
        <v>1600</v>
      </c>
      <c r="N2053" s="18"/>
      <c r="O2053" s="18"/>
      <c r="P2053" s="18"/>
    </row>
    <row r="2054" spans="1:16" x14ac:dyDescent="0.3">
      <c r="A2054" s="35">
        <v>2081</v>
      </c>
      <c r="B2054" s="5" t="s">
        <v>3618</v>
      </c>
      <c r="C2054" s="5" t="s">
        <v>4195</v>
      </c>
      <c r="D2054" s="5" t="s">
        <v>3619</v>
      </c>
      <c r="E2054" s="5" t="s">
        <v>3619</v>
      </c>
      <c r="F2054" s="5">
        <v>57259408</v>
      </c>
      <c r="G2054" s="5" t="s">
        <v>1024</v>
      </c>
      <c r="H2054" s="7">
        <v>45943</v>
      </c>
      <c r="I2054" s="7">
        <v>45944</v>
      </c>
      <c r="J2054" s="8">
        <v>150</v>
      </c>
      <c r="K2054" s="5"/>
      <c r="L2054" s="35"/>
      <c r="M2054" s="40"/>
      <c r="N2054" s="18"/>
      <c r="O2054" s="18"/>
      <c r="P2054" s="18"/>
    </row>
    <row r="2055" spans="1:16" x14ac:dyDescent="0.3">
      <c r="A2055" s="5">
        <v>2082</v>
      </c>
      <c r="B2055" s="35" t="s">
        <v>3730</v>
      </c>
      <c r="C2055" s="5" t="s">
        <v>4196</v>
      </c>
      <c r="D2055" s="35" t="s">
        <v>68</v>
      </c>
      <c r="E2055" s="35" t="s">
        <v>4166</v>
      </c>
      <c r="F2055" s="35">
        <v>59085437</v>
      </c>
      <c r="G2055" s="5" t="s">
        <v>1024</v>
      </c>
      <c r="H2055" s="7">
        <v>45943</v>
      </c>
      <c r="I2055" s="7">
        <v>45944</v>
      </c>
      <c r="J2055" s="8">
        <v>150</v>
      </c>
      <c r="K2055" s="5"/>
      <c r="L2055" s="35" t="s">
        <v>4197</v>
      </c>
      <c r="M2055" s="40"/>
      <c r="N2055" s="18"/>
      <c r="O2055" s="18"/>
      <c r="P2055" s="18"/>
    </row>
    <row r="2056" spans="1:16" x14ac:dyDescent="0.3">
      <c r="A2056" s="5">
        <v>2056</v>
      </c>
      <c r="B2056" s="35" t="s">
        <v>4156</v>
      </c>
      <c r="C2056" s="5" t="s">
        <v>4157</v>
      </c>
      <c r="D2056" s="35" t="s">
        <v>903</v>
      </c>
      <c r="E2056" s="35" t="s">
        <v>497</v>
      </c>
      <c r="F2056" s="35">
        <v>59477570</v>
      </c>
      <c r="G2056" s="5" t="s">
        <v>16</v>
      </c>
      <c r="H2056" s="7">
        <v>45943</v>
      </c>
      <c r="I2056" s="7">
        <v>45946</v>
      </c>
      <c r="J2056" s="8">
        <v>150</v>
      </c>
      <c r="K2056" s="5"/>
      <c r="L2056" s="35"/>
      <c r="M2056" s="40"/>
      <c r="N2056" s="18"/>
      <c r="O2056" s="18"/>
      <c r="P2056" s="18"/>
    </row>
    <row r="2057" spans="1:16" x14ac:dyDescent="0.3">
      <c r="A2057" s="5">
        <v>283</v>
      </c>
      <c r="B2057" s="5" t="s">
        <v>456</v>
      </c>
      <c r="C2057" s="5" t="s">
        <v>457</v>
      </c>
      <c r="D2057" s="5" t="s">
        <v>14</v>
      </c>
      <c r="E2057" s="5" t="s">
        <v>458</v>
      </c>
      <c r="F2057" s="6">
        <v>59188047</v>
      </c>
      <c r="G2057" s="5" t="s">
        <v>16</v>
      </c>
      <c r="H2057" s="7">
        <v>45781</v>
      </c>
      <c r="I2057" s="9" t="s">
        <v>663</v>
      </c>
      <c r="J2057" s="8">
        <v>0</v>
      </c>
      <c r="K2057" s="9" t="s">
        <v>663</v>
      </c>
      <c r="L2057" s="7" t="s">
        <v>664</v>
      </c>
      <c r="M2057" s="40"/>
      <c r="N2057" s="18"/>
      <c r="O2057" s="18"/>
      <c r="P2057" s="18"/>
    </row>
    <row r="2058" spans="1:16" x14ac:dyDescent="0.3">
      <c r="A2058" s="5">
        <v>378</v>
      </c>
      <c r="B2058" s="5" t="s">
        <v>858</v>
      </c>
      <c r="C2058" s="5" t="s">
        <v>859</v>
      </c>
      <c r="D2058" s="5" t="s">
        <v>475</v>
      </c>
      <c r="E2058" s="5" t="s">
        <v>807</v>
      </c>
      <c r="F2058" s="6">
        <v>57225307</v>
      </c>
      <c r="G2058" s="5" t="s">
        <v>16</v>
      </c>
      <c r="H2058" s="7">
        <v>45791</v>
      </c>
      <c r="I2058" s="7" t="s">
        <v>663</v>
      </c>
      <c r="J2058" s="8">
        <v>0</v>
      </c>
      <c r="K2058" s="9" t="s">
        <v>663</v>
      </c>
      <c r="L2058" s="7"/>
      <c r="M2058" s="40"/>
      <c r="N2058" s="18"/>
      <c r="O2058" s="18"/>
      <c r="P2058" s="18"/>
    </row>
    <row r="2059" spans="1:16" x14ac:dyDescent="0.3">
      <c r="A2059" s="5">
        <v>713</v>
      </c>
      <c r="B2059" s="5" t="s">
        <v>1559</v>
      </c>
      <c r="C2059" s="5" t="s">
        <v>1560</v>
      </c>
      <c r="D2059" s="5" t="s">
        <v>68</v>
      </c>
      <c r="E2059" s="5" t="s">
        <v>226</v>
      </c>
      <c r="F2059" s="5">
        <v>59863415</v>
      </c>
      <c r="G2059" s="5" t="s">
        <v>1567</v>
      </c>
      <c r="H2059" s="7">
        <v>45820</v>
      </c>
      <c r="I2059" s="7" t="s">
        <v>663</v>
      </c>
      <c r="J2059" s="8">
        <v>150</v>
      </c>
      <c r="K2059" s="7">
        <v>45840</v>
      </c>
      <c r="L2059" s="5" t="s">
        <v>1822</v>
      </c>
      <c r="M2059" s="40"/>
      <c r="O2059" s="18"/>
      <c r="P2059" s="18"/>
    </row>
    <row r="2060" spans="1:16" x14ac:dyDescent="0.3">
      <c r="A2060" s="5">
        <v>714</v>
      </c>
      <c r="B2060" s="5" t="s">
        <v>1561</v>
      </c>
      <c r="C2060" s="5" t="s">
        <v>1562</v>
      </c>
      <c r="D2060" s="5" t="s">
        <v>601</v>
      </c>
      <c r="E2060" s="5" t="s">
        <v>546</v>
      </c>
      <c r="F2060" s="5">
        <v>58559921</v>
      </c>
      <c r="G2060" s="5" t="s">
        <v>1567</v>
      </c>
      <c r="H2060" s="7">
        <v>45820</v>
      </c>
      <c r="I2060" s="7" t="s">
        <v>663</v>
      </c>
      <c r="J2060" s="8">
        <v>0</v>
      </c>
      <c r="K2060" s="9" t="s">
        <v>663</v>
      </c>
      <c r="L2060" s="7" t="s">
        <v>2069</v>
      </c>
      <c r="M2060" s="40"/>
      <c r="O2060" s="18"/>
      <c r="P2060" s="18"/>
    </row>
    <row r="2061" spans="1:16" x14ac:dyDescent="0.3">
      <c r="A2061" s="5">
        <v>755</v>
      </c>
      <c r="B2061" s="5" t="s">
        <v>1658</v>
      </c>
      <c r="C2061" s="5" t="s">
        <v>1660</v>
      </c>
      <c r="D2061" s="5" t="s">
        <v>30</v>
      </c>
      <c r="E2061" s="5" t="s">
        <v>1660</v>
      </c>
      <c r="F2061" s="5">
        <v>55329029</v>
      </c>
      <c r="G2061" s="5" t="s">
        <v>1016</v>
      </c>
      <c r="H2061" s="7">
        <v>45828</v>
      </c>
      <c r="I2061" s="7" t="s">
        <v>663</v>
      </c>
      <c r="J2061" s="8">
        <v>150</v>
      </c>
      <c r="K2061" s="7">
        <v>45840</v>
      </c>
      <c r="L2061" s="5" t="s">
        <v>1822</v>
      </c>
      <c r="M2061" s="40"/>
      <c r="O2061" s="18"/>
      <c r="P2061" s="18"/>
    </row>
    <row r="2062" spans="1:16" x14ac:dyDescent="0.3">
      <c r="A2062" s="5">
        <v>828</v>
      </c>
      <c r="B2062" s="5" t="s">
        <v>1744</v>
      </c>
      <c r="C2062" s="5" t="s">
        <v>1745</v>
      </c>
      <c r="D2062" s="5" t="s">
        <v>74</v>
      </c>
      <c r="E2062" s="5" t="s">
        <v>74</v>
      </c>
      <c r="F2062" s="5">
        <v>58247812</v>
      </c>
      <c r="G2062" s="5" t="s">
        <v>16</v>
      </c>
      <c r="H2062" s="7">
        <v>45833</v>
      </c>
      <c r="I2062" s="7" t="s">
        <v>663</v>
      </c>
      <c r="J2062" s="8">
        <v>150</v>
      </c>
      <c r="K2062" s="7">
        <v>45840</v>
      </c>
      <c r="L2062" s="5" t="s">
        <v>1822</v>
      </c>
      <c r="M2062" s="40"/>
      <c r="O2062" s="18"/>
      <c r="P2062" s="18"/>
    </row>
    <row r="2063" spans="1:16" x14ac:dyDescent="0.3">
      <c r="A2063" s="5">
        <v>829</v>
      </c>
      <c r="B2063" s="5" t="s">
        <v>1808</v>
      </c>
      <c r="C2063" s="5" t="s">
        <v>1809</v>
      </c>
      <c r="D2063" s="5" t="s">
        <v>84</v>
      </c>
      <c r="E2063" s="5" t="s">
        <v>84</v>
      </c>
      <c r="F2063" s="5">
        <v>57115049</v>
      </c>
      <c r="G2063" s="5" t="s">
        <v>963</v>
      </c>
      <c r="H2063" s="7">
        <v>45834</v>
      </c>
      <c r="I2063" s="7" t="s">
        <v>663</v>
      </c>
      <c r="J2063" s="16">
        <v>0</v>
      </c>
      <c r="K2063" s="9" t="s">
        <v>663</v>
      </c>
      <c r="L2063" s="7" t="s">
        <v>1922</v>
      </c>
      <c r="O2063" s="18"/>
      <c r="P2063" s="18"/>
    </row>
    <row r="2064" spans="1:16" x14ac:dyDescent="0.3">
      <c r="A2064" s="5">
        <v>999</v>
      </c>
      <c r="B2064" s="5" t="s">
        <v>2160</v>
      </c>
      <c r="C2064" s="5" t="s">
        <v>2161</v>
      </c>
      <c r="D2064" s="5" t="s">
        <v>84</v>
      </c>
      <c r="E2064" s="5" t="s">
        <v>84</v>
      </c>
      <c r="F2064" s="5">
        <v>57547595</v>
      </c>
      <c r="G2064" s="5" t="s">
        <v>16</v>
      </c>
      <c r="H2064" s="7">
        <v>45844</v>
      </c>
      <c r="I2064" s="7" t="s">
        <v>663</v>
      </c>
      <c r="J2064" s="8">
        <v>150</v>
      </c>
      <c r="K2064" s="7">
        <v>45903</v>
      </c>
      <c r="L2064" s="5" t="s">
        <v>1822</v>
      </c>
      <c r="M2064" s="40"/>
      <c r="O2064" s="18"/>
      <c r="P2064" s="18"/>
    </row>
    <row r="2065" spans="1:16" x14ac:dyDescent="0.3">
      <c r="A2065" s="5">
        <v>1130</v>
      </c>
      <c r="B2065" s="5" t="s">
        <v>2321</v>
      </c>
      <c r="C2065" s="5" t="s">
        <v>2356</v>
      </c>
      <c r="D2065" s="5" t="s">
        <v>84</v>
      </c>
      <c r="E2065" s="5" t="s">
        <v>291</v>
      </c>
      <c r="F2065" s="5">
        <v>57925825</v>
      </c>
      <c r="G2065" s="5" t="s">
        <v>16</v>
      </c>
      <c r="H2065" s="7">
        <v>45854</v>
      </c>
      <c r="I2065" s="7" t="s">
        <v>663</v>
      </c>
      <c r="J2065" s="8">
        <v>0</v>
      </c>
      <c r="K2065" s="9" t="s">
        <v>663</v>
      </c>
      <c r="L2065" s="7" t="s">
        <v>2438</v>
      </c>
      <c r="M2065" s="40"/>
      <c r="O2065" s="18"/>
      <c r="P2065" s="18"/>
    </row>
    <row r="2066" spans="1:16" x14ac:dyDescent="0.3">
      <c r="A2066" s="5">
        <v>1149</v>
      </c>
      <c r="B2066" s="5" t="s">
        <v>996</v>
      </c>
      <c r="C2066" s="5" t="s">
        <v>997</v>
      </c>
      <c r="D2066" s="5" t="s">
        <v>137</v>
      </c>
      <c r="E2066" s="5" t="s">
        <v>998</v>
      </c>
      <c r="F2066" s="5">
        <v>57689442</v>
      </c>
      <c r="G2066" s="5" t="s">
        <v>16</v>
      </c>
      <c r="H2066" s="7">
        <v>45858</v>
      </c>
      <c r="I2066" s="5" t="s">
        <v>663</v>
      </c>
      <c r="J2066" s="8">
        <v>0</v>
      </c>
      <c r="K2066" s="5" t="s">
        <v>663</v>
      </c>
      <c r="L2066" s="5" t="s">
        <v>2476</v>
      </c>
      <c r="M2066" s="40"/>
      <c r="O2066" s="18"/>
      <c r="P2066" s="18"/>
    </row>
    <row r="2067" spans="1:16" x14ac:dyDescent="0.3">
      <c r="A2067" s="5">
        <v>1231</v>
      </c>
      <c r="B2067" s="5" t="s">
        <v>2613</v>
      </c>
      <c r="C2067" s="5" t="s">
        <v>1140</v>
      </c>
      <c r="D2067" s="5" t="s">
        <v>1140</v>
      </c>
      <c r="E2067" s="5" t="s">
        <v>1140</v>
      </c>
      <c r="F2067" s="5">
        <v>58454425</v>
      </c>
      <c r="G2067" s="5" t="s">
        <v>2607</v>
      </c>
      <c r="H2067" s="7">
        <v>45866</v>
      </c>
      <c r="I2067" s="5" t="s">
        <v>663</v>
      </c>
      <c r="J2067" s="8">
        <v>0</v>
      </c>
      <c r="K2067" s="5" t="s">
        <v>663</v>
      </c>
      <c r="L2067" s="5">
        <v>950</v>
      </c>
      <c r="M2067" s="40"/>
      <c r="O2067" s="18"/>
      <c r="P2067" s="18"/>
    </row>
    <row r="2068" spans="1:16" x14ac:dyDescent="0.3">
      <c r="A2068" s="5">
        <v>1255</v>
      </c>
      <c r="B2068" s="5" t="s">
        <v>2669</v>
      </c>
      <c r="C2068" s="5" t="s">
        <v>2665</v>
      </c>
      <c r="D2068" s="5" t="s">
        <v>2665</v>
      </c>
      <c r="E2068" s="5" t="s">
        <v>1170</v>
      </c>
      <c r="F2068" s="5">
        <v>54950540</v>
      </c>
      <c r="G2068" s="5" t="s">
        <v>2607</v>
      </c>
      <c r="H2068" s="7">
        <v>45869</v>
      </c>
      <c r="I2068" s="7" t="s">
        <v>663</v>
      </c>
      <c r="J2068" s="8">
        <v>150</v>
      </c>
      <c r="K2068" s="7">
        <v>45903</v>
      </c>
      <c r="L2068" s="5" t="s">
        <v>1822</v>
      </c>
      <c r="M2068" s="40"/>
      <c r="O2068" s="18"/>
      <c r="P2068" s="18"/>
    </row>
    <row r="2069" spans="1:16" x14ac:dyDescent="0.3">
      <c r="A2069" s="5">
        <v>1261</v>
      </c>
      <c r="B2069" s="5" t="s">
        <v>2678</v>
      </c>
      <c r="C2069" s="5" t="s">
        <v>201</v>
      </c>
      <c r="D2069" s="5" t="s">
        <v>201</v>
      </c>
      <c r="E2069" s="5" t="s">
        <v>201</v>
      </c>
      <c r="F2069" s="5">
        <v>58475169</v>
      </c>
      <c r="G2069" s="5" t="s">
        <v>2607</v>
      </c>
      <c r="H2069" s="7">
        <v>45869</v>
      </c>
      <c r="I2069" s="7" t="s">
        <v>663</v>
      </c>
      <c r="J2069" s="8">
        <v>0</v>
      </c>
      <c r="K2069" s="5" t="s">
        <v>663</v>
      </c>
      <c r="L2069" s="5">
        <v>825</v>
      </c>
      <c r="M2069" s="40"/>
      <c r="O2069" s="18"/>
      <c r="P2069" s="18"/>
    </row>
    <row r="2070" spans="1:16" x14ac:dyDescent="0.3">
      <c r="A2070" s="5">
        <v>1262</v>
      </c>
      <c r="B2070" s="5" t="s">
        <v>2679</v>
      </c>
      <c r="C2070" s="5" t="s">
        <v>2282</v>
      </c>
      <c r="D2070" s="5" t="s">
        <v>2282</v>
      </c>
      <c r="E2070" s="5" t="s">
        <v>2949</v>
      </c>
      <c r="F2070" s="5">
        <v>57925858</v>
      </c>
      <c r="G2070" s="5" t="s">
        <v>2607</v>
      </c>
      <c r="H2070" s="7">
        <v>45869</v>
      </c>
      <c r="I2070" s="7" t="s">
        <v>663</v>
      </c>
      <c r="J2070" s="8">
        <v>150</v>
      </c>
      <c r="K2070" s="5" t="s">
        <v>663</v>
      </c>
      <c r="L2070" s="5" t="s">
        <v>1822</v>
      </c>
      <c r="M2070" s="40"/>
      <c r="O2070" s="18"/>
      <c r="P2070" s="18"/>
    </row>
    <row r="2071" spans="1:16" x14ac:dyDescent="0.3">
      <c r="A2071" s="5">
        <v>1352</v>
      </c>
      <c r="B2071" s="5" t="s">
        <v>2844</v>
      </c>
      <c r="C2071" s="5" t="s">
        <v>131</v>
      </c>
      <c r="D2071" s="5" t="s">
        <v>475</v>
      </c>
      <c r="E2071" s="5" t="s">
        <v>475</v>
      </c>
      <c r="F2071" s="5">
        <v>57675891</v>
      </c>
      <c r="G2071" s="5" t="s">
        <v>1016</v>
      </c>
      <c r="H2071" s="7">
        <v>45881</v>
      </c>
      <c r="I2071" s="7" t="s">
        <v>663</v>
      </c>
      <c r="J2071" s="8">
        <v>0</v>
      </c>
      <c r="K2071" s="5" t="s">
        <v>663</v>
      </c>
      <c r="L2071" s="5">
        <v>1750</v>
      </c>
      <c r="M2071" s="40"/>
      <c r="O2071" s="18"/>
      <c r="P2071" s="18"/>
    </row>
    <row r="2072" spans="1:16" x14ac:dyDescent="0.3">
      <c r="A2072" s="5">
        <v>1470</v>
      </c>
      <c r="B2072" s="5" t="s">
        <v>3078</v>
      </c>
      <c r="C2072" s="5" t="s">
        <v>3079</v>
      </c>
      <c r="D2072" s="5" t="s">
        <v>63</v>
      </c>
      <c r="E2072" s="5" t="s">
        <v>63</v>
      </c>
      <c r="F2072" s="5">
        <v>59757531</v>
      </c>
      <c r="G2072" s="5" t="s">
        <v>1567</v>
      </c>
      <c r="H2072" s="7">
        <v>45895</v>
      </c>
      <c r="I2072" s="7" t="s">
        <v>663</v>
      </c>
      <c r="J2072" s="8">
        <v>0</v>
      </c>
      <c r="K2072" s="5" t="s">
        <v>663</v>
      </c>
      <c r="L2072" s="5">
        <v>2600</v>
      </c>
      <c r="M2072" s="40"/>
      <c r="O2072" s="18"/>
      <c r="P2072" s="18"/>
    </row>
    <row r="2073" spans="1:16" x14ac:dyDescent="0.3">
      <c r="A2073" s="5">
        <v>1511</v>
      </c>
      <c r="B2073" s="5" t="s">
        <v>3140</v>
      </c>
      <c r="C2073" s="5" t="s">
        <v>3139</v>
      </c>
      <c r="D2073" s="5" t="s">
        <v>3139</v>
      </c>
      <c r="E2073" s="5" t="s">
        <v>3333</v>
      </c>
      <c r="F2073" s="5">
        <v>59230524</v>
      </c>
      <c r="G2073" s="5" t="s">
        <v>3082</v>
      </c>
      <c r="H2073" s="7">
        <v>45895</v>
      </c>
      <c r="I2073" s="7" t="s">
        <v>663</v>
      </c>
      <c r="J2073" s="8">
        <v>0</v>
      </c>
      <c r="K2073" s="5" t="s">
        <v>663</v>
      </c>
      <c r="L2073" s="5"/>
      <c r="M2073" s="40"/>
      <c r="O2073" s="18"/>
      <c r="P2073" s="18"/>
    </row>
    <row r="2074" spans="1:16" x14ac:dyDescent="0.3">
      <c r="A2074" s="5">
        <v>1689</v>
      </c>
      <c r="B2074" s="5" t="s">
        <v>2921</v>
      </c>
      <c r="C2074" s="5" t="s">
        <v>3494</v>
      </c>
      <c r="D2074" s="5" t="s">
        <v>84</v>
      </c>
      <c r="E2074" s="5" t="s">
        <v>84</v>
      </c>
      <c r="F2074" s="5">
        <v>58384830</v>
      </c>
      <c r="G2074" s="5" t="s">
        <v>1024</v>
      </c>
      <c r="H2074" s="7">
        <v>45904</v>
      </c>
      <c r="I2074" s="9" t="s">
        <v>663</v>
      </c>
      <c r="J2074" s="8">
        <v>0</v>
      </c>
      <c r="K2074" s="5" t="s">
        <v>663</v>
      </c>
      <c r="L2074" s="5">
        <v>2000</v>
      </c>
      <c r="M2074" s="40"/>
      <c r="O2074" s="18"/>
      <c r="P2074" s="18"/>
    </row>
    <row r="2075" spans="1:16" x14ac:dyDescent="0.3">
      <c r="A2075" s="5">
        <v>1734</v>
      </c>
      <c r="B2075" s="5" t="s">
        <v>3572</v>
      </c>
      <c r="C2075" s="5" t="s">
        <v>3573</v>
      </c>
      <c r="D2075" s="5" t="s">
        <v>546</v>
      </c>
      <c r="E2075" s="5" t="s">
        <v>546</v>
      </c>
      <c r="F2075" s="5">
        <v>58991370</v>
      </c>
      <c r="G2075" s="5" t="s">
        <v>963</v>
      </c>
      <c r="H2075" s="7">
        <v>45909</v>
      </c>
      <c r="I2075" s="5" t="s">
        <v>663</v>
      </c>
      <c r="J2075" s="8">
        <v>0</v>
      </c>
      <c r="K2075" s="5" t="s">
        <v>663</v>
      </c>
      <c r="L2075" s="5" t="s">
        <v>2069</v>
      </c>
      <c r="M2075" s="40"/>
      <c r="O2075" s="18"/>
      <c r="P2075" s="18"/>
    </row>
    <row r="2076" spans="1:16" x14ac:dyDescent="0.3">
      <c r="A2076" s="5">
        <v>1922</v>
      </c>
      <c r="B2076" s="5" t="s">
        <v>3889</v>
      </c>
      <c r="C2076" s="5" t="s">
        <v>3924</v>
      </c>
      <c r="D2076" s="5" t="s">
        <v>569</v>
      </c>
      <c r="E2076" s="5" t="s">
        <v>414</v>
      </c>
      <c r="F2076" s="5">
        <v>57942191</v>
      </c>
      <c r="G2076" s="5" t="s">
        <v>963</v>
      </c>
      <c r="H2076" s="7">
        <v>45930</v>
      </c>
      <c r="I2076" s="7" t="s">
        <v>663</v>
      </c>
      <c r="J2076" s="8">
        <v>0</v>
      </c>
      <c r="K2076" s="5" t="s">
        <v>663</v>
      </c>
      <c r="L2076" s="5">
        <v>1425</v>
      </c>
      <c r="M2076" s="40"/>
      <c r="O2076" s="18"/>
      <c r="P2076" s="18"/>
    </row>
    <row r="2077" spans="1:16" x14ac:dyDescent="0.3">
      <c r="A2077" s="5">
        <v>1926</v>
      </c>
      <c r="B2077" s="5" t="s">
        <v>3893</v>
      </c>
      <c r="C2077" s="5" t="s">
        <v>3928</v>
      </c>
      <c r="D2077" s="5" t="s">
        <v>569</v>
      </c>
      <c r="E2077" s="5" t="s">
        <v>767</v>
      </c>
      <c r="F2077" s="5">
        <v>58122636</v>
      </c>
      <c r="G2077" s="5" t="s">
        <v>1024</v>
      </c>
      <c r="H2077" s="7">
        <v>45929</v>
      </c>
      <c r="I2077" s="7" t="s">
        <v>663</v>
      </c>
      <c r="J2077" s="8">
        <v>0</v>
      </c>
      <c r="K2077" s="5" t="s">
        <v>663</v>
      </c>
      <c r="L2077" s="5"/>
      <c r="M2077" s="40"/>
      <c r="O2077" s="18"/>
      <c r="P2077" s="18"/>
    </row>
    <row r="2078" spans="1:16" x14ac:dyDescent="0.3">
      <c r="A2078" s="5">
        <v>1997</v>
      </c>
      <c r="B2078" s="35" t="s">
        <v>4063</v>
      </c>
      <c r="C2078" s="5" t="s">
        <v>4145</v>
      </c>
      <c r="D2078" s="35" t="s">
        <v>569</v>
      </c>
      <c r="E2078" s="35" t="s">
        <v>368</v>
      </c>
      <c r="F2078" s="35">
        <v>57262278</v>
      </c>
      <c r="G2078" s="5" t="s">
        <v>963</v>
      </c>
      <c r="H2078" s="7">
        <v>45937</v>
      </c>
      <c r="I2078" s="7" t="s">
        <v>663</v>
      </c>
      <c r="J2078" s="8">
        <v>0</v>
      </c>
      <c r="K2078" s="5" t="s">
        <v>663</v>
      </c>
      <c r="L2078" s="35">
        <v>1800</v>
      </c>
      <c r="M2078" s="40"/>
      <c r="O2078" s="18"/>
      <c r="P2078" s="18"/>
    </row>
    <row r="2079" spans="1:16" x14ac:dyDescent="0.3">
      <c r="A2079" s="35">
        <v>2049</v>
      </c>
      <c r="B2079" s="5" t="s">
        <v>4143</v>
      </c>
      <c r="C2079" s="5" t="s">
        <v>4144</v>
      </c>
      <c r="D2079" s="35" t="s">
        <v>84</v>
      </c>
      <c r="E2079" s="35" t="s">
        <v>84</v>
      </c>
      <c r="F2079" s="5">
        <v>58056797</v>
      </c>
      <c r="G2079" s="5" t="s">
        <v>1024</v>
      </c>
      <c r="H2079" s="7">
        <v>45939</v>
      </c>
      <c r="I2079" s="7" t="s">
        <v>663</v>
      </c>
      <c r="J2079" s="8">
        <v>0</v>
      </c>
      <c r="K2079" s="5" t="s">
        <v>663</v>
      </c>
      <c r="L2079" s="5">
        <v>3275</v>
      </c>
      <c r="M2079" s="40"/>
      <c r="O2079" s="18"/>
      <c r="P2079" s="18"/>
    </row>
    <row r="2080" spans="1:16" x14ac:dyDescent="0.3">
      <c r="A2080" s="5">
        <v>2050</v>
      </c>
      <c r="B2080" s="35" t="s">
        <v>4146</v>
      </c>
      <c r="C2080" s="5" t="s">
        <v>4147</v>
      </c>
      <c r="D2080" s="35" t="s">
        <v>84</v>
      </c>
      <c r="E2080" s="35" t="s">
        <v>84</v>
      </c>
      <c r="F2080" s="35">
        <v>57721897</v>
      </c>
      <c r="G2080" s="5" t="s">
        <v>16</v>
      </c>
      <c r="H2080" s="7">
        <v>45943</v>
      </c>
      <c r="I2080" s="7" t="s">
        <v>1052</v>
      </c>
      <c r="J2080" s="8">
        <v>150</v>
      </c>
      <c r="K2080" s="5"/>
      <c r="L2080" s="35" t="s">
        <v>4148</v>
      </c>
      <c r="M2080" s="40"/>
      <c r="O2080" s="18"/>
      <c r="P2080" s="18"/>
    </row>
    <row r="2081" spans="1:16" x14ac:dyDescent="0.3">
      <c r="A2081" s="5">
        <v>2051</v>
      </c>
      <c r="B2081" s="35" t="s">
        <v>4149</v>
      </c>
      <c r="C2081" s="5" t="s">
        <v>4150</v>
      </c>
      <c r="D2081" s="35" t="s">
        <v>601</v>
      </c>
      <c r="E2081" s="35" t="s">
        <v>634</v>
      </c>
      <c r="F2081" s="35">
        <v>57829318</v>
      </c>
      <c r="G2081" s="5" t="s">
        <v>16</v>
      </c>
      <c r="H2081" s="7">
        <v>45943</v>
      </c>
      <c r="I2081" s="7" t="s">
        <v>1052</v>
      </c>
      <c r="J2081" s="8">
        <v>150</v>
      </c>
      <c r="K2081" s="5"/>
      <c r="L2081" s="35"/>
      <c r="M2081" s="40"/>
      <c r="O2081" s="18"/>
      <c r="P2081" s="18"/>
    </row>
    <row r="2082" spans="1:16" x14ac:dyDescent="0.3">
      <c r="A2082" s="35">
        <v>2061</v>
      </c>
      <c r="B2082" s="35" t="s">
        <v>3962</v>
      </c>
      <c r="C2082" s="5" t="s">
        <v>4164</v>
      </c>
      <c r="D2082" s="35" t="s">
        <v>68</v>
      </c>
      <c r="E2082" s="35" t="s">
        <v>101</v>
      </c>
      <c r="F2082" s="35">
        <v>57686075</v>
      </c>
      <c r="G2082" s="5" t="s">
        <v>16</v>
      </c>
      <c r="H2082" s="7">
        <v>45943</v>
      </c>
      <c r="I2082" s="7" t="s">
        <v>1052</v>
      </c>
      <c r="J2082" s="8">
        <v>150</v>
      </c>
      <c r="K2082" s="5"/>
      <c r="L2082" s="35"/>
      <c r="M2082" s="40"/>
      <c r="O2082" s="18"/>
      <c r="P2082" s="18"/>
    </row>
    <row r="2083" spans="1:16" x14ac:dyDescent="0.3">
      <c r="A2083" s="5">
        <v>2078</v>
      </c>
      <c r="B2083" s="35" t="s">
        <v>4191</v>
      </c>
      <c r="C2083" s="5" t="s">
        <v>4192</v>
      </c>
      <c r="D2083" s="35" t="s">
        <v>68</v>
      </c>
      <c r="E2083" s="35" t="s">
        <v>163</v>
      </c>
      <c r="F2083" s="35">
        <v>57829719</v>
      </c>
      <c r="G2083" s="5" t="s">
        <v>1024</v>
      </c>
      <c r="H2083" s="7">
        <v>45943</v>
      </c>
      <c r="I2083" s="7" t="s">
        <v>1052</v>
      </c>
      <c r="J2083" s="8">
        <v>150</v>
      </c>
      <c r="K2083" s="5"/>
      <c r="L2083" s="35">
        <v>2150</v>
      </c>
      <c r="M2083" s="40"/>
      <c r="O2083" s="18"/>
      <c r="P2083" s="18"/>
    </row>
    <row r="2084" spans="1:16" x14ac:dyDescent="0.3">
      <c r="A2084" s="40"/>
      <c r="B2084" s="35" t="s">
        <v>1742</v>
      </c>
      <c r="C2084" s="35" t="s">
        <v>4198</v>
      </c>
      <c r="D2084" s="35" t="s">
        <v>475</v>
      </c>
      <c r="E2084" s="35" t="s">
        <v>807</v>
      </c>
      <c r="F2084" s="35">
        <v>58253335</v>
      </c>
      <c r="G2084" s="5" t="s">
        <v>16</v>
      </c>
      <c r="H2084" s="7">
        <v>45946</v>
      </c>
      <c r="I2084" s="7"/>
      <c r="J2084" s="8"/>
      <c r="K2084" s="5"/>
      <c r="L2084" s="35"/>
      <c r="M2084" s="40"/>
    </row>
    <row r="2085" spans="1:16" x14ac:dyDescent="0.3">
      <c r="A2085" s="40"/>
      <c r="B2085" s="35" t="s">
        <v>4199</v>
      </c>
      <c r="C2085" s="35" t="s">
        <v>4200</v>
      </c>
      <c r="D2085" s="35" t="s">
        <v>601</v>
      </c>
      <c r="E2085" s="35" t="s">
        <v>155</v>
      </c>
      <c r="F2085" s="35">
        <v>54898634</v>
      </c>
      <c r="G2085" s="5" t="s">
        <v>16</v>
      </c>
      <c r="H2085" s="7">
        <v>45946</v>
      </c>
      <c r="I2085" s="7"/>
      <c r="J2085" s="8"/>
      <c r="K2085" s="5"/>
      <c r="L2085" s="35"/>
    </row>
    <row r="2086" spans="1:16" x14ac:dyDescent="0.3">
      <c r="A2086" s="49"/>
      <c r="B2086" s="35" t="s">
        <v>4201</v>
      </c>
      <c r="C2086" s="35" t="s">
        <v>4202</v>
      </c>
      <c r="D2086" s="35" t="s">
        <v>137</v>
      </c>
      <c r="E2086" s="35" t="s">
        <v>4203</v>
      </c>
      <c r="F2086" s="35">
        <v>54891910</v>
      </c>
      <c r="G2086" s="5" t="s">
        <v>16</v>
      </c>
      <c r="H2086" s="7">
        <v>45946</v>
      </c>
      <c r="I2086" s="7"/>
      <c r="J2086" s="8"/>
      <c r="K2086" s="5"/>
      <c r="L2086" s="35"/>
      <c r="M2086" s="18"/>
    </row>
    <row r="2087" spans="1:16" x14ac:dyDescent="0.3">
      <c r="A2087" s="40"/>
      <c r="B2087" s="35" t="s">
        <v>4204</v>
      </c>
      <c r="C2087" s="35" t="s">
        <v>4205</v>
      </c>
      <c r="D2087" s="35" t="s">
        <v>569</v>
      </c>
      <c r="E2087" s="35" t="s">
        <v>144</v>
      </c>
      <c r="F2087" s="35">
        <v>59028859</v>
      </c>
      <c r="G2087" s="5" t="s">
        <v>16</v>
      </c>
      <c r="H2087" s="7">
        <v>45946</v>
      </c>
      <c r="I2087" s="7"/>
      <c r="J2087" s="8"/>
      <c r="K2087" s="5"/>
      <c r="L2087" s="35"/>
      <c r="M2087" s="18"/>
    </row>
    <row r="2088" spans="1:16" x14ac:dyDescent="0.3">
      <c r="A2088" s="40"/>
      <c r="B2088" s="35" t="s">
        <v>2697</v>
      </c>
      <c r="C2088" s="35" t="s">
        <v>2733</v>
      </c>
      <c r="D2088" s="35" t="s">
        <v>569</v>
      </c>
      <c r="E2088" s="35" t="s">
        <v>276</v>
      </c>
      <c r="F2088" s="35">
        <v>55042488</v>
      </c>
      <c r="G2088" s="5" t="s">
        <v>16</v>
      </c>
      <c r="H2088" s="7">
        <v>45946</v>
      </c>
      <c r="I2088" s="7"/>
      <c r="J2088" s="8"/>
      <c r="K2088" s="5"/>
      <c r="L2088" s="35"/>
      <c r="M2088" s="18"/>
    </row>
    <row r="2089" spans="1:16" x14ac:dyDescent="0.3">
      <c r="A2089" s="40"/>
      <c r="B2089" s="35" t="s">
        <v>4206</v>
      </c>
      <c r="C2089" s="35" t="s">
        <v>4207</v>
      </c>
      <c r="D2089" s="35" t="s">
        <v>84</v>
      </c>
      <c r="E2089" s="35" t="s">
        <v>4082</v>
      </c>
      <c r="F2089" s="35">
        <v>57679467</v>
      </c>
      <c r="G2089" s="5" t="s">
        <v>16</v>
      </c>
      <c r="H2089" s="7">
        <v>45946</v>
      </c>
      <c r="I2089" s="7"/>
      <c r="J2089" s="8"/>
      <c r="K2089" s="5"/>
      <c r="L2089" s="35"/>
      <c r="M2089" s="18"/>
    </row>
    <row r="2090" spans="1:16" x14ac:dyDescent="0.3">
      <c r="A2090" s="40"/>
      <c r="B2090" s="35" t="s">
        <v>4208</v>
      </c>
      <c r="C2090" s="35" t="s">
        <v>4209</v>
      </c>
      <c r="D2090" s="35" t="s">
        <v>569</v>
      </c>
      <c r="E2090" s="35" t="s">
        <v>144</v>
      </c>
      <c r="F2090" s="35">
        <v>58169786</v>
      </c>
      <c r="G2090" s="5" t="s">
        <v>16</v>
      </c>
      <c r="H2090" s="7">
        <v>45946</v>
      </c>
      <c r="I2090" s="7"/>
      <c r="J2090" s="8"/>
      <c r="K2090" s="5"/>
      <c r="L2090" s="35"/>
      <c r="M2090" s="18"/>
    </row>
    <row r="2091" spans="1:16" x14ac:dyDescent="0.3">
      <c r="A2091" s="40"/>
      <c r="B2091" s="35" t="s">
        <v>4210</v>
      </c>
      <c r="C2091" s="35" t="s">
        <v>4171</v>
      </c>
      <c r="D2091" s="35" t="s">
        <v>601</v>
      </c>
      <c r="E2091" s="35" t="s">
        <v>634</v>
      </c>
      <c r="F2091" s="35">
        <v>59275795</v>
      </c>
      <c r="G2091" s="5" t="s">
        <v>16</v>
      </c>
      <c r="H2091" s="7">
        <v>45946</v>
      </c>
      <c r="I2091" s="7"/>
      <c r="J2091" s="8"/>
      <c r="K2091" s="5"/>
      <c r="L2091" s="35"/>
    </row>
    <row r="2092" spans="1:16" ht="28.8" x14ac:dyDescent="0.3">
      <c r="A2092" s="40"/>
      <c r="B2092" s="35" t="s">
        <v>4211</v>
      </c>
      <c r="C2092" s="35" t="s">
        <v>4212</v>
      </c>
      <c r="D2092" s="35" t="s">
        <v>68</v>
      </c>
      <c r="E2092" s="35" t="s">
        <v>63</v>
      </c>
      <c r="F2092" s="35">
        <v>57370671</v>
      </c>
      <c r="G2092" s="5" t="s">
        <v>16</v>
      </c>
      <c r="H2092" s="7">
        <v>45946</v>
      </c>
      <c r="I2092" s="7"/>
      <c r="J2092" s="8"/>
      <c r="K2092" s="5"/>
      <c r="L2092" s="35"/>
    </row>
    <row r="2093" spans="1:16" x14ac:dyDescent="0.3">
      <c r="A2093" s="40"/>
      <c r="B2093" s="35" t="s">
        <v>4213</v>
      </c>
      <c r="C2093" s="35" t="s">
        <v>4214</v>
      </c>
      <c r="D2093" s="35" t="s">
        <v>68</v>
      </c>
      <c r="E2093" s="35" t="s">
        <v>49</v>
      </c>
      <c r="F2093" s="35">
        <v>59275005</v>
      </c>
      <c r="G2093" s="5" t="s">
        <v>16</v>
      </c>
      <c r="H2093" s="7">
        <v>45946</v>
      </c>
      <c r="I2093" s="7"/>
      <c r="J2093" s="8"/>
      <c r="K2093" s="5"/>
      <c r="L2093" s="35"/>
    </row>
    <row r="2094" spans="1:16" x14ac:dyDescent="0.3">
      <c r="A2094" s="40"/>
      <c r="B2094" s="35" t="s">
        <v>4215</v>
      </c>
      <c r="C2094" s="35" t="s">
        <v>4216</v>
      </c>
      <c r="D2094" s="35" t="s">
        <v>601</v>
      </c>
      <c r="E2094" s="35" t="s">
        <v>546</v>
      </c>
      <c r="F2094" s="35">
        <v>58363979</v>
      </c>
      <c r="G2094" s="5" t="s">
        <v>16</v>
      </c>
      <c r="H2094" s="7">
        <v>45946</v>
      </c>
      <c r="I2094" s="7"/>
      <c r="J2094" s="8"/>
      <c r="K2094" s="5"/>
      <c r="L2094" s="35"/>
    </row>
    <row r="2095" spans="1:16" x14ac:dyDescent="0.3">
      <c r="A2095" s="40"/>
      <c r="B2095" s="35" t="s">
        <v>4217</v>
      </c>
      <c r="C2095" s="35" t="s">
        <v>4032</v>
      </c>
      <c r="D2095" s="35" t="s">
        <v>569</v>
      </c>
      <c r="E2095" s="35" t="s">
        <v>276</v>
      </c>
      <c r="F2095" s="35">
        <v>57067686</v>
      </c>
      <c r="G2095" s="5" t="s">
        <v>16</v>
      </c>
      <c r="H2095" s="7">
        <v>45946</v>
      </c>
      <c r="I2095" s="7"/>
      <c r="J2095" s="8"/>
      <c r="K2095" s="5"/>
      <c r="L2095" s="35"/>
    </row>
    <row r="2096" spans="1:16" x14ac:dyDescent="0.3">
      <c r="A2096" s="40"/>
      <c r="B2096" s="35" t="s">
        <v>4218</v>
      </c>
      <c r="C2096" s="35" t="s">
        <v>4219</v>
      </c>
      <c r="D2096" s="35" t="s">
        <v>569</v>
      </c>
      <c r="E2096" s="35" t="s">
        <v>144</v>
      </c>
      <c r="F2096" s="35">
        <v>57504583</v>
      </c>
      <c r="G2096" s="5" t="s">
        <v>16</v>
      </c>
      <c r="H2096" s="7">
        <v>45946</v>
      </c>
      <c r="I2096" s="7"/>
      <c r="J2096" s="8"/>
      <c r="K2096" s="5"/>
      <c r="L2096" s="35"/>
    </row>
    <row r="2097" spans="1:12" x14ac:dyDescent="0.3">
      <c r="A2097" s="40"/>
      <c r="B2097" s="35" t="s">
        <v>1105</v>
      </c>
      <c r="C2097" s="35" t="s">
        <v>4040</v>
      </c>
      <c r="D2097" s="35" t="s">
        <v>68</v>
      </c>
      <c r="E2097" s="35" t="s">
        <v>101</v>
      </c>
      <c r="F2097" s="35">
        <v>58002834</v>
      </c>
      <c r="G2097" s="5" t="s">
        <v>16</v>
      </c>
      <c r="H2097" s="7">
        <v>45946</v>
      </c>
      <c r="I2097" s="7"/>
      <c r="J2097" s="8"/>
      <c r="K2097" s="5"/>
      <c r="L2097" s="35"/>
    </row>
    <row r="2098" spans="1:12" x14ac:dyDescent="0.3">
      <c r="A2098" s="40"/>
      <c r="B2098" s="35" t="s">
        <v>373</v>
      </c>
      <c r="C2098" s="35" t="s">
        <v>4220</v>
      </c>
      <c r="D2098" s="35" t="s">
        <v>137</v>
      </c>
      <c r="E2098" s="35" t="s">
        <v>4203</v>
      </c>
      <c r="F2098" s="35">
        <v>59278610</v>
      </c>
      <c r="G2098" s="5" t="s">
        <v>16</v>
      </c>
      <c r="H2098" s="7">
        <v>45946</v>
      </c>
      <c r="I2098" s="7"/>
      <c r="J2098" s="8"/>
      <c r="K2098" s="5"/>
      <c r="L2098" s="35"/>
    </row>
    <row r="2099" spans="1:12" x14ac:dyDescent="0.3">
      <c r="A2099" s="40"/>
      <c r="B2099" s="35" t="s">
        <v>4221</v>
      </c>
      <c r="C2099" s="35" t="s">
        <v>4222</v>
      </c>
      <c r="D2099" s="35" t="s">
        <v>84</v>
      </c>
      <c r="E2099" s="35" t="s">
        <v>84</v>
      </c>
      <c r="F2099" s="35">
        <v>59759450</v>
      </c>
      <c r="G2099" s="5" t="s">
        <v>16</v>
      </c>
      <c r="H2099" s="7">
        <v>45946</v>
      </c>
      <c r="I2099" s="7"/>
      <c r="J2099" s="8"/>
      <c r="K2099" s="5"/>
      <c r="L2099" s="35"/>
    </row>
    <row r="2100" spans="1:12" x14ac:dyDescent="0.3">
      <c r="A2100" s="40"/>
      <c r="B2100" s="35" t="s">
        <v>4223</v>
      </c>
      <c r="C2100" s="35" t="s">
        <v>4048</v>
      </c>
      <c r="D2100" s="35" t="s">
        <v>84</v>
      </c>
      <c r="E2100" s="35" t="s">
        <v>84</v>
      </c>
      <c r="F2100" s="35">
        <v>59220634</v>
      </c>
      <c r="G2100" s="5" t="s">
        <v>1024</v>
      </c>
      <c r="H2100" s="7">
        <v>45946</v>
      </c>
      <c r="I2100" s="7"/>
      <c r="J2100" s="8"/>
      <c r="K2100" s="5"/>
      <c r="L2100" s="35">
        <v>1625</v>
      </c>
    </row>
    <row r="2101" spans="1:12" x14ac:dyDescent="0.3">
      <c r="A2101" s="40"/>
      <c r="B2101" s="35" t="s">
        <v>4224</v>
      </c>
      <c r="C2101" s="35" t="s">
        <v>4225</v>
      </c>
      <c r="D2101" s="35" t="s">
        <v>41</v>
      </c>
      <c r="E2101" s="35" t="s">
        <v>623</v>
      </c>
      <c r="F2101" s="35" t="s">
        <v>4226</v>
      </c>
      <c r="G2101" s="5" t="s">
        <v>1024</v>
      </c>
      <c r="H2101" s="7">
        <v>45946</v>
      </c>
      <c r="I2101" s="7"/>
      <c r="J2101" s="8"/>
      <c r="K2101" s="5"/>
      <c r="L2101" s="35"/>
    </row>
    <row r="2102" spans="1:12" x14ac:dyDescent="0.3">
      <c r="A2102" s="40"/>
      <c r="B2102" s="35" t="s">
        <v>949</v>
      </c>
      <c r="C2102" s="5" t="s">
        <v>3567</v>
      </c>
      <c r="D2102" s="5" t="s">
        <v>68</v>
      </c>
      <c r="E2102" s="5" t="s">
        <v>696</v>
      </c>
      <c r="F2102" s="5">
        <v>59450164</v>
      </c>
      <c r="G2102" s="5" t="s">
        <v>1024</v>
      </c>
      <c r="H2102" s="7">
        <v>45946</v>
      </c>
      <c r="I2102" s="7"/>
      <c r="J2102" s="8"/>
      <c r="K2102" s="5"/>
      <c r="L2102" s="35">
        <v>2700</v>
      </c>
    </row>
    <row r="2103" spans="1:12" x14ac:dyDescent="0.3">
      <c r="A2103" s="40"/>
      <c r="B2103" s="35" t="s">
        <v>4227</v>
      </c>
      <c r="C2103" s="35" t="s">
        <v>4228</v>
      </c>
      <c r="D2103" s="35" t="s">
        <v>601</v>
      </c>
      <c r="E2103" s="35" t="s">
        <v>546</v>
      </c>
      <c r="F2103" s="35">
        <v>57221424</v>
      </c>
      <c r="G2103" s="5" t="s">
        <v>1024</v>
      </c>
      <c r="H2103" s="7">
        <v>45946</v>
      </c>
      <c r="I2103" s="7"/>
      <c r="J2103" s="8"/>
      <c r="K2103" s="5"/>
      <c r="L2103" s="35"/>
    </row>
    <row r="2104" spans="1:12" x14ac:dyDescent="0.3">
      <c r="A2104" s="40"/>
      <c r="B2104" s="5" t="s">
        <v>4230</v>
      </c>
      <c r="C2104" s="5" t="s">
        <v>4231</v>
      </c>
      <c r="D2104" s="5" t="s">
        <v>276</v>
      </c>
      <c r="E2104" s="5" t="s">
        <v>276</v>
      </c>
      <c r="F2104" s="5">
        <v>54944028</v>
      </c>
      <c r="G2104" s="5" t="s">
        <v>1024</v>
      </c>
      <c r="H2104" s="7">
        <v>45946</v>
      </c>
      <c r="I2104" s="7"/>
      <c r="J2104" s="8"/>
      <c r="K2104" s="5"/>
      <c r="L2104" s="5">
        <f>2950+150</f>
        <v>3100</v>
      </c>
    </row>
    <row r="2105" spans="1:12" x14ac:dyDescent="0.3">
      <c r="A2105" s="40"/>
      <c r="B2105" s="5" t="s">
        <v>4232</v>
      </c>
      <c r="C2105" s="5" t="s">
        <v>4233</v>
      </c>
      <c r="D2105" s="5" t="s">
        <v>101</v>
      </c>
      <c r="E2105" s="5" t="s">
        <v>101</v>
      </c>
      <c r="F2105" s="5">
        <v>57252294</v>
      </c>
      <c r="G2105" s="5" t="s">
        <v>1024</v>
      </c>
      <c r="H2105" s="7">
        <v>45946</v>
      </c>
      <c r="I2105" s="7"/>
      <c r="J2105" s="8"/>
      <c r="K2105" s="5"/>
      <c r="L2105" s="5">
        <v>1500</v>
      </c>
    </row>
    <row r="2106" spans="1:12" x14ac:dyDescent="0.3">
      <c r="A2106" s="40"/>
      <c r="B2106" s="35" t="s">
        <v>4229</v>
      </c>
      <c r="C2106" s="35" t="s">
        <v>1522</v>
      </c>
      <c r="D2106" s="35" t="s">
        <v>601</v>
      </c>
      <c r="E2106" s="35" t="s">
        <v>2944</v>
      </c>
      <c r="F2106" s="35">
        <v>57828223</v>
      </c>
      <c r="G2106" s="5" t="s">
        <v>963</v>
      </c>
      <c r="H2106" s="7">
        <v>45947</v>
      </c>
      <c r="I2106" s="7"/>
      <c r="J2106" s="8"/>
      <c r="K2106" s="5"/>
      <c r="L2106" s="5"/>
    </row>
    <row r="2109" spans="1:12" x14ac:dyDescent="0.3">
      <c r="A2109" s="40"/>
    </row>
  </sheetData>
  <autoFilter ref="A1:L2083">
    <sortState ref="A2:L2083">
      <sortCondition ref="I1:I2083"/>
    </sortState>
  </autoFilter>
  <conditionalFormatting sqref="B1602:B1659">
    <cfRule type="duplicateValues" dxfId="51" priority="1"/>
    <cfRule type="duplicateValues" dxfId="50" priority="85"/>
  </conditionalFormatting>
  <conditionalFormatting sqref="F1602:F1659">
    <cfRule type="duplicateValues" dxfId="49" priority="87"/>
  </conditionalFormatting>
  <conditionalFormatting sqref="O1479">
    <cfRule type="duplicateValues" dxfId="48" priority="5"/>
    <cfRule type="duplicateValues" dxfId="47" priority="6"/>
    <cfRule type="duplicateValues" dxfId="46" priority="7"/>
  </conditionalFormatting>
  <conditionalFormatting sqref="O1477:R1600 O1602:R1604">
    <cfRule type="duplicateValues" dxfId="45" priority="4"/>
  </conditionalFormatting>
  <pageMargins left="0.7" right="0.7" top="0.75" bottom="0.75" header="0.3" footer="0.3"/>
  <pageSetup orientation="portrait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30"/>
  <sheetViews>
    <sheetView topLeftCell="A3" workbookViewId="0">
      <selection activeCell="A20" sqref="A20:XFD20"/>
    </sheetView>
  </sheetViews>
  <sheetFormatPr defaultRowHeight="14.4" x14ac:dyDescent="0.3"/>
  <cols>
    <col min="1" max="1" width="3" bestFit="1" customWidth="1"/>
    <col min="2" max="2" width="16.6640625" bestFit="1" customWidth="1"/>
    <col min="3" max="3" width="20.109375" bestFit="1" customWidth="1"/>
    <col min="4" max="4" width="13.6640625" bestFit="1" customWidth="1"/>
    <col min="5" max="5" width="14.33203125" bestFit="1" customWidth="1"/>
    <col min="6" max="6" width="13.6640625" bestFit="1" customWidth="1"/>
    <col min="7" max="7" width="10" bestFit="1" customWidth="1"/>
    <col min="8" max="8" width="11.5546875" bestFit="1" customWidth="1"/>
    <col min="9" max="9" width="10.5546875" bestFit="1" customWidth="1"/>
    <col min="16" max="16" width="12.33203125" bestFit="1" customWidth="1"/>
    <col min="17" max="17" width="16.33203125" bestFit="1" customWidth="1"/>
    <col min="21" max="21" width="16.33203125" bestFit="1" customWidth="1"/>
    <col min="22" max="22" width="9.33203125" bestFit="1" customWidth="1"/>
  </cols>
  <sheetData>
    <row r="1" spans="1:18" x14ac:dyDescent="0.3">
      <c r="A1" s="19" t="s">
        <v>0</v>
      </c>
      <c r="B1" s="20" t="s">
        <v>1</v>
      </c>
      <c r="C1" s="17" t="s">
        <v>1138</v>
      </c>
      <c r="D1" s="20" t="s">
        <v>2</v>
      </c>
      <c r="E1" s="20" t="s">
        <v>3</v>
      </c>
      <c r="F1" s="20" t="s">
        <v>4</v>
      </c>
      <c r="G1" s="20" t="s">
        <v>5</v>
      </c>
      <c r="H1" s="34" t="s">
        <v>1938</v>
      </c>
      <c r="I1" s="22" t="s">
        <v>1939</v>
      </c>
      <c r="J1" s="20" t="s">
        <v>1940</v>
      </c>
      <c r="K1" s="20" t="s">
        <v>1941</v>
      </c>
      <c r="L1" s="20" t="s">
        <v>1942</v>
      </c>
      <c r="M1" s="20" t="s">
        <v>1052</v>
      </c>
      <c r="N1" s="20" t="s">
        <v>1943</v>
      </c>
      <c r="O1" s="20" t="s">
        <v>663</v>
      </c>
      <c r="P1" s="20" t="s">
        <v>1944</v>
      </c>
      <c r="Q1" s="20" t="s">
        <v>1945</v>
      </c>
    </row>
    <row r="2" spans="1:18" x14ac:dyDescent="0.3">
      <c r="A2" s="22">
        <v>1</v>
      </c>
      <c r="B2" s="22" t="s">
        <v>1954</v>
      </c>
      <c r="C2" s="22" t="s">
        <v>1139</v>
      </c>
      <c r="D2" s="22" t="s">
        <v>1140</v>
      </c>
      <c r="E2" s="22" t="s">
        <v>14</v>
      </c>
      <c r="F2" s="22" t="s">
        <v>1140</v>
      </c>
      <c r="G2" s="22">
        <v>58332007</v>
      </c>
      <c r="H2" s="34" t="s">
        <v>1955</v>
      </c>
      <c r="I2" s="22" t="s">
        <v>1956</v>
      </c>
      <c r="J2" s="27">
        <v>45809</v>
      </c>
      <c r="K2" s="22">
        <v>309</v>
      </c>
      <c r="L2" s="22">
        <v>305</v>
      </c>
      <c r="M2" s="22">
        <v>1</v>
      </c>
      <c r="N2" s="22">
        <v>1</v>
      </c>
      <c r="O2" s="22">
        <v>2</v>
      </c>
      <c r="P2" s="28">
        <f>L2*150</f>
        <v>45750</v>
      </c>
      <c r="Q2" s="28">
        <f>L2*150</f>
        <v>45750</v>
      </c>
      <c r="R2" t="s">
        <v>1932</v>
      </c>
    </row>
    <row r="3" spans="1:18" x14ac:dyDescent="0.3">
      <c r="A3" s="22">
        <v>2</v>
      </c>
      <c r="B3" s="22" t="s">
        <v>1141</v>
      </c>
      <c r="C3" s="22" t="s">
        <v>1142</v>
      </c>
      <c r="D3" s="22" t="s">
        <v>1143</v>
      </c>
      <c r="E3" s="22" t="s">
        <v>14</v>
      </c>
      <c r="F3" s="22" t="s">
        <v>1143</v>
      </c>
      <c r="G3" s="22">
        <v>57944614</v>
      </c>
      <c r="H3" s="34" t="s">
        <v>1957</v>
      </c>
      <c r="I3" s="22" t="s">
        <v>1958</v>
      </c>
      <c r="J3" s="27">
        <v>45809</v>
      </c>
      <c r="K3" s="22">
        <v>32</v>
      </c>
      <c r="L3" s="22">
        <v>32</v>
      </c>
      <c r="M3" s="22">
        <v>0</v>
      </c>
      <c r="N3" s="22">
        <v>0</v>
      </c>
      <c r="O3" s="22">
        <v>0</v>
      </c>
      <c r="P3" s="28">
        <f>L3*150</f>
        <v>4800</v>
      </c>
      <c r="Q3" s="28">
        <f>L3*150</f>
        <v>4800</v>
      </c>
      <c r="R3" t="s">
        <v>1932</v>
      </c>
    </row>
    <row r="4" spans="1:18" x14ac:dyDescent="0.3">
      <c r="A4" s="22">
        <v>3</v>
      </c>
      <c r="B4" s="5" t="s">
        <v>963</v>
      </c>
      <c r="C4" s="22" t="s">
        <v>1144</v>
      </c>
      <c r="D4" s="22" t="s">
        <v>3847</v>
      </c>
      <c r="E4" s="5" t="s">
        <v>68</v>
      </c>
      <c r="F4" s="22" t="s">
        <v>696</v>
      </c>
      <c r="G4" s="22">
        <v>55055617</v>
      </c>
      <c r="H4" s="34" t="s">
        <v>1959</v>
      </c>
      <c r="I4" s="22" t="s">
        <v>1960</v>
      </c>
      <c r="J4" s="27">
        <v>45809</v>
      </c>
      <c r="K4" s="22">
        <v>10</v>
      </c>
      <c r="L4" s="22">
        <v>10</v>
      </c>
      <c r="M4" s="22">
        <v>0</v>
      </c>
      <c r="N4" s="22">
        <v>0</v>
      </c>
      <c r="O4" s="22">
        <v>0</v>
      </c>
      <c r="P4" s="28">
        <f>L4*150</f>
        <v>1500</v>
      </c>
      <c r="Q4" s="28">
        <f>L4*150</f>
        <v>1500</v>
      </c>
      <c r="R4" t="s">
        <v>1932</v>
      </c>
    </row>
    <row r="5" spans="1:18" x14ac:dyDescent="0.3">
      <c r="A5" s="22">
        <v>4</v>
      </c>
      <c r="B5" s="6" t="s">
        <v>1016</v>
      </c>
      <c r="C5" s="22" t="s">
        <v>1145</v>
      </c>
      <c r="D5" s="22" t="s">
        <v>1323</v>
      </c>
      <c r="E5" s="5" t="s">
        <v>68</v>
      </c>
      <c r="F5" s="22" t="s">
        <v>101</v>
      </c>
      <c r="G5" s="22">
        <v>57585364</v>
      </c>
      <c r="H5" s="34" t="s">
        <v>1946</v>
      </c>
      <c r="I5" s="22" t="s">
        <v>1947</v>
      </c>
      <c r="J5" s="27">
        <v>45809</v>
      </c>
      <c r="K5" s="22">
        <v>21</v>
      </c>
      <c r="L5" s="22">
        <v>21</v>
      </c>
      <c r="M5" s="22">
        <v>0</v>
      </c>
      <c r="N5" s="22">
        <v>1</v>
      </c>
      <c r="O5" s="22">
        <v>0</v>
      </c>
      <c r="P5" s="28">
        <f>(6*75)+(15*150)</f>
        <v>2700</v>
      </c>
      <c r="Q5" s="28">
        <f>(6*75)+(15*150)</f>
        <v>2700</v>
      </c>
      <c r="R5" t="s">
        <v>1932</v>
      </c>
    </row>
    <row r="6" spans="1:18" x14ac:dyDescent="0.3">
      <c r="A6" s="22">
        <v>5</v>
      </c>
      <c r="B6" s="22" t="s">
        <v>1231</v>
      </c>
      <c r="C6" s="22" t="s">
        <v>1232</v>
      </c>
      <c r="D6" s="22" t="s">
        <v>84</v>
      </c>
      <c r="E6" s="22" t="s">
        <v>84</v>
      </c>
      <c r="F6" s="22" t="s">
        <v>84</v>
      </c>
      <c r="G6" s="22">
        <v>57245551</v>
      </c>
      <c r="H6" s="34" t="s">
        <v>1952</v>
      </c>
      <c r="I6" s="22" t="s">
        <v>1953</v>
      </c>
      <c r="J6" s="27">
        <v>45809</v>
      </c>
      <c r="K6" s="22">
        <v>5</v>
      </c>
      <c r="L6" s="22">
        <v>5</v>
      </c>
      <c r="M6" s="22">
        <v>0</v>
      </c>
      <c r="N6" s="22">
        <v>0</v>
      </c>
      <c r="O6" s="22">
        <v>0</v>
      </c>
      <c r="P6" s="28">
        <f>L6*150</f>
        <v>750</v>
      </c>
      <c r="Q6" s="28">
        <f>L6*150</f>
        <v>750</v>
      </c>
      <c r="R6" t="s">
        <v>1932</v>
      </c>
    </row>
    <row r="7" spans="1:18" x14ac:dyDescent="0.3">
      <c r="A7" s="22">
        <v>6</v>
      </c>
      <c r="B7" s="22" t="s">
        <v>1146</v>
      </c>
      <c r="C7" s="22" t="s">
        <v>1341</v>
      </c>
      <c r="D7" s="22" t="s">
        <v>594</v>
      </c>
      <c r="E7" s="22" t="s">
        <v>14</v>
      </c>
      <c r="F7" s="22" t="s">
        <v>594</v>
      </c>
      <c r="G7" s="22">
        <v>57693168</v>
      </c>
      <c r="H7" s="34" t="s">
        <v>1948</v>
      </c>
      <c r="I7" s="22" t="s">
        <v>1949</v>
      </c>
      <c r="J7" s="27">
        <v>45809</v>
      </c>
      <c r="K7" s="22">
        <v>8</v>
      </c>
      <c r="L7" s="22">
        <v>8</v>
      </c>
      <c r="M7" s="22">
        <v>0</v>
      </c>
      <c r="N7" s="22">
        <v>0</v>
      </c>
      <c r="O7" s="22">
        <v>0</v>
      </c>
      <c r="P7" s="28">
        <f>L7*75</f>
        <v>600</v>
      </c>
      <c r="Q7" s="28">
        <f>L7*75</f>
        <v>600</v>
      </c>
      <c r="R7" t="s">
        <v>1932</v>
      </c>
    </row>
    <row r="8" spans="1:18" x14ac:dyDescent="0.3">
      <c r="A8" s="22">
        <v>7</v>
      </c>
      <c r="B8" s="22" t="s">
        <v>1567</v>
      </c>
      <c r="C8" s="22" t="s">
        <v>1503</v>
      </c>
      <c r="D8" s="22" t="s">
        <v>1504</v>
      </c>
      <c r="E8" s="5" t="s">
        <v>68</v>
      </c>
      <c r="F8" s="22" t="s">
        <v>49</v>
      </c>
      <c r="G8" s="22">
        <v>57831919</v>
      </c>
      <c r="H8" s="34" t="s">
        <v>1950</v>
      </c>
      <c r="I8" s="22" t="s">
        <v>1951</v>
      </c>
      <c r="J8" s="27">
        <v>45809</v>
      </c>
      <c r="K8" s="22">
        <v>4</v>
      </c>
      <c r="L8" s="22">
        <v>3</v>
      </c>
      <c r="M8" s="22">
        <v>1</v>
      </c>
      <c r="N8" s="22">
        <v>0</v>
      </c>
      <c r="O8" s="22">
        <v>0</v>
      </c>
      <c r="P8" s="28">
        <f>L8*150</f>
        <v>450</v>
      </c>
      <c r="Q8" s="28">
        <f>L8*150</f>
        <v>450</v>
      </c>
      <c r="R8" t="s">
        <v>1932</v>
      </c>
    </row>
    <row r="9" spans="1:18" x14ac:dyDescent="0.3">
      <c r="A9" s="22">
        <v>8</v>
      </c>
      <c r="B9" s="22" t="s">
        <v>2547</v>
      </c>
      <c r="C9" s="22" t="s">
        <v>2548</v>
      </c>
      <c r="D9" s="22" t="s">
        <v>2620</v>
      </c>
      <c r="E9" s="22" t="s">
        <v>2621</v>
      </c>
      <c r="F9" s="22" t="s">
        <v>2621</v>
      </c>
      <c r="G9" s="22">
        <v>55110344</v>
      </c>
    </row>
    <row r="10" spans="1:18" x14ac:dyDescent="0.3">
      <c r="A10" s="22">
        <v>9</v>
      </c>
      <c r="B10" s="22" t="s">
        <v>3005</v>
      </c>
      <c r="C10" s="22" t="s">
        <v>3004</v>
      </c>
      <c r="D10" s="22" t="s">
        <v>3006</v>
      </c>
      <c r="E10" s="5" t="s">
        <v>68</v>
      </c>
      <c r="F10" s="22" t="s">
        <v>101</v>
      </c>
      <c r="G10" s="22">
        <v>57663628</v>
      </c>
    </row>
    <row r="11" spans="1:18" x14ac:dyDescent="0.3">
      <c r="A11" s="39">
        <v>10</v>
      </c>
      <c r="B11" s="22" t="s">
        <v>3609</v>
      </c>
      <c r="C11" s="22" t="s">
        <v>3610</v>
      </c>
      <c r="D11" s="22" t="s">
        <v>3611</v>
      </c>
      <c r="E11" s="5" t="s">
        <v>49</v>
      </c>
      <c r="F11" s="22" t="s">
        <v>49</v>
      </c>
      <c r="G11">
        <v>58186909</v>
      </c>
    </row>
    <row r="14" spans="1:18" x14ac:dyDescent="0.3">
      <c r="A14" s="19" t="s">
        <v>0</v>
      </c>
      <c r="B14" s="20" t="s">
        <v>1</v>
      </c>
      <c r="C14" s="17" t="s">
        <v>1138</v>
      </c>
      <c r="D14" s="20" t="s">
        <v>2</v>
      </c>
      <c r="E14" s="20" t="s">
        <v>4</v>
      </c>
      <c r="F14" s="20" t="s">
        <v>5</v>
      </c>
      <c r="G14" s="20" t="s">
        <v>1340</v>
      </c>
    </row>
    <row r="15" spans="1:18" x14ac:dyDescent="0.3">
      <c r="A15" s="22">
        <v>1</v>
      </c>
      <c r="B15" s="22" t="s">
        <v>1954</v>
      </c>
      <c r="C15" s="22" t="s">
        <v>1139</v>
      </c>
      <c r="D15" s="22" t="s">
        <v>1140</v>
      </c>
      <c r="E15" s="22" t="s">
        <v>1140</v>
      </c>
      <c r="F15" s="22">
        <v>58332007</v>
      </c>
      <c r="G15" s="22"/>
    </row>
    <row r="16" spans="1:18" x14ac:dyDescent="0.3">
      <c r="A16" s="22">
        <v>2</v>
      </c>
      <c r="B16" s="22" t="s">
        <v>1141</v>
      </c>
      <c r="C16" s="22" t="s">
        <v>1142</v>
      </c>
      <c r="D16" s="22" t="s">
        <v>1143</v>
      </c>
      <c r="E16" s="22" t="s">
        <v>1143</v>
      </c>
      <c r="F16" s="22">
        <v>57944614</v>
      </c>
      <c r="G16" s="22"/>
    </row>
    <row r="17" spans="1:7" x14ac:dyDescent="0.3">
      <c r="A17" s="22">
        <v>3</v>
      </c>
      <c r="B17" s="5" t="s">
        <v>963</v>
      </c>
      <c r="C17" s="22" t="s">
        <v>1144</v>
      </c>
      <c r="D17" s="22" t="s">
        <v>4064</v>
      </c>
      <c r="E17" s="22" t="s">
        <v>696</v>
      </c>
      <c r="F17" s="22">
        <v>55055617</v>
      </c>
      <c r="G17" s="22">
        <v>58061835</v>
      </c>
    </row>
    <row r="18" spans="1:7" x14ac:dyDescent="0.3">
      <c r="A18" s="22">
        <v>4</v>
      </c>
      <c r="B18" s="6" t="s">
        <v>1016</v>
      </c>
      <c r="C18" s="22" t="s">
        <v>1145</v>
      </c>
      <c r="D18" s="22" t="s">
        <v>1323</v>
      </c>
      <c r="E18" s="22" t="s">
        <v>101</v>
      </c>
      <c r="F18" s="22">
        <v>57585364</v>
      </c>
      <c r="G18" s="22">
        <v>57585364</v>
      </c>
    </row>
    <row r="19" spans="1:7" x14ac:dyDescent="0.3">
      <c r="A19" s="22">
        <v>5</v>
      </c>
      <c r="B19" s="22" t="s">
        <v>1231</v>
      </c>
      <c r="C19" s="22" t="s">
        <v>1232</v>
      </c>
      <c r="D19" s="22" t="s">
        <v>84</v>
      </c>
      <c r="E19" s="22" t="s">
        <v>84</v>
      </c>
      <c r="F19" s="22">
        <v>57245551</v>
      </c>
      <c r="G19" s="22">
        <v>57245551</v>
      </c>
    </row>
    <row r="20" spans="1:7" x14ac:dyDescent="0.3">
      <c r="A20" s="22">
        <v>6</v>
      </c>
      <c r="B20" s="22" t="s">
        <v>1146</v>
      </c>
      <c r="C20" s="22" t="s">
        <v>1341</v>
      </c>
      <c r="D20" s="22" t="s">
        <v>594</v>
      </c>
      <c r="E20" s="22" t="s">
        <v>594</v>
      </c>
      <c r="F20" s="22">
        <v>57693168</v>
      </c>
      <c r="G20" s="22">
        <v>57693168</v>
      </c>
    </row>
    <row r="21" spans="1:7" x14ac:dyDescent="0.3">
      <c r="A21" s="22">
        <v>7</v>
      </c>
      <c r="B21" s="22" t="s">
        <v>1567</v>
      </c>
      <c r="C21" s="22" t="s">
        <v>1503</v>
      </c>
      <c r="D21" s="22" t="s">
        <v>1504</v>
      </c>
      <c r="E21" s="22" t="s">
        <v>49</v>
      </c>
      <c r="F21" s="22">
        <v>57831919</v>
      </c>
      <c r="G21" s="22">
        <v>57831919</v>
      </c>
    </row>
    <row r="22" spans="1:7" x14ac:dyDescent="0.3">
      <c r="A22" s="22">
        <v>8</v>
      </c>
      <c r="B22" s="22" t="s">
        <v>2547</v>
      </c>
      <c r="C22" s="22" t="s">
        <v>2548</v>
      </c>
      <c r="D22" s="22" t="s">
        <v>2620</v>
      </c>
      <c r="E22" s="22" t="s">
        <v>2621</v>
      </c>
      <c r="F22" s="22">
        <v>55110344</v>
      </c>
      <c r="G22" s="22">
        <v>59383600</v>
      </c>
    </row>
    <row r="23" spans="1:7" x14ac:dyDescent="0.3">
      <c r="A23" s="22">
        <v>9</v>
      </c>
      <c r="B23" s="22" t="s">
        <v>3005</v>
      </c>
      <c r="C23" s="22" t="s">
        <v>3004</v>
      </c>
      <c r="D23" s="22" t="s">
        <v>3006</v>
      </c>
      <c r="E23" s="22" t="s">
        <v>101</v>
      </c>
      <c r="F23" s="22">
        <v>57663628</v>
      </c>
      <c r="G23" s="22">
        <v>57663628</v>
      </c>
    </row>
    <row r="24" spans="1:7" x14ac:dyDescent="0.3">
      <c r="A24" s="39">
        <v>10</v>
      </c>
      <c r="B24" s="22" t="s">
        <v>3609</v>
      </c>
      <c r="C24" s="22" t="s">
        <v>3610</v>
      </c>
      <c r="D24" s="22" t="s">
        <v>3611</v>
      </c>
      <c r="E24" s="5" t="s">
        <v>49</v>
      </c>
      <c r="F24" s="22">
        <v>58186909</v>
      </c>
      <c r="G24" s="22">
        <v>58186909</v>
      </c>
    </row>
    <row r="26" spans="1:7" x14ac:dyDescent="0.3">
      <c r="B26" s="5" t="s">
        <v>963</v>
      </c>
      <c r="C26" s="22" t="s">
        <v>1144</v>
      </c>
      <c r="D26" s="22" t="s">
        <v>4064</v>
      </c>
      <c r="E26" s="22" t="s">
        <v>696</v>
      </c>
      <c r="F26" s="22">
        <v>58061835</v>
      </c>
    </row>
    <row r="28" spans="1:7" x14ac:dyDescent="0.3">
      <c r="B28" s="22" t="s">
        <v>1567</v>
      </c>
      <c r="C28" s="22" t="s">
        <v>1503</v>
      </c>
      <c r="D28" s="22" t="s">
        <v>1504</v>
      </c>
      <c r="E28" s="22" t="s">
        <v>49</v>
      </c>
      <c r="F28" s="22">
        <v>57831919</v>
      </c>
    </row>
    <row r="30" spans="1:7" x14ac:dyDescent="0.3">
      <c r="B30" s="22" t="s">
        <v>1146</v>
      </c>
      <c r="C30" s="22" t="s">
        <v>1341</v>
      </c>
      <c r="D30" s="22" t="s">
        <v>594</v>
      </c>
      <c r="E30" s="22" t="s">
        <v>594</v>
      </c>
      <c r="F30" s="22">
        <v>57693168</v>
      </c>
    </row>
  </sheetData>
  <autoFilter ref="A1:Q1">
    <sortState ref="A2:R8">
      <sortCondition ref="A1"/>
    </sortState>
  </autoFilter>
  <conditionalFormatting sqref="B7:B8">
    <cfRule type="duplicateValues" dxfId="12" priority="78"/>
  </conditionalFormatting>
  <conditionalFormatting sqref="B20:B21">
    <cfRule type="duplicateValues" dxfId="11" priority="59"/>
  </conditionalFormatting>
  <conditionalFormatting sqref="C25">
    <cfRule type="duplicateValues" dxfId="10" priority="9"/>
    <cfRule type="duplicateValues" dxfId="9" priority="10"/>
    <cfRule type="duplicateValues" dxfId="8" priority="11"/>
  </conditionalFormatting>
  <conditionalFormatting sqref="C36 C38:C39">
    <cfRule type="duplicateValues" dxfId="7" priority="79"/>
    <cfRule type="duplicateValues" dxfId="6" priority="80"/>
    <cfRule type="duplicateValues" dxfId="5" priority="81"/>
    <cfRule type="duplicateValues" dxfId="4" priority="82"/>
    <cfRule type="duplicateValues" dxfId="3" priority="83"/>
    <cfRule type="duplicateValues" dxfId="2" priority="84"/>
  </conditionalFormatting>
  <conditionalFormatting sqref="H7:H8">
    <cfRule type="duplicateValues" dxfId="1" priority="77"/>
  </conditionalFormatting>
  <conditionalFormatting sqref="B28 B30">
    <cfRule type="duplicateValues" dxfId="0" priority="88"/>
  </conditionalFormatting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</vt:lpstr>
      <vt:lpstr>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  ZAMBIA</dc:creator>
  <cp:lastModifiedBy>ICL  ZAMBIA</cp:lastModifiedBy>
  <dcterms:created xsi:type="dcterms:W3CDTF">2025-05-28T13:24:07Z</dcterms:created>
  <dcterms:modified xsi:type="dcterms:W3CDTF">2025-10-16T17:59:37Z</dcterms:modified>
</cp:coreProperties>
</file>