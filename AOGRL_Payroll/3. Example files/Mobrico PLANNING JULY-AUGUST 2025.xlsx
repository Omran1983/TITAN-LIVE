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ashwanee Hurday\Documents\"/>
    </mc:Choice>
  </mc:AlternateContent>
  <xr:revisionPtr revIDLastSave="0" documentId="13_ncr:1_{8844BDFC-9F10-42B3-B774-F52ECAE6B35B}" xr6:coauthVersionLast="47" xr6:coauthVersionMax="47" xr10:uidLastSave="{00000000-0000-0000-0000-000000000000}"/>
  <bookViews>
    <workbookView xWindow="-120" yWindow="-120" windowWidth="29040" windowHeight="15720" activeTab="3" xr2:uid="{3A82B459-D48D-4D6E-A16C-AA50B09CE305}"/>
  </bookViews>
  <sheets>
    <sheet name="Laura &amp; Team" sheetId="1" r:id="rId1"/>
    <sheet name="Caisse" sheetId="2" r:id="rId2"/>
    <sheet name="Mervin &amp; Team" sheetId="3" r:id="rId3"/>
    <sheet name="Store" sheetId="4" r:id="rId4"/>
    <sheet name="Yacoob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86" i="5" l="1"/>
  <c r="U86" i="5"/>
  <c r="Q86" i="5"/>
  <c r="M86" i="5"/>
  <c r="E86" i="5"/>
  <c r="A86" i="5"/>
  <c r="AC86" i="5" s="1"/>
  <c r="U77" i="5"/>
  <c r="Q77" i="5"/>
  <c r="M77" i="5"/>
  <c r="I77" i="5"/>
  <c r="E77" i="5"/>
  <c r="AC77" i="5" s="1"/>
  <c r="A77" i="5"/>
  <c r="U68" i="5"/>
  <c r="AC68" i="5" s="1"/>
  <c r="Q68" i="5"/>
  <c r="M68" i="5"/>
  <c r="I68" i="5"/>
  <c r="E68" i="5"/>
  <c r="A68" i="5"/>
  <c r="Y59" i="5"/>
  <c r="U59" i="5"/>
  <c r="Q59" i="5"/>
  <c r="M59" i="5"/>
  <c r="E59" i="5"/>
  <c r="A59" i="5"/>
  <c r="AC59" i="5" s="1"/>
  <c r="U50" i="5"/>
  <c r="Q50" i="5"/>
  <c r="M50" i="5"/>
  <c r="I50" i="5"/>
  <c r="E50" i="5"/>
  <c r="A50" i="5"/>
  <c r="AC50" i="5" s="1"/>
  <c r="U41" i="5"/>
  <c r="Q41" i="5"/>
  <c r="M41" i="5"/>
  <c r="AC41" i="5" s="1"/>
  <c r="I41" i="5"/>
  <c r="E41" i="5"/>
  <c r="A41" i="5"/>
  <c r="Y32" i="5"/>
  <c r="U32" i="5"/>
  <c r="Q32" i="5"/>
  <c r="M32" i="5"/>
  <c r="E32" i="5"/>
  <c r="A32" i="5"/>
  <c r="AC32" i="5" s="1"/>
  <c r="AC23" i="5"/>
  <c r="U23" i="5"/>
  <c r="Q23" i="5"/>
  <c r="M23" i="5"/>
  <c r="I23" i="5"/>
  <c r="E23" i="5"/>
  <c r="A23" i="5"/>
  <c r="U14" i="5"/>
  <c r="Q14" i="5"/>
  <c r="M14" i="5"/>
  <c r="I14" i="5"/>
  <c r="E14" i="5"/>
  <c r="A14" i="5"/>
  <c r="AC14" i="5" s="1"/>
  <c r="AC5" i="5"/>
  <c r="Y5" i="5"/>
  <c r="U5" i="5"/>
  <c r="Q5" i="5"/>
  <c r="M5" i="5"/>
  <c r="E5" i="5"/>
  <c r="A5" i="5"/>
  <c r="O8" i="4" l="1"/>
  <c r="M8" i="4"/>
  <c r="I8" i="4"/>
  <c r="G8" i="4"/>
  <c r="E8" i="4"/>
  <c r="C8" i="4"/>
  <c r="O7" i="4"/>
  <c r="M7" i="4"/>
  <c r="I7" i="4"/>
  <c r="G7" i="4"/>
  <c r="E7" i="4"/>
  <c r="C7" i="4"/>
  <c r="AE93" i="2"/>
  <c r="AE90" i="2"/>
  <c r="AE87" i="2"/>
  <c r="AE84" i="2"/>
  <c r="AE81" i="2"/>
  <c r="AE68" i="2"/>
  <c r="AE65" i="2"/>
  <c r="AE62" i="2"/>
  <c r="AE59" i="2"/>
  <c r="AE56" i="2"/>
  <c r="AE43" i="2"/>
  <c r="AE40" i="2"/>
  <c r="AE37" i="2"/>
  <c r="AE34" i="2"/>
  <c r="AE31" i="2"/>
  <c r="P47" i="1"/>
  <c r="L3" i="1" l="1"/>
  <c r="L5" i="1"/>
  <c r="L7" i="1"/>
  <c r="F9" i="1"/>
  <c r="L9" i="1"/>
  <c r="F10" i="1"/>
  <c r="G10" i="1"/>
  <c r="P49" i="1"/>
  <c r="L63" i="1" l="1"/>
  <c r="L61" i="1"/>
  <c r="L59" i="1"/>
  <c r="L57" i="1"/>
  <c r="P45" i="1"/>
  <c r="P36" i="1"/>
  <c r="P34" i="1"/>
  <c r="P32" i="1"/>
  <c r="P30" i="1"/>
  <c r="P23" i="1"/>
  <c r="P21" i="1"/>
  <c r="P19" i="1"/>
  <c r="P17" i="1"/>
  <c r="P43" i="1"/>
  <c r="Q57" i="1" l="1"/>
  <c r="Q59" i="1"/>
  <c r="Q61" i="1"/>
  <c r="Q63" i="1"/>
</calcChain>
</file>

<file path=xl/sharedStrings.xml><?xml version="1.0" encoding="utf-8"?>
<sst xmlns="http://schemas.openxmlformats.org/spreadsheetml/2006/main" count="1207" uniqueCount="164">
  <si>
    <t>TOTAL</t>
  </si>
  <si>
    <t>LAURA</t>
  </si>
  <si>
    <t>JENNA</t>
  </si>
  <si>
    <t>IN</t>
  </si>
  <si>
    <t>OUT</t>
  </si>
  <si>
    <t>LUNCH</t>
  </si>
  <si>
    <t>TOTAL HOURS</t>
  </si>
  <si>
    <t>RISHIKA</t>
  </si>
  <si>
    <t>ANDY</t>
  </si>
  <si>
    <t>SEMAINE 30</t>
  </si>
  <si>
    <t xml:space="preserve">TOTAL HOURS FROM </t>
  </si>
  <si>
    <t>23.07.2025-22.08.2025</t>
  </si>
  <si>
    <t>SEMAINE 31</t>
  </si>
  <si>
    <t>SEMAINE 32</t>
  </si>
  <si>
    <t>SEMAINE 33</t>
  </si>
  <si>
    <t>SEMAINE 34</t>
  </si>
  <si>
    <t>OFF</t>
  </si>
  <si>
    <t xml:space="preserve"> </t>
  </si>
  <si>
    <t>MERCREDI 23/07/2025</t>
  </si>
  <si>
    <t>JEUDI 24/07/2025</t>
  </si>
  <si>
    <t>VENDREDI 25/07/2025</t>
  </si>
  <si>
    <t>SAMEDI 26/07/2025</t>
  </si>
  <si>
    <t>DIMANCHE 27/07/2025</t>
  </si>
  <si>
    <t>LUNDI</t>
  </si>
  <si>
    <t>MARDI</t>
  </si>
  <si>
    <t>MERCREDI</t>
  </si>
  <si>
    <t>JEUDI</t>
  </si>
  <si>
    <t xml:space="preserve">VENDREDI </t>
  </si>
  <si>
    <t>SAMEDI</t>
  </si>
  <si>
    <t>DIMANCHE</t>
  </si>
  <si>
    <t xml:space="preserve">MARDI </t>
  </si>
  <si>
    <t>VENDREDI</t>
  </si>
  <si>
    <t>Wednesday</t>
  </si>
  <si>
    <t>Thursday</t>
  </si>
  <si>
    <t>Friday</t>
  </si>
  <si>
    <t>Saturday</t>
  </si>
  <si>
    <t>Sunday</t>
  </si>
  <si>
    <t>S10</t>
  </si>
  <si>
    <t>MATIN</t>
  </si>
  <si>
    <t>APRES MIDI</t>
  </si>
  <si>
    <t>SERVICE CAISSE</t>
  </si>
  <si>
    <t>Marie-Noel</t>
  </si>
  <si>
    <t>NANON</t>
  </si>
  <si>
    <t>Signature:</t>
  </si>
  <si>
    <t>Manuella</t>
  </si>
  <si>
    <t>ANKARSAMY</t>
  </si>
  <si>
    <t>Sameena</t>
  </si>
  <si>
    <t>DAUHOO</t>
  </si>
  <si>
    <t>KOVILA</t>
  </si>
  <si>
    <t>CATHAN</t>
  </si>
  <si>
    <t>LUTCHMUN</t>
  </si>
  <si>
    <t>DEEPALI</t>
  </si>
  <si>
    <t>REQUEST</t>
  </si>
  <si>
    <t xml:space="preserve">MARDI  </t>
  </si>
  <si>
    <t xml:space="preserve">MERCREDI  </t>
  </si>
  <si>
    <t xml:space="preserve">JEUDI </t>
  </si>
  <si>
    <t xml:space="preserve">VENDREDI  </t>
  </si>
  <si>
    <t xml:space="preserve">SAMEDI  </t>
  </si>
  <si>
    <t>LOCAL</t>
  </si>
  <si>
    <t>REQ</t>
  </si>
  <si>
    <t>JOURS</t>
  </si>
  <si>
    <t>DATE</t>
  </si>
  <si>
    <t>MERVIN</t>
  </si>
  <si>
    <t>9HR15-15H00</t>
  </si>
  <si>
    <t>9HR15-19H00</t>
  </si>
  <si>
    <t>AKESH</t>
  </si>
  <si>
    <t>9HR15-16H30</t>
  </si>
  <si>
    <t>HASSEN</t>
  </si>
  <si>
    <t>FREDERICA</t>
  </si>
  <si>
    <t>CHRISTOPHER</t>
  </si>
  <si>
    <t>9HR15-17H00</t>
  </si>
  <si>
    <t>9HR15-19hr00</t>
  </si>
  <si>
    <t>9HR15-17hr00</t>
  </si>
  <si>
    <t>DATE: 23 June-22 July</t>
  </si>
  <si>
    <t>Time-In</t>
  </si>
  <si>
    <t>Time-Out</t>
  </si>
  <si>
    <t>Dhanjay Somah</t>
  </si>
  <si>
    <t>Stephano Flore</t>
  </si>
  <si>
    <t>Time Calc- Dhanjay</t>
  </si>
  <si>
    <t>42hr</t>
  </si>
  <si>
    <t>Time Calc- Stephano</t>
  </si>
  <si>
    <t>45hr</t>
  </si>
  <si>
    <t>Notes:</t>
  </si>
  <si>
    <t>Stephano schedule is at 45hr and is ok</t>
  </si>
  <si>
    <t>Dhanjay weekly is at 42hr and needs +3hr to reach 45hr</t>
  </si>
  <si>
    <t>Pause Jour full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</si>
  <si>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</si>
  <si>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</si>
  <si>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</si>
  <si>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</si>
  <si>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</si>
  <si>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</si>
  <si>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</si>
  <si>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Pause Dimanche</t>
  </si>
  <si>
    <t>Pause Shift</t>
  </si>
  <si>
    <t>EMMANUEL</t>
  </si>
  <si>
    <t>YACOOB</t>
  </si>
  <si>
    <t>Matin</t>
  </si>
  <si>
    <t>Full</t>
  </si>
  <si>
    <t>FULL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</si>
  <si>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</si>
  <si>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</si>
  <si>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</si>
  <si>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</si>
  <si>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</si>
  <si>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</si>
  <si>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</si>
  <si>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THOMAS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</si>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</sst>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dd/mm/yy;@"/>
    <numFmt numFmtId="165" formatCode="d/m/yyyy"/>
    <numFmt numFmtId="166" formatCode="[h]:mm"/>
    <numFmt numFmtId="167" formatCode="[$-409]d\-mmm;@"/>
    <numFmt numFmtId="168" formatCode="h:mm:ss;@"/>
    <numFmt numFmtId="169" formatCode="[$-F800]dddd\,\ mmmm\ dd\,\ yyyy"/>
  </numFmts>
  <fonts count="24" x14ac:knownFonts="1">
    <font>
      <sz val="11"/>
      <color theme="1"/>
      <name val="Calibri"/>
      <family val="2"/>
      <scheme val="minor"/>
    </font>
    <font>
      <sz val="20"/>
      <color rgb="FF00000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0"/>
      <color rgb="FF00B0F0"/>
      <name val="Arial"/>
      <family val="2"/>
    </font>
    <font>
      <b/>
      <sz val="10"/>
      <color rgb="FFC5E0B3"/>
      <name val="Arial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rgb="FFD6DCE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3F3F3"/>
      </patternFill>
    </fill>
    <fill>
      <patternFill patternType="solid">
        <fgColor theme="0"/>
        <bgColor rgb="FFF3F3F3"/>
      </patternFill>
    </fill>
    <fill>
      <patternFill patternType="solid">
        <fgColor theme="8" tint="0.39997558519241921"/>
        <bgColor rgb="FFF3F3F3"/>
      </patternFill>
    </fill>
    <fill>
      <patternFill patternType="solid">
        <fgColor rgb="FFEA9999"/>
        <bgColor rgb="FFEA9999"/>
      </patternFill>
    </fill>
    <fill>
      <patternFill patternType="solid">
        <fgColor theme="5" tint="0.59999389629810485"/>
        <bgColor rgb="FFB6D7A8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rgb="FFB6D7A8"/>
      </patternFill>
    </fill>
    <fill>
      <patternFill patternType="solid">
        <fgColor rgb="FF7030A0"/>
        <bgColor rgb="FFD8D8D8"/>
      </patternFill>
    </fill>
    <fill>
      <patternFill patternType="solid">
        <fgColor rgb="FF7030A0"/>
        <bgColor rgb="FFF3F3F3"/>
      </patternFill>
    </fill>
    <fill>
      <patternFill patternType="solid">
        <fgColor rgb="FF00B0F0"/>
        <bgColor rgb="FFCCCCCC"/>
      </patternFill>
    </fill>
    <fill>
      <patternFill patternType="solid">
        <fgColor rgb="FFFFC000"/>
        <bgColor rgb="FFD8D8D8"/>
      </patternFill>
    </fill>
    <fill>
      <patternFill patternType="solid">
        <fgColor theme="5" tint="-0.249977111117893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rgb="FFFFFF00"/>
        <bgColor rgb="FFB6D7A8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rgb="FFF3F3F3"/>
      </patternFill>
    </fill>
    <fill>
      <patternFill patternType="solid">
        <fgColor theme="8" tint="0.39997558519241921"/>
        <bgColor rgb="FFB6D7A8"/>
      </patternFill>
    </fill>
    <fill>
      <patternFill patternType="solid">
        <fgColor theme="0" tint="-0.14999847407452621"/>
        <bgColor rgb="FFB6D7A8"/>
      </patternFill>
    </fill>
    <fill>
      <patternFill patternType="solid">
        <fgColor rgb="FFD4D4D4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0"/>
      </left>
      <right/>
      <top style="medium">
        <color indexed="64"/>
      </top>
      <bottom style="medium">
        <color theme="0"/>
      </bottom>
      <diagonal/>
    </border>
    <border>
      <left/>
      <right/>
      <top style="medium">
        <color indexed="64"/>
      </top>
      <bottom style="medium">
        <color theme="0"/>
      </bottom>
      <diagonal/>
    </border>
    <border>
      <left/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theme="0"/>
      </bottom>
      <diagonal/>
    </border>
    <border>
      <left/>
      <right style="medium">
        <color rgb="FF000000"/>
      </right>
      <top style="medium">
        <color indexed="64"/>
      </top>
      <bottom style="medium">
        <color theme="0"/>
      </bottom>
      <diagonal/>
    </border>
    <border>
      <left style="medium">
        <color rgb="FF000000"/>
      </left>
      <right/>
      <top style="medium">
        <color indexed="64"/>
      </top>
      <bottom style="medium">
        <color theme="0"/>
      </bottom>
      <diagonal/>
    </border>
    <border>
      <left/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20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164" fontId="3" fillId="0" borderId="1" xfId="0" applyNumberFormat="1" applyFont="1" applyBorder="1"/>
    <xf numFmtId="164" fontId="3" fillId="0" borderId="2" xfId="0" applyNumberFormat="1" applyFont="1" applyBorder="1"/>
    <xf numFmtId="164" fontId="3" fillId="0" borderId="3" xfId="0" applyNumberFormat="1" applyFont="1" applyBorder="1"/>
    <xf numFmtId="164" fontId="0" fillId="0" borderId="0" xfId="0" applyNumberFormat="1"/>
    <xf numFmtId="0" fontId="3" fillId="0" borderId="1" xfId="0" applyFont="1" applyBorder="1"/>
    <xf numFmtId="46" fontId="0" fillId="0" borderId="1" xfId="0" applyNumberFormat="1" applyBorder="1"/>
    <xf numFmtId="0" fontId="3" fillId="0" borderId="3" xfId="0" applyFont="1" applyBorder="1"/>
    <xf numFmtId="46" fontId="3" fillId="2" borderId="1" xfId="0" applyNumberFormat="1" applyFont="1" applyFill="1" applyBorder="1"/>
    <xf numFmtId="0" fontId="0" fillId="0" borderId="1" xfId="0" applyBorder="1"/>
    <xf numFmtId="14" fontId="3" fillId="0" borderId="2" xfId="0" applyNumberFormat="1" applyFont="1" applyBorder="1"/>
    <xf numFmtId="14" fontId="3" fillId="0" borderId="1" xfId="0" applyNumberFormat="1" applyFont="1" applyBorder="1"/>
    <xf numFmtId="0" fontId="3" fillId="3" borderId="1" xfId="0" applyFont="1" applyFill="1" applyBorder="1"/>
    <xf numFmtId="0" fontId="0" fillId="3" borderId="1" xfId="0" applyFill="1" applyBorder="1"/>
    <xf numFmtId="21" fontId="3" fillId="0" borderId="2" xfId="0" applyNumberFormat="1" applyFont="1" applyBorder="1"/>
    <xf numFmtId="21" fontId="3" fillId="0" borderId="1" xfId="0" applyNumberFormat="1" applyFont="1" applyBorder="1"/>
    <xf numFmtId="0" fontId="4" fillId="0" borderId="1" xfId="0" applyFont="1" applyBorder="1"/>
    <xf numFmtId="21" fontId="3" fillId="0" borderId="3" xfId="0" applyNumberFormat="1" applyFont="1" applyBorder="1"/>
    <xf numFmtId="46" fontId="0" fillId="4" borderId="1" xfId="0" applyNumberFormat="1" applyFill="1" applyBorder="1"/>
    <xf numFmtId="0" fontId="3" fillId="4" borderId="1" xfId="0" applyFont="1" applyFill="1" applyBorder="1"/>
    <xf numFmtId="0" fontId="4" fillId="4" borderId="1" xfId="0" applyFont="1" applyFill="1" applyBorder="1"/>
    <xf numFmtId="46" fontId="0" fillId="5" borderId="1" xfId="0" applyNumberFormat="1" applyFill="1" applyBorder="1"/>
    <xf numFmtId="0" fontId="3" fillId="5" borderId="1" xfId="0" applyFont="1" applyFill="1" applyBorder="1"/>
    <xf numFmtId="46" fontId="0" fillId="2" borderId="1" xfId="0" applyNumberFormat="1" applyFill="1" applyBorder="1"/>
    <xf numFmtId="0" fontId="3" fillId="0" borderId="2" xfId="0" applyFont="1" applyBorder="1"/>
    <xf numFmtId="46" fontId="0" fillId="0" borderId="2" xfId="0" applyNumberFormat="1" applyBorder="1"/>
    <xf numFmtId="0" fontId="3" fillId="4" borderId="2" xfId="0" applyFont="1" applyFill="1" applyBorder="1"/>
    <xf numFmtId="46" fontId="0" fillId="4" borderId="2" xfId="0" applyNumberFormat="1" applyFill="1" applyBorder="1"/>
    <xf numFmtId="0" fontId="0" fillId="0" borderId="4" xfId="0" applyBorder="1"/>
    <xf numFmtId="46" fontId="0" fillId="0" borderId="4" xfId="0" applyNumberFormat="1" applyBorder="1"/>
    <xf numFmtId="0" fontId="5" fillId="0" borderId="0" xfId="0" applyFont="1" applyProtection="1">
      <protection locked="0"/>
    </xf>
    <xf numFmtId="0" fontId="8" fillId="0" borderId="0" xfId="0" applyFont="1"/>
    <xf numFmtId="0" fontId="6" fillId="9" borderId="15" xfId="0" applyFont="1" applyFill="1" applyBorder="1" applyAlignment="1" applyProtection="1">
      <alignment horizontal="center" vertical="center"/>
      <protection locked="0"/>
    </xf>
    <xf numFmtId="166" fontId="6" fillId="12" borderId="16" xfId="0" applyNumberFormat="1" applyFont="1" applyFill="1" applyBorder="1" applyAlignment="1">
      <alignment horizontal="center" vertical="center"/>
    </xf>
    <xf numFmtId="0" fontId="6" fillId="9" borderId="17" xfId="0" applyFont="1" applyFill="1" applyBorder="1" applyAlignment="1" applyProtection="1">
      <alignment horizontal="center" vertical="center"/>
      <protection locked="0"/>
    </xf>
    <xf numFmtId="20" fontId="6" fillId="14" borderId="5" xfId="0" applyNumberFormat="1" applyFont="1" applyFill="1" applyBorder="1" applyAlignment="1" applyProtection="1">
      <alignment horizontal="center" vertical="center"/>
      <protection locked="0"/>
    </xf>
    <xf numFmtId="20" fontId="6" fillId="14" borderId="6" xfId="0" applyNumberFormat="1" applyFont="1" applyFill="1" applyBorder="1" applyAlignment="1" applyProtection="1">
      <alignment horizontal="center" vertical="center"/>
      <protection locked="0"/>
    </xf>
    <xf numFmtId="20" fontId="6" fillId="14" borderId="7" xfId="0" applyNumberFormat="1" applyFont="1" applyFill="1" applyBorder="1" applyAlignment="1" applyProtection="1">
      <alignment horizontal="center" vertical="center"/>
      <protection locked="0"/>
    </xf>
    <xf numFmtId="166" fontId="11" fillId="15" borderId="16" xfId="0" applyNumberFormat="1" applyFont="1" applyFill="1" applyBorder="1" applyAlignment="1" applyProtection="1">
      <alignment horizontal="center" vertical="center"/>
      <protection locked="0"/>
    </xf>
    <xf numFmtId="0" fontId="6" fillId="9" borderId="18" xfId="0" applyFont="1" applyFill="1" applyBorder="1" applyAlignment="1" applyProtection="1">
      <alignment horizontal="center" vertical="center"/>
      <protection locked="0"/>
    </xf>
    <xf numFmtId="20" fontId="5" fillId="16" borderId="5" xfId="0" applyNumberFormat="1" applyFont="1" applyFill="1" applyBorder="1" applyAlignment="1" applyProtection="1">
      <alignment horizontal="center" vertical="center"/>
      <protection locked="0"/>
    </xf>
    <xf numFmtId="20" fontId="5" fillId="16" borderId="6" xfId="0" applyNumberFormat="1" applyFont="1" applyFill="1" applyBorder="1" applyAlignment="1" applyProtection="1">
      <alignment horizontal="center" vertical="center"/>
      <protection locked="0"/>
    </xf>
    <xf numFmtId="20" fontId="5" fillId="16" borderId="7" xfId="0" applyNumberFormat="1" applyFont="1" applyFill="1" applyBorder="1" applyAlignment="1" applyProtection="1">
      <alignment horizontal="center" vertical="center"/>
      <protection locked="0"/>
    </xf>
    <xf numFmtId="20" fontId="5" fillId="14" borderId="5" xfId="0" applyNumberFormat="1" applyFont="1" applyFill="1" applyBorder="1" applyAlignment="1" applyProtection="1">
      <alignment horizontal="center" vertical="center"/>
      <protection locked="0"/>
    </xf>
    <xf numFmtId="20" fontId="5" fillId="14" borderId="19" xfId="0" applyNumberFormat="1" applyFont="1" applyFill="1" applyBorder="1" applyAlignment="1" applyProtection="1">
      <alignment horizontal="center" vertical="center"/>
      <protection locked="0"/>
    </xf>
    <xf numFmtId="20" fontId="5" fillId="14" borderId="6" xfId="0" applyNumberFormat="1" applyFont="1" applyFill="1" applyBorder="1" applyAlignment="1" applyProtection="1">
      <alignment horizontal="center" vertical="center"/>
      <protection locked="0"/>
    </xf>
    <xf numFmtId="20" fontId="5" fillId="14" borderId="7" xfId="0" applyNumberFormat="1" applyFont="1" applyFill="1" applyBorder="1" applyAlignment="1" applyProtection="1">
      <alignment horizontal="center" vertical="center"/>
      <protection locked="0"/>
    </xf>
    <xf numFmtId="20" fontId="5" fillId="0" borderId="5" xfId="0" applyNumberFormat="1" applyFont="1" applyBorder="1" applyAlignment="1" applyProtection="1">
      <alignment horizontal="center" vertical="center"/>
      <protection locked="0"/>
    </xf>
    <xf numFmtId="20" fontId="5" fillId="0" borderId="19" xfId="0" applyNumberFormat="1" applyFont="1" applyBorder="1" applyAlignment="1" applyProtection="1">
      <alignment horizontal="center" vertical="center"/>
      <protection locked="0"/>
    </xf>
    <xf numFmtId="20" fontId="5" fillId="0" borderId="6" xfId="0" applyNumberFormat="1" applyFont="1" applyBorder="1" applyAlignment="1" applyProtection="1">
      <alignment horizontal="center" vertical="center"/>
      <protection locked="0"/>
    </xf>
    <xf numFmtId="20" fontId="5" fillId="0" borderId="7" xfId="0" applyNumberFormat="1" applyFont="1" applyBorder="1" applyAlignment="1" applyProtection="1">
      <alignment horizontal="center" vertical="center"/>
      <protection locked="0"/>
    </xf>
    <xf numFmtId="16" fontId="6" fillId="0" borderId="0" xfId="0" applyNumberFormat="1" applyFont="1" applyAlignment="1" applyProtection="1">
      <alignment horizontal="center" vertical="center"/>
      <protection locked="0"/>
    </xf>
    <xf numFmtId="0" fontId="6" fillId="17" borderId="20" xfId="0" applyFont="1" applyFill="1" applyBorder="1" applyAlignment="1" applyProtection="1">
      <alignment horizontal="center" vertical="center"/>
      <protection locked="0"/>
    </xf>
    <xf numFmtId="0" fontId="6" fillId="18" borderId="16" xfId="0" applyFont="1" applyFill="1" applyBorder="1" applyAlignment="1" applyProtection="1">
      <alignment horizontal="center" vertical="center"/>
      <protection locked="0"/>
    </xf>
    <xf numFmtId="0" fontId="6" fillId="19" borderId="21" xfId="0" applyFont="1" applyFill="1" applyBorder="1" applyAlignment="1" applyProtection="1">
      <alignment horizontal="center" vertical="center"/>
      <protection locked="0"/>
    </xf>
    <xf numFmtId="0" fontId="6" fillId="19" borderId="20" xfId="0" applyFont="1" applyFill="1" applyBorder="1" applyAlignment="1" applyProtection="1">
      <alignment horizontal="center" vertical="center"/>
      <protection locked="0"/>
    </xf>
    <xf numFmtId="0" fontId="6" fillId="19" borderId="16" xfId="0" applyFont="1" applyFill="1" applyBorder="1" applyAlignment="1" applyProtection="1">
      <alignment horizontal="center" vertical="center"/>
      <protection locked="0"/>
    </xf>
    <xf numFmtId="20" fontId="6" fillId="14" borderId="19" xfId="0" applyNumberFormat="1" applyFont="1" applyFill="1" applyBorder="1" applyAlignment="1" applyProtection="1">
      <alignment horizontal="center" vertical="center"/>
      <protection locked="0"/>
    </xf>
    <xf numFmtId="0" fontId="12" fillId="16" borderId="0" xfId="0" applyFont="1" applyFill="1" applyAlignment="1" applyProtection="1">
      <alignment horizontal="center" vertical="center"/>
      <protection locked="0"/>
    </xf>
    <xf numFmtId="0" fontId="6" fillId="20" borderId="20" xfId="0" applyFont="1" applyFill="1" applyBorder="1" applyAlignment="1" applyProtection="1">
      <alignment horizontal="center" vertical="center"/>
      <protection locked="0"/>
    </xf>
    <xf numFmtId="0" fontId="6" fillId="20" borderId="16" xfId="0" applyFont="1" applyFill="1" applyBorder="1" applyAlignment="1" applyProtection="1">
      <alignment horizontal="center" vertical="center"/>
      <protection locked="0"/>
    </xf>
    <xf numFmtId="46" fontId="13" fillId="0" borderId="0" xfId="0" applyNumberFormat="1" applyFont="1" applyAlignment="1" applyProtection="1">
      <alignment horizontal="center" vertical="center"/>
      <protection locked="0"/>
    </xf>
    <xf numFmtId="0" fontId="6" fillId="21" borderId="20" xfId="0" applyFont="1" applyFill="1" applyBorder="1" applyAlignment="1" applyProtection="1">
      <alignment horizontal="center" vertical="center"/>
      <protection locked="0"/>
    </xf>
    <xf numFmtId="0" fontId="6" fillId="21" borderId="16" xfId="0" applyFont="1" applyFill="1" applyBorder="1" applyAlignment="1" applyProtection="1">
      <alignment horizontal="center" vertical="center"/>
      <protection locked="0"/>
    </xf>
    <xf numFmtId="46" fontId="13" fillId="8" borderId="0" xfId="0" applyNumberFormat="1" applyFont="1" applyFill="1" applyAlignment="1" applyProtection="1">
      <alignment horizontal="center" vertical="center"/>
      <protection locked="0"/>
    </xf>
    <xf numFmtId="0" fontId="6" fillId="22" borderId="15" xfId="0" applyFont="1" applyFill="1" applyBorder="1" applyAlignment="1" applyProtection="1">
      <alignment horizontal="center" vertical="center"/>
      <protection locked="0"/>
    </xf>
    <xf numFmtId="0" fontId="6" fillId="22" borderId="17" xfId="0" applyFont="1" applyFill="1" applyBorder="1" applyAlignment="1" applyProtection="1">
      <alignment horizontal="center" vertical="center"/>
      <protection locked="0"/>
    </xf>
    <xf numFmtId="0" fontId="6" fillId="22" borderId="18" xfId="0" applyFont="1" applyFill="1" applyBorder="1" applyAlignment="1" applyProtection="1">
      <alignment horizontal="center" vertical="center"/>
      <protection locked="0"/>
    </xf>
    <xf numFmtId="20" fontId="7" fillId="0" borderId="0" xfId="0" applyNumberFormat="1" applyFont="1" applyAlignment="1" applyProtection="1">
      <alignment horizontal="center" vertical="center"/>
      <protection locked="0"/>
    </xf>
    <xf numFmtId="0" fontId="14" fillId="0" borderId="0" xfId="0" applyFont="1"/>
    <xf numFmtId="20" fontId="5" fillId="23" borderId="5" xfId="0" applyNumberFormat="1" applyFont="1" applyFill="1" applyBorder="1" applyAlignment="1" applyProtection="1">
      <alignment horizontal="center" vertical="center"/>
      <protection locked="0"/>
    </xf>
    <xf numFmtId="20" fontId="6" fillId="23" borderId="6" xfId="0" applyNumberFormat="1" applyFont="1" applyFill="1" applyBorder="1" applyAlignment="1" applyProtection="1">
      <alignment horizontal="center" vertical="center"/>
      <protection locked="0"/>
    </xf>
    <xf numFmtId="20" fontId="5" fillId="23" borderId="7" xfId="0" applyNumberFormat="1" applyFont="1" applyFill="1" applyBorder="1" applyAlignment="1" applyProtection="1">
      <alignment horizontal="center" vertical="center"/>
      <protection locked="0"/>
    </xf>
    <xf numFmtId="20" fontId="12" fillId="10" borderId="0" xfId="0" applyNumberFormat="1" applyFont="1" applyFill="1" applyAlignment="1" applyProtection="1">
      <alignment horizontal="center" vertical="center"/>
      <protection locked="0"/>
    </xf>
    <xf numFmtId="20" fontId="6" fillId="13" borderId="5" xfId="0" applyNumberFormat="1" applyFont="1" applyFill="1" applyBorder="1" applyAlignment="1" applyProtection="1">
      <alignment horizontal="center" vertical="center"/>
      <protection locked="0"/>
    </xf>
    <xf numFmtId="20" fontId="6" fillId="13" borderId="7" xfId="0" applyNumberFormat="1" applyFont="1" applyFill="1" applyBorder="1" applyAlignment="1" applyProtection="1">
      <alignment horizontal="center" vertical="center"/>
      <protection locked="0"/>
    </xf>
    <xf numFmtId="20" fontId="11" fillId="8" borderId="5" xfId="0" applyNumberFormat="1" applyFont="1" applyFill="1" applyBorder="1" applyAlignment="1" applyProtection="1">
      <alignment horizontal="center" vertical="center"/>
      <protection locked="0"/>
    </xf>
    <xf numFmtId="20" fontId="11" fillId="8" borderId="7" xfId="0" applyNumberFormat="1" applyFont="1" applyFill="1" applyBorder="1" applyAlignment="1" applyProtection="1">
      <alignment horizontal="center" vertical="center"/>
      <protection locked="0"/>
    </xf>
    <xf numFmtId="20" fontId="6" fillId="10" borderId="5" xfId="0" applyNumberFormat="1" applyFont="1" applyFill="1" applyBorder="1" applyAlignment="1">
      <alignment horizontal="center" vertical="center"/>
    </xf>
    <xf numFmtId="0" fontId="7" fillId="8" borderId="6" xfId="0" applyFont="1" applyFill="1" applyBorder="1"/>
    <xf numFmtId="0" fontId="7" fillId="8" borderId="7" xfId="0" applyFont="1" applyFill="1" applyBorder="1"/>
    <xf numFmtId="20" fontId="6" fillId="14" borderId="5" xfId="0" applyNumberFormat="1" applyFont="1" applyFill="1" applyBorder="1" applyAlignment="1" applyProtection="1">
      <alignment horizontal="center" vertical="center"/>
      <protection locked="0"/>
    </xf>
    <xf numFmtId="20" fontId="6" fillId="14" borderId="6" xfId="0" applyNumberFormat="1" applyFont="1" applyFill="1" applyBorder="1" applyAlignment="1" applyProtection="1">
      <alignment horizontal="center" vertical="center"/>
      <protection locked="0"/>
    </xf>
    <xf numFmtId="20" fontId="6" fillId="14" borderId="7" xfId="0" applyNumberFormat="1" applyFont="1" applyFill="1" applyBorder="1" applyAlignment="1" applyProtection="1">
      <alignment horizontal="center" vertical="center"/>
      <protection locked="0"/>
    </xf>
    <xf numFmtId="20" fontId="6" fillId="10" borderId="6" xfId="0" applyNumberFormat="1" applyFont="1" applyFill="1" applyBorder="1" applyAlignment="1">
      <alignment horizontal="center" vertical="center"/>
    </xf>
    <xf numFmtId="20" fontId="6" fillId="10" borderId="7" xfId="0" applyNumberFormat="1" applyFont="1" applyFill="1" applyBorder="1" applyAlignment="1">
      <alignment horizontal="center" vertical="center"/>
    </xf>
    <xf numFmtId="20" fontId="6" fillId="11" borderId="5" xfId="0" applyNumberFormat="1" applyFont="1" applyFill="1" applyBorder="1" applyAlignment="1">
      <alignment horizontal="center" vertical="center"/>
    </xf>
    <xf numFmtId="20" fontId="6" fillId="11" borderId="6" xfId="0" applyNumberFormat="1" applyFont="1" applyFill="1" applyBorder="1" applyAlignment="1">
      <alignment horizontal="center" vertical="center"/>
    </xf>
    <xf numFmtId="20" fontId="6" fillId="11" borderId="7" xfId="0" applyNumberFormat="1" applyFont="1" applyFill="1" applyBorder="1" applyAlignment="1">
      <alignment horizontal="center" vertical="center"/>
    </xf>
    <xf numFmtId="20" fontId="5" fillId="23" borderId="5" xfId="0" applyNumberFormat="1" applyFont="1" applyFill="1" applyBorder="1" applyAlignment="1" applyProtection="1">
      <alignment horizontal="center" vertical="center"/>
      <protection locked="0"/>
    </xf>
    <xf numFmtId="20" fontId="5" fillId="23" borderId="6" xfId="0" applyNumberFormat="1" applyFont="1" applyFill="1" applyBorder="1" applyAlignment="1" applyProtection="1">
      <alignment horizontal="center" vertical="center"/>
      <protection locked="0"/>
    </xf>
    <xf numFmtId="20" fontId="5" fillId="23" borderId="7" xfId="0" applyNumberFormat="1" applyFont="1" applyFill="1" applyBorder="1" applyAlignment="1" applyProtection="1">
      <alignment horizontal="center" vertical="center"/>
      <protection locked="0"/>
    </xf>
    <xf numFmtId="0" fontId="6" fillId="7" borderId="14" xfId="0" applyFont="1" applyFill="1" applyBorder="1" applyAlignment="1" applyProtection="1">
      <alignment horizontal="center" vertical="center"/>
      <protection locked="0"/>
    </xf>
    <xf numFmtId="0" fontId="7" fillId="7" borderId="11" xfId="0" applyFont="1" applyFill="1" applyBorder="1" applyAlignment="1" applyProtection="1">
      <alignment vertical="center"/>
      <protection locked="0"/>
    </xf>
    <xf numFmtId="0" fontId="6" fillId="7" borderId="12" xfId="0" applyFont="1" applyFill="1" applyBorder="1" applyAlignment="1" applyProtection="1">
      <alignment horizontal="center" vertical="center"/>
      <protection locked="0"/>
    </xf>
    <xf numFmtId="0" fontId="9" fillId="4" borderId="9" xfId="0" applyFont="1" applyFill="1" applyBorder="1" applyAlignment="1" applyProtection="1">
      <alignment horizontal="center" vertical="center" textRotation="90"/>
      <protection locked="0"/>
    </xf>
    <xf numFmtId="0" fontId="10" fillId="4" borderId="9" xfId="0" applyFont="1" applyFill="1" applyBorder="1" applyAlignment="1" applyProtection="1">
      <alignment horizontal="center" vertical="center" textRotation="90"/>
      <protection locked="0"/>
    </xf>
    <xf numFmtId="165" fontId="6" fillId="7" borderId="5" xfId="0" applyNumberFormat="1" applyFont="1" applyFill="1" applyBorder="1" applyAlignment="1">
      <alignment horizontal="center" vertical="center"/>
    </xf>
    <xf numFmtId="165" fontId="6" fillId="7" borderId="6" xfId="0" applyNumberFormat="1" applyFont="1" applyFill="1" applyBorder="1" applyAlignment="1">
      <alignment horizontal="center" vertical="center"/>
    </xf>
    <xf numFmtId="165" fontId="6" fillId="7" borderId="7" xfId="0" applyNumberFormat="1" applyFont="1" applyFill="1" applyBorder="1" applyAlignment="1">
      <alignment horizontal="center" vertical="center"/>
    </xf>
    <xf numFmtId="0" fontId="6" fillId="7" borderId="10" xfId="0" applyFont="1" applyFill="1" applyBorder="1" applyAlignment="1" applyProtection="1">
      <alignment horizontal="center" vertical="center"/>
      <protection locked="0"/>
    </xf>
    <xf numFmtId="0" fontId="7" fillId="7" borderId="13" xfId="0" applyFont="1" applyFill="1" applyBorder="1" applyAlignment="1" applyProtection="1">
      <alignment vertical="center"/>
      <protection locked="0"/>
    </xf>
    <xf numFmtId="0" fontId="6" fillId="6" borderId="0" xfId="0" applyFont="1" applyFill="1" applyAlignment="1" applyProtection="1">
      <alignment horizontal="center"/>
      <protection locked="0"/>
    </xf>
    <xf numFmtId="0" fontId="7" fillId="8" borderId="0" xfId="0" applyFont="1" applyFill="1" applyProtection="1">
      <protection locked="0"/>
    </xf>
    <xf numFmtId="0" fontId="6" fillId="7" borderId="5" xfId="0" applyFont="1" applyFill="1" applyBorder="1" applyAlignment="1" applyProtection="1">
      <alignment horizontal="center" vertical="center"/>
      <protection locked="0"/>
    </xf>
    <xf numFmtId="0" fontId="7" fillId="7" borderId="6" xfId="0" applyFont="1" applyFill="1" applyBorder="1" applyAlignment="1" applyProtection="1">
      <alignment vertical="center"/>
      <protection locked="0"/>
    </xf>
    <xf numFmtId="0" fontId="7" fillId="7" borderId="7" xfId="0" applyFont="1" applyFill="1" applyBorder="1" applyAlignment="1" applyProtection="1">
      <alignment vertical="center"/>
      <protection locked="0"/>
    </xf>
    <xf numFmtId="0" fontId="6" fillId="7" borderId="22" xfId="0" applyFont="1" applyFill="1" applyBorder="1" applyAlignment="1" applyProtection="1">
      <alignment horizontal="center" vertical="center"/>
      <protection locked="0"/>
    </xf>
    <xf numFmtId="0" fontId="7" fillId="7" borderId="22" xfId="0" applyFont="1" applyFill="1" applyBorder="1" applyAlignment="1" applyProtection="1">
      <alignment vertical="center"/>
      <protection locked="0"/>
    </xf>
    <xf numFmtId="0" fontId="7" fillId="7" borderId="23" xfId="0" applyFont="1" applyFill="1" applyBorder="1" applyAlignment="1" applyProtection="1">
      <alignment vertical="center"/>
      <protection locked="0"/>
    </xf>
    <xf numFmtId="0" fontId="6" fillId="7" borderId="15" xfId="0" applyFont="1" applyFill="1" applyBorder="1" applyAlignment="1" applyProtection="1">
      <alignment horizontal="center" vertical="center"/>
      <protection locked="0"/>
    </xf>
    <xf numFmtId="0" fontId="6" fillId="7" borderId="20" xfId="0" applyFont="1" applyFill="1" applyBorder="1" applyAlignment="1" applyProtection="1">
      <alignment horizontal="center" vertical="center"/>
      <protection locked="0"/>
    </xf>
    <xf numFmtId="0" fontId="6" fillId="7" borderId="17" xfId="0" applyFont="1" applyFill="1" applyBorder="1" applyAlignment="1" applyProtection="1">
      <alignment horizontal="center" vertical="center"/>
      <protection locked="0"/>
    </xf>
    <xf numFmtId="0" fontId="7" fillId="7" borderId="12" xfId="0" applyFont="1" applyFill="1" applyBorder="1" applyAlignment="1" applyProtection="1">
      <alignment vertical="center"/>
      <protection locked="0"/>
    </xf>
    <xf numFmtId="0" fontId="6" fillId="7" borderId="24" xfId="0" applyFont="1" applyFill="1" applyBorder="1" applyAlignment="1" applyProtection="1">
      <alignment horizontal="center" vertical="center"/>
      <protection locked="0"/>
    </xf>
    <xf numFmtId="0" fontId="6" fillId="7" borderId="8" xfId="0" applyFont="1" applyFill="1" applyBorder="1" applyAlignment="1" applyProtection="1">
      <alignment horizontal="center" vertical="center"/>
      <protection locked="0"/>
    </xf>
    <xf numFmtId="0" fontId="6" fillId="7" borderId="9" xfId="0" applyFont="1" applyFill="1" applyBorder="1" applyAlignment="1" applyProtection="1">
      <alignment horizontal="center" vertical="center"/>
      <protection locked="0"/>
    </xf>
    <xf numFmtId="0" fontId="6" fillId="7" borderId="13" xfId="0" applyFont="1" applyFill="1" applyBorder="1" applyAlignment="1" applyProtection="1">
      <alignment horizontal="center" vertical="center"/>
      <protection locked="0"/>
    </xf>
    <xf numFmtId="0" fontId="16" fillId="24" borderId="25" xfId="0" applyFont="1" applyFill="1" applyBorder="1"/>
    <xf numFmtId="0" fontId="16" fillId="8" borderId="1" xfId="0" applyFont="1" applyFill="1" applyBorder="1"/>
    <xf numFmtId="0" fontId="16" fillId="25" borderId="1" xfId="0" applyFont="1" applyFill="1" applyBorder="1"/>
    <xf numFmtId="0" fontId="16" fillId="25" borderId="26" xfId="0" applyFont="1" applyFill="1" applyBorder="1"/>
    <xf numFmtId="0" fontId="16" fillId="25" borderId="2" xfId="0" applyFont="1" applyFill="1" applyBorder="1"/>
    <xf numFmtId="167" fontId="16" fillId="24" borderId="27" xfId="0" applyNumberFormat="1" applyFont="1" applyFill="1" applyBorder="1"/>
    <xf numFmtId="167" fontId="16" fillId="8" borderId="28" xfId="0" applyNumberFormat="1" applyFont="1" applyFill="1" applyBorder="1"/>
    <xf numFmtId="167" fontId="16" fillId="24" borderId="28" xfId="0" applyNumberFormat="1" applyFont="1" applyFill="1" applyBorder="1"/>
    <xf numFmtId="167" fontId="16" fillId="24" borderId="29" xfId="0" applyNumberFormat="1" applyFont="1" applyFill="1" applyBorder="1"/>
    <xf numFmtId="0" fontId="16" fillId="26" borderId="1" xfId="0" applyFont="1" applyFill="1" applyBorder="1"/>
    <xf numFmtId="0" fontId="17" fillId="8" borderId="1" xfId="0" applyFont="1" applyFill="1" applyBorder="1"/>
    <xf numFmtId="0" fontId="0" fillId="8" borderId="1" xfId="0" applyFill="1" applyBorder="1"/>
    <xf numFmtId="0" fontId="0" fillId="4" borderId="1" xfId="0" applyFill="1" applyBorder="1"/>
    <xf numFmtId="0" fontId="17" fillId="0" borderId="1" xfId="0" applyFont="1" applyBorder="1"/>
    <xf numFmtId="0" fontId="16" fillId="3" borderId="1" xfId="0" applyFont="1" applyFill="1" applyBorder="1"/>
    <xf numFmtId="0" fontId="18" fillId="8" borderId="1" xfId="0" applyFont="1" applyFill="1" applyBorder="1"/>
    <xf numFmtId="0" fontId="19" fillId="0" borderId="1" xfId="0" applyFont="1" applyBorder="1"/>
    <xf numFmtId="167" fontId="16" fillId="24" borderId="1" xfId="0" applyNumberFormat="1" applyFont="1" applyFill="1" applyBorder="1"/>
    <xf numFmtId="0" fontId="19" fillId="8" borderId="1" xfId="0" applyFont="1" applyFill="1" applyBorder="1"/>
    <xf numFmtId="0" fontId="18" fillId="0" borderId="1" xfId="0" applyFont="1" applyBorder="1"/>
    <xf numFmtId="0" fontId="18" fillId="4" borderId="1" xfId="0" applyFont="1" applyFill="1" applyBorder="1"/>
    <xf numFmtId="0" fontId="16" fillId="25" borderId="2" xfId="0" applyFont="1" applyFill="1" applyBorder="1" applyAlignment="1">
      <alignment horizontal="center"/>
    </xf>
    <xf numFmtId="0" fontId="16" fillId="25" borderId="4" xfId="0" applyFont="1" applyFill="1" applyBorder="1" applyAlignment="1">
      <alignment horizontal="center"/>
    </xf>
    <xf numFmtId="167" fontId="16" fillId="24" borderId="29" xfId="0" applyNumberFormat="1" applyFont="1" applyFill="1" applyBorder="1" applyAlignment="1">
      <alignment horizontal="center"/>
    </xf>
    <xf numFmtId="167" fontId="16" fillId="24" borderId="30" xfId="0" applyNumberFormat="1" applyFont="1" applyFill="1" applyBorder="1" applyAlignment="1">
      <alignment horizontal="center"/>
    </xf>
    <xf numFmtId="167" fontId="16" fillId="24" borderId="31" xfId="0" applyNumberFormat="1" applyFont="1" applyFill="1" applyBorder="1"/>
    <xf numFmtId="167" fontId="16" fillId="24" borderId="32" xfId="0" applyNumberFormat="1" applyFont="1" applyFill="1" applyBorder="1"/>
    <xf numFmtId="168" fontId="0" fillId="0" borderId="1" xfId="0" applyNumberFormat="1" applyBorder="1"/>
    <xf numFmtId="168" fontId="0" fillId="27" borderId="1" xfId="0" applyNumberFormat="1" applyFill="1" applyBorder="1"/>
    <xf numFmtId="168" fontId="0" fillId="0" borderId="33" xfId="0" applyNumberFormat="1" applyBorder="1"/>
    <xf numFmtId="168" fontId="0" fillId="0" borderId="0" xfId="0" applyNumberFormat="1"/>
    <xf numFmtId="0" fontId="16" fillId="7" borderId="0" xfId="0" applyFont="1" applyFill="1"/>
    <xf numFmtId="168" fontId="0" fillId="8" borderId="0" xfId="0" applyNumberFormat="1" applyFill="1"/>
    <xf numFmtId="168" fontId="20" fillId="8" borderId="0" xfId="0" applyNumberFormat="1" applyFont="1" applyFill="1"/>
    <xf numFmtId="168" fontId="21" fillId="8" borderId="0" xfId="0" applyNumberFormat="1" applyFont="1" applyFill="1"/>
    <xf numFmtId="167" fontId="16" fillId="24" borderId="1" xfId="0" applyNumberFormat="1" applyFont="1" applyFill="1" applyBorder="1" applyAlignment="1">
      <alignment horizontal="center"/>
    </xf>
    <xf numFmtId="0" fontId="22" fillId="0" borderId="0" xfId="0" applyFont="1"/>
    <xf numFmtId="0" fontId="16" fillId="0" borderId="0" xfId="0" applyFont="1"/>
    <xf numFmtId="0" fontId="9" fillId="28" borderId="34" xfId="0" applyFont="1" applyFill="1" applyBorder="1" applyAlignment="1" applyProtection="1">
      <alignment horizontal="center" vertical="center"/>
      <protection locked="0"/>
    </xf>
    <xf numFmtId="0" fontId="9" fillId="28" borderId="35" xfId="0" applyFont="1" applyFill="1" applyBorder="1" applyAlignment="1" applyProtection="1">
      <alignment horizontal="center" vertical="center"/>
      <protection locked="0"/>
    </xf>
    <xf numFmtId="0" fontId="9" fillId="28" borderId="36" xfId="0" applyFont="1" applyFill="1" applyBorder="1" applyAlignment="1" applyProtection="1">
      <alignment horizontal="center" vertical="center"/>
      <protection locked="0"/>
    </xf>
    <xf numFmtId="0" fontId="9" fillId="28" borderId="37" xfId="0" applyFont="1" applyFill="1" applyBorder="1" applyAlignment="1" applyProtection="1">
      <alignment horizontal="center" vertical="center"/>
      <protection locked="0"/>
    </xf>
    <xf numFmtId="0" fontId="9" fillId="28" borderId="38" xfId="0" applyFont="1" applyFill="1" applyBorder="1" applyAlignment="1" applyProtection="1">
      <alignment horizontal="center" vertical="center"/>
      <protection locked="0"/>
    </xf>
    <xf numFmtId="0" fontId="9" fillId="28" borderId="39" xfId="0" applyFont="1" applyFill="1" applyBorder="1" applyAlignment="1" applyProtection="1">
      <alignment horizontal="center" vertical="center"/>
      <protection locked="0"/>
    </xf>
    <xf numFmtId="0" fontId="9" fillId="28" borderId="40" xfId="0" applyFont="1" applyFill="1" applyBorder="1" applyAlignment="1" applyProtection="1">
      <alignment horizontal="center" vertical="center"/>
      <protection locked="0"/>
    </xf>
    <xf numFmtId="166" fontId="8" fillId="0" borderId="0" xfId="1" applyNumberFormat="1" applyFont="1" applyFill="1" applyBorder="1"/>
    <xf numFmtId="20" fontId="5" fillId="0" borderId="0" xfId="0" applyNumberFormat="1" applyFont="1" applyProtection="1">
      <protection locked="0"/>
    </xf>
    <xf numFmtId="20" fontId="0" fillId="0" borderId="0" xfId="0" applyNumberFormat="1"/>
    <xf numFmtId="169" fontId="9" fillId="28" borderId="41" xfId="0" applyNumberFormat="1" applyFont="1" applyFill="1" applyBorder="1" applyAlignment="1">
      <alignment horizontal="center" vertical="center"/>
    </xf>
    <xf numFmtId="169" fontId="9" fillId="28" borderId="42" xfId="0" applyNumberFormat="1" applyFont="1" applyFill="1" applyBorder="1" applyAlignment="1">
      <alignment horizontal="center" vertical="center"/>
    </xf>
    <xf numFmtId="169" fontId="9" fillId="28" borderId="43" xfId="0" applyNumberFormat="1" applyFont="1" applyFill="1" applyBorder="1" applyAlignment="1">
      <alignment horizontal="center" vertical="center"/>
    </xf>
    <xf numFmtId="0" fontId="9" fillId="28" borderId="44" xfId="0" applyFont="1" applyFill="1" applyBorder="1" applyAlignment="1" applyProtection="1">
      <alignment horizontal="center" vertical="center"/>
      <protection locked="0"/>
    </xf>
    <xf numFmtId="0" fontId="9" fillId="28" borderId="45" xfId="0" applyFont="1" applyFill="1" applyBorder="1" applyAlignment="1" applyProtection="1">
      <alignment horizontal="center" vertical="center"/>
      <protection locked="0"/>
    </xf>
    <xf numFmtId="0" fontId="9" fillId="28" borderId="41" xfId="0" applyFont="1" applyFill="1" applyBorder="1" applyAlignment="1" applyProtection="1">
      <alignment horizontal="center" vertical="center"/>
      <protection locked="0"/>
    </xf>
    <xf numFmtId="0" fontId="9" fillId="28" borderId="43" xfId="0" applyFont="1" applyFill="1" applyBorder="1" applyAlignment="1" applyProtection="1">
      <alignment horizontal="center" vertical="center"/>
      <protection locked="0"/>
    </xf>
    <xf numFmtId="0" fontId="23" fillId="2" borderId="5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3" fillId="7" borderId="6" xfId="0" applyFont="1" applyFill="1" applyBorder="1" applyAlignment="1">
      <alignment horizontal="center" vertical="center"/>
    </xf>
    <xf numFmtId="0" fontId="23" fillId="7" borderId="7" xfId="0" applyFont="1" applyFill="1" applyBorder="1" applyAlignment="1">
      <alignment horizontal="center" vertical="center"/>
    </xf>
    <xf numFmtId="166" fontId="23" fillId="0" borderId="0" xfId="1" applyNumberFormat="1" applyFont="1" applyFill="1" applyBorder="1" applyAlignment="1">
      <alignment vertical="center"/>
    </xf>
    <xf numFmtId="0" fontId="16" fillId="0" borderId="0" xfId="0" applyFont="1" applyAlignment="1">
      <alignment vertical="center"/>
    </xf>
    <xf numFmtId="20" fontId="6" fillId="29" borderId="46" xfId="0" applyNumberFormat="1" applyFont="1" applyFill="1" applyBorder="1" applyAlignment="1">
      <alignment horizontal="center" vertical="center" wrapText="1"/>
    </xf>
    <xf numFmtId="20" fontId="6" fillId="29" borderId="22" xfId="0" applyNumberFormat="1" applyFont="1" applyFill="1" applyBorder="1" applyAlignment="1">
      <alignment horizontal="center" vertical="center" wrapText="1"/>
    </xf>
    <xf numFmtId="20" fontId="6" fillId="29" borderId="8" xfId="0" applyNumberFormat="1" applyFont="1" applyFill="1" applyBorder="1" applyAlignment="1">
      <alignment horizontal="center" vertical="center" wrapText="1"/>
    </xf>
    <xf numFmtId="166" fontId="6" fillId="0" borderId="0" xfId="0" applyNumberFormat="1" applyFont="1" applyAlignment="1">
      <alignment horizontal="center" vertical="center"/>
    </xf>
    <xf numFmtId="20" fontId="6" fillId="29" borderId="47" xfId="0" applyNumberFormat="1" applyFont="1" applyFill="1" applyBorder="1" applyAlignment="1">
      <alignment horizontal="center" vertical="center" wrapText="1"/>
    </xf>
    <xf numFmtId="20" fontId="6" fillId="29" borderId="0" xfId="0" applyNumberFormat="1" applyFont="1" applyFill="1" applyAlignment="1">
      <alignment horizontal="center" vertical="center" wrapText="1"/>
    </xf>
    <xf numFmtId="20" fontId="6" fillId="29" borderId="9" xfId="0" applyNumberFormat="1" applyFont="1" applyFill="1" applyBorder="1" applyAlignment="1">
      <alignment horizontal="center" vertical="center" wrapText="1"/>
    </xf>
    <xf numFmtId="20" fontId="6" fillId="30" borderId="5" xfId="0" applyNumberFormat="1" applyFont="1" applyFill="1" applyBorder="1" applyAlignment="1" applyProtection="1">
      <alignment horizontal="center" vertical="center"/>
      <protection locked="0"/>
    </xf>
    <xf numFmtId="20" fontId="6" fillId="30" borderId="6" xfId="0" applyNumberFormat="1" applyFont="1" applyFill="1" applyBorder="1" applyAlignment="1" applyProtection="1">
      <alignment horizontal="center" vertical="center"/>
      <protection locked="0"/>
    </xf>
    <xf numFmtId="20" fontId="6" fillId="30" borderId="7" xfId="0" applyNumberFormat="1" applyFont="1" applyFill="1" applyBorder="1" applyAlignment="1" applyProtection="1">
      <alignment horizontal="center" vertical="center"/>
      <protection locked="0"/>
    </xf>
    <xf numFmtId="20" fontId="6" fillId="29" borderId="10" xfId="0" applyNumberFormat="1" applyFont="1" applyFill="1" applyBorder="1" applyAlignment="1">
      <alignment horizontal="center" vertical="center" wrapText="1"/>
    </xf>
    <xf numFmtId="20" fontId="6" fillId="29" borderId="12" xfId="0" applyNumberFormat="1" applyFont="1" applyFill="1" applyBorder="1" applyAlignment="1">
      <alignment horizontal="center" vertical="center" wrapText="1"/>
    </xf>
    <xf numFmtId="20" fontId="6" fillId="29" borderId="13" xfId="0" applyNumberFormat="1" applyFont="1" applyFill="1" applyBorder="1" applyAlignment="1">
      <alignment horizontal="center" vertical="center" wrapText="1"/>
    </xf>
    <xf numFmtId="20" fontId="6" fillId="31" borderId="5" xfId="0" applyNumberFormat="1" applyFont="1" applyFill="1" applyBorder="1" applyAlignment="1" applyProtection="1">
      <alignment horizontal="center" vertical="center"/>
      <protection locked="0"/>
    </xf>
    <xf numFmtId="20" fontId="6" fillId="31" borderId="6" xfId="0" applyNumberFormat="1" applyFont="1" applyFill="1" applyBorder="1" applyAlignment="1" applyProtection="1">
      <alignment horizontal="center" vertical="center"/>
      <protection locked="0"/>
    </xf>
    <xf numFmtId="20" fontId="6" fillId="31" borderId="7" xfId="0" applyNumberFormat="1" applyFont="1" applyFill="1" applyBorder="1" applyAlignment="1" applyProtection="1">
      <alignment horizontal="center" vertical="center"/>
      <protection locked="0"/>
    </xf>
    <xf numFmtId="0" fontId="16" fillId="32" borderId="5" xfId="0" applyFont="1" applyFill="1" applyBorder="1" applyAlignment="1">
      <alignment horizontal="center"/>
    </xf>
    <xf numFmtId="0" fontId="16" fillId="32" borderId="6" xfId="0" applyFont="1" applyFill="1" applyBorder="1" applyAlignment="1">
      <alignment horizontal="center"/>
    </xf>
    <xf numFmtId="0" fontId="16" fillId="32" borderId="7" xfId="0" applyFont="1" applyFill="1" applyBorder="1" applyAlignment="1">
      <alignment horizontal="center"/>
    </xf>
    <xf numFmtId="166" fontId="0" fillId="0" borderId="0" xfId="1" applyNumberFormat="1" applyFont="1" applyFill="1" applyBorder="1"/>
    <xf numFmtId="0" fontId="23" fillId="5" borderId="6" xfId="0" applyFont="1" applyFill="1" applyBorder="1" applyAlignment="1">
      <alignment horizontal="center" vertical="center"/>
    </xf>
    <xf numFmtId="0" fontId="23" fillId="5" borderId="7" xfId="0" applyFont="1" applyFill="1" applyBorder="1" applyAlignment="1">
      <alignment horizontal="center" vertical="center"/>
    </xf>
    <xf numFmtId="0" fontId="23" fillId="7" borderId="5" xfId="0" applyFont="1" applyFill="1" applyBorder="1" applyAlignment="1">
      <alignment horizontal="center" vertical="center"/>
    </xf>
    <xf numFmtId="0" fontId="23" fillId="7" borderId="7" xfId="0" applyFont="1" applyFill="1" applyBorder="1" applyAlignment="1">
      <alignment horizontal="center" vertical="center"/>
    </xf>
    <xf numFmtId="0" fontId="23" fillId="7" borderId="6" xfId="0" applyFont="1" applyFill="1" applyBorder="1" applyAlignment="1">
      <alignment horizontal="center" vertical="center"/>
    </xf>
    <xf numFmtId="0" fontId="23" fillId="5" borderId="5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F1694-3CD2-425E-8DB5-D818B4616F3B}">
  <dimension ref="A1:Q64"/>
  <sheetViews>
    <sheetView workbookViewId="0">
      <selection activeCell="J34" sqref="J34:K35"/>
    </sheetView>
  </sheetViews>
  <sheetFormatPr defaultColWidth="11.42578125" defaultRowHeight="15" x14ac:dyDescent="0.25"/>
  <cols>
    <col min="16" max="16" width="15.85546875" customWidth="1"/>
  </cols>
  <sheetData>
    <row r="1" spans="1:16" ht="26.25" x14ac:dyDescent="0.4">
      <c r="A1" s="1" t="s">
        <v>9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5">
      <c r="A2" s="4"/>
      <c r="B2" s="5" t="s">
        <v>18</v>
      </c>
      <c r="C2" s="6"/>
      <c r="D2" s="5" t="s">
        <v>19</v>
      </c>
      <c r="E2" s="6"/>
      <c r="F2" s="5" t="s">
        <v>20</v>
      </c>
      <c r="G2" s="6"/>
      <c r="H2" s="5" t="s">
        <v>21</v>
      </c>
      <c r="I2" s="6"/>
      <c r="J2" s="5" t="s">
        <v>22</v>
      </c>
      <c r="K2" s="6"/>
      <c r="L2" s="4" t="s">
        <v>0</v>
      </c>
      <c r="M2" s="7"/>
      <c r="N2" s="7"/>
    </row>
    <row r="3" spans="1:16" x14ac:dyDescent="0.25">
      <c r="A3" s="8"/>
      <c r="B3" s="17">
        <v>0.35416666666666663</v>
      </c>
      <c r="C3" s="10"/>
      <c r="D3" s="9">
        <v>0.35416666666666663</v>
      </c>
      <c r="E3" s="8"/>
      <c r="F3" s="21"/>
      <c r="G3" s="22"/>
      <c r="H3" s="24">
        <v>0.29166666666666669</v>
      </c>
      <c r="I3" s="25"/>
      <c r="J3" s="17">
        <v>0.21875</v>
      </c>
      <c r="K3" s="10"/>
      <c r="L3" s="11">
        <f>J3+H3+D3+B3</f>
        <v>1.21875</v>
      </c>
      <c r="N3" t="s">
        <v>17</v>
      </c>
    </row>
    <row r="4" spans="1:16" x14ac:dyDescent="0.25">
      <c r="A4" s="8" t="s">
        <v>1</v>
      </c>
      <c r="B4" s="18">
        <v>0.38541666666666669</v>
      </c>
      <c r="C4" s="18">
        <v>0.79166666666666663</v>
      </c>
      <c r="D4" s="9">
        <v>0.38541666666666669</v>
      </c>
      <c r="E4" s="9">
        <v>0.79166666666666663</v>
      </c>
      <c r="F4" s="21" t="s">
        <v>16</v>
      </c>
      <c r="G4" s="21" t="s">
        <v>16</v>
      </c>
      <c r="H4" s="24">
        <v>0.38541666666666669</v>
      </c>
      <c r="I4" s="24">
        <v>0.70833333333333337</v>
      </c>
      <c r="J4" s="18">
        <v>0.38541666666666669</v>
      </c>
      <c r="K4" s="17">
        <v>0.625</v>
      </c>
      <c r="L4" s="8"/>
    </row>
    <row r="5" spans="1:16" x14ac:dyDescent="0.25">
      <c r="A5" s="8"/>
      <c r="B5" s="9">
        <v>0.35416666666666663</v>
      </c>
      <c r="C5" s="8"/>
      <c r="D5" s="21"/>
      <c r="E5" s="22"/>
      <c r="F5" s="9">
        <v>0.35416666666666663</v>
      </c>
      <c r="G5" s="8"/>
      <c r="H5" s="9">
        <v>0.35416666666666663</v>
      </c>
      <c r="I5" s="8"/>
      <c r="J5" s="21"/>
      <c r="K5" s="22"/>
      <c r="L5" s="11">
        <f>J5+H5+F5+B5</f>
        <v>1.0625</v>
      </c>
    </row>
    <row r="6" spans="1:16" x14ac:dyDescent="0.25">
      <c r="A6" s="8" t="s">
        <v>2</v>
      </c>
      <c r="B6" s="9">
        <v>0.38541666666666669</v>
      </c>
      <c r="C6" s="9">
        <v>0.79166666666666663</v>
      </c>
      <c r="D6" s="21" t="s">
        <v>16</v>
      </c>
      <c r="E6" s="21" t="s">
        <v>16</v>
      </c>
      <c r="F6" s="9">
        <v>0.38541666666666669</v>
      </c>
      <c r="G6" s="9">
        <v>0.79166666666666663</v>
      </c>
      <c r="H6" s="9">
        <v>0.38541666666666669</v>
      </c>
      <c r="I6" s="9">
        <v>0.79166666666666663</v>
      </c>
      <c r="J6" s="21" t="s">
        <v>16</v>
      </c>
      <c r="K6" s="21" t="s">
        <v>16</v>
      </c>
      <c r="L6" s="8"/>
    </row>
    <row r="7" spans="1:16" x14ac:dyDescent="0.25">
      <c r="A7" s="8"/>
      <c r="B7" s="21"/>
      <c r="C7" s="22"/>
      <c r="D7" s="9">
        <v>0.35416666666666663</v>
      </c>
      <c r="E7" s="8"/>
      <c r="F7" s="9">
        <v>0.35416666666666663</v>
      </c>
      <c r="G7" s="8"/>
      <c r="H7" s="9">
        <v>0.35416666666666663</v>
      </c>
      <c r="I7" s="8"/>
      <c r="J7" s="21"/>
      <c r="K7" s="22"/>
      <c r="L7" s="11">
        <f>H7+F7+D7</f>
        <v>1.0625</v>
      </c>
      <c r="M7" s="31" t="s">
        <v>3</v>
      </c>
      <c r="N7" s="12" t="s">
        <v>4</v>
      </c>
      <c r="O7" s="12" t="s">
        <v>5</v>
      </c>
      <c r="P7" s="12" t="s">
        <v>6</v>
      </c>
    </row>
    <row r="8" spans="1:16" x14ac:dyDescent="0.25">
      <c r="A8" s="8" t="s">
        <v>7</v>
      </c>
      <c r="B8" s="21" t="s">
        <v>16</v>
      </c>
      <c r="C8" s="21" t="s">
        <v>16</v>
      </c>
      <c r="D8" s="9">
        <v>0.38541666666666669</v>
      </c>
      <c r="E8" s="9">
        <v>0.79166666666666663</v>
      </c>
      <c r="F8" s="9">
        <v>0.38541666666666669</v>
      </c>
      <c r="G8" s="9">
        <v>0.79166666666666663</v>
      </c>
      <c r="H8" s="9">
        <v>0.38541666666666669</v>
      </c>
      <c r="I8" s="9">
        <v>0.79166666666666663</v>
      </c>
      <c r="J8" s="21" t="s">
        <v>16</v>
      </c>
      <c r="K8" s="21" t="s">
        <v>16</v>
      </c>
      <c r="L8" s="8"/>
      <c r="M8" s="32">
        <v>0.38541666666666669</v>
      </c>
      <c r="N8" s="9">
        <v>0.79166666666666663</v>
      </c>
      <c r="O8" s="9">
        <v>5.2083333333333336E-2</v>
      </c>
      <c r="P8" s="9">
        <v>0.35416666666666669</v>
      </c>
    </row>
    <row r="9" spans="1:16" x14ac:dyDescent="0.25">
      <c r="A9" s="8"/>
      <c r="B9" s="21"/>
      <c r="C9" s="22"/>
      <c r="D9" s="9">
        <v>0.35416666666666663</v>
      </c>
      <c r="E9" s="8"/>
      <c r="F9" s="24">
        <f>N9-M9-O9</f>
        <v>0.29166666666666669</v>
      </c>
      <c r="G9" s="25"/>
      <c r="H9" s="9">
        <v>0.35416666666666663</v>
      </c>
      <c r="I9" s="8"/>
      <c r="J9" s="17">
        <v>0.21874999999999997</v>
      </c>
      <c r="K9" s="20"/>
      <c r="L9" s="11">
        <f>J9+H9+F9+D9+B9</f>
        <v>1.21875</v>
      </c>
      <c r="M9" s="32">
        <v>0.38541666666666669</v>
      </c>
      <c r="N9" s="9">
        <v>0.70833333333333337</v>
      </c>
      <c r="O9" s="9">
        <v>3.125E-2</v>
      </c>
      <c r="P9" s="9">
        <v>0.29166666666666669</v>
      </c>
    </row>
    <row r="10" spans="1:16" x14ac:dyDescent="0.25">
      <c r="A10" s="8" t="s">
        <v>8</v>
      </c>
      <c r="B10" s="21" t="s">
        <v>16</v>
      </c>
      <c r="C10" s="21" t="s">
        <v>16</v>
      </c>
      <c r="D10" s="9">
        <v>0.38541666666666669</v>
      </c>
      <c r="E10" s="9">
        <v>0.79166666666666663</v>
      </c>
      <c r="F10" s="24">
        <f>M10</f>
        <v>0.38541666666666669</v>
      </c>
      <c r="G10" s="24">
        <f>N9</f>
        <v>0.70833333333333337</v>
      </c>
      <c r="H10" s="9">
        <v>0.38541666666666669</v>
      </c>
      <c r="I10" s="9">
        <v>0.79166666666666663</v>
      </c>
      <c r="J10" s="18">
        <v>0.38541666666666669</v>
      </c>
      <c r="K10" s="17">
        <v>0.625</v>
      </c>
      <c r="L10" s="8"/>
      <c r="M10" s="32">
        <v>0.38541666666666669</v>
      </c>
      <c r="N10" s="9">
        <v>0.625</v>
      </c>
      <c r="O10" s="9">
        <v>2.0833333333333332E-2</v>
      </c>
      <c r="P10" s="9">
        <v>0.21875</v>
      </c>
    </row>
    <row r="15" spans="1:16" ht="26.25" x14ac:dyDescent="0.4">
      <c r="A15" s="1" t="s">
        <v>12</v>
      </c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25">
      <c r="A16" s="8"/>
      <c r="B16" s="13">
        <v>45866</v>
      </c>
      <c r="C16" s="10" t="s">
        <v>23</v>
      </c>
      <c r="D16" s="13">
        <v>45867</v>
      </c>
      <c r="E16" s="10" t="s">
        <v>24</v>
      </c>
      <c r="F16" s="13">
        <v>45868</v>
      </c>
      <c r="G16" s="10" t="s">
        <v>25</v>
      </c>
      <c r="H16" s="13">
        <v>45869</v>
      </c>
      <c r="I16" s="10" t="s">
        <v>26</v>
      </c>
      <c r="J16" s="13">
        <v>45870</v>
      </c>
      <c r="K16" s="10" t="s">
        <v>27</v>
      </c>
      <c r="L16" s="13">
        <v>45871</v>
      </c>
      <c r="M16" s="10" t="s">
        <v>28</v>
      </c>
      <c r="N16" s="13">
        <v>45872</v>
      </c>
      <c r="O16" s="10" t="s">
        <v>29</v>
      </c>
      <c r="P16" s="8" t="s">
        <v>0</v>
      </c>
    </row>
    <row r="17" spans="1:16" x14ac:dyDescent="0.25">
      <c r="A17" s="8"/>
      <c r="B17" s="9">
        <v>0.35416666666666663</v>
      </c>
      <c r="C17" s="8"/>
      <c r="D17" s="21"/>
      <c r="E17" s="22"/>
      <c r="F17" s="9">
        <v>0.35416666666666663</v>
      </c>
      <c r="G17" s="8"/>
      <c r="H17" s="9">
        <v>0.35416666666666663</v>
      </c>
      <c r="I17" s="8"/>
      <c r="J17" s="17">
        <v>0.35416666666666663</v>
      </c>
      <c r="K17" s="10"/>
      <c r="L17" s="17">
        <v>0.35416666666666663</v>
      </c>
      <c r="M17" s="10"/>
      <c r="N17" s="21"/>
      <c r="O17" s="22"/>
      <c r="P17" s="11">
        <f>N17+L17+J17+H17+F17+D17+B17</f>
        <v>1.770833333333333</v>
      </c>
    </row>
    <row r="18" spans="1:16" x14ac:dyDescent="0.25">
      <c r="A18" s="8" t="s">
        <v>1</v>
      </c>
      <c r="B18" s="9">
        <v>0.38541666666666669</v>
      </c>
      <c r="C18" s="9">
        <v>0.79166666666666663</v>
      </c>
      <c r="D18" s="21" t="s">
        <v>16</v>
      </c>
      <c r="E18" s="21" t="s">
        <v>16</v>
      </c>
      <c r="F18" s="9">
        <v>0.38541666666666669</v>
      </c>
      <c r="G18" s="9">
        <v>0.79166666666666663</v>
      </c>
      <c r="H18" s="9">
        <v>0.38541666666666669</v>
      </c>
      <c r="I18" s="9">
        <v>0.79166666666666663</v>
      </c>
      <c r="J18" s="18">
        <v>0.38541666666666669</v>
      </c>
      <c r="K18" s="18">
        <v>0.79166666666666663</v>
      </c>
      <c r="L18" s="18">
        <v>0.38541666666666669</v>
      </c>
      <c r="M18" s="18">
        <v>0.79166666666666663</v>
      </c>
      <c r="N18" s="21" t="s">
        <v>16</v>
      </c>
      <c r="O18" s="21" t="s">
        <v>16</v>
      </c>
      <c r="P18" s="8"/>
    </row>
    <row r="19" spans="1:16" x14ac:dyDescent="0.25">
      <c r="A19" s="8"/>
      <c r="B19" s="9">
        <v>0.35416666666666663</v>
      </c>
      <c r="C19" s="8"/>
      <c r="D19" s="9">
        <v>0.35416666666666663</v>
      </c>
      <c r="E19" s="8"/>
      <c r="F19" s="9">
        <v>0.35416666666666663</v>
      </c>
      <c r="G19" s="8"/>
      <c r="H19" s="21"/>
      <c r="I19" s="22"/>
      <c r="J19" s="17">
        <v>0.35416666666666663</v>
      </c>
      <c r="K19" s="10"/>
      <c r="L19" s="24">
        <v>0.29166666666666669</v>
      </c>
      <c r="M19" s="25"/>
      <c r="N19" s="9">
        <v>0.21874999999999997</v>
      </c>
      <c r="O19" s="27"/>
      <c r="P19" s="11">
        <f>N19+L19+J19+H19+F19+D19+B19</f>
        <v>1.927083333333333</v>
      </c>
    </row>
    <row r="20" spans="1:16" x14ac:dyDescent="0.25">
      <c r="A20" s="8" t="s">
        <v>2</v>
      </c>
      <c r="B20" s="9">
        <v>0.38541666666666669</v>
      </c>
      <c r="C20" s="9">
        <v>0.79166666666666663</v>
      </c>
      <c r="D20" s="9">
        <v>0.38541666666666669</v>
      </c>
      <c r="E20" s="9">
        <v>0.79166666666666663</v>
      </c>
      <c r="F20" s="9">
        <v>0.38541666666666669</v>
      </c>
      <c r="G20" s="9">
        <v>0.79166666666666663</v>
      </c>
      <c r="H20" s="21" t="s">
        <v>16</v>
      </c>
      <c r="I20" s="21" t="s">
        <v>16</v>
      </c>
      <c r="J20" s="18">
        <v>0.38541666666666669</v>
      </c>
      <c r="K20" s="18">
        <v>0.79166666666666663</v>
      </c>
      <c r="L20" s="24">
        <v>0.38541666666666669</v>
      </c>
      <c r="M20" s="24">
        <v>0.70833333333333337</v>
      </c>
      <c r="N20" s="9">
        <v>0.38541666666666669</v>
      </c>
      <c r="O20" s="28">
        <v>0.625</v>
      </c>
      <c r="P20" s="8"/>
    </row>
    <row r="21" spans="1:16" x14ac:dyDescent="0.25">
      <c r="A21" s="8"/>
      <c r="B21" s="9">
        <v>0.35416666666666663</v>
      </c>
      <c r="C21" s="8"/>
      <c r="D21" s="9">
        <v>0.35416666666666663</v>
      </c>
      <c r="E21" s="8"/>
      <c r="F21" s="21"/>
      <c r="G21" s="22"/>
      <c r="H21" s="9">
        <v>0.35416666666666663</v>
      </c>
      <c r="I21" s="8"/>
      <c r="J21" s="24">
        <v>0.29166666666666669</v>
      </c>
      <c r="K21" s="25"/>
      <c r="L21" s="17">
        <v>0.35416666666666663</v>
      </c>
      <c r="M21" s="10"/>
      <c r="N21" s="9">
        <v>0.21874999999999997</v>
      </c>
      <c r="O21" s="27"/>
      <c r="P21" s="11">
        <f>N21+L21+J21+H21+F21+D21+B21</f>
        <v>1.927083333333333</v>
      </c>
    </row>
    <row r="22" spans="1:16" x14ac:dyDescent="0.25">
      <c r="A22" s="8" t="s">
        <v>7</v>
      </c>
      <c r="B22" s="9">
        <v>0.38541666666666669</v>
      </c>
      <c r="C22" s="9">
        <v>0.79166666666666663</v>
      </c>
      <c r="D22" s="9">
        <v>0.38541666666666669</v>
      </c>
      <c r="E22" s="9">
        <v>0.79166666666666663</v>
      </c>
      <c r="F22" s="21" t="s">
        <v>16</v>
      </c>
      <c r="G22" s="21" t="s">
        <v>16</v>
      </c>
      <c r="H22" s="9">
        <v>0.38541666666666669</v>
      </c>
      <c r="I22" s="9">
        <v>0.79166666666666663</v>
      </c>
      <c r="J22" s="24">
        <v>0.38541666666666669</v>
      </c>
      <c r="K22" s="24">
        <v>0.70833333333333337</v>
      </c>
      <c r="L22" s="18">
        <v>0.38541666666666669</v>
      </c>
      <c r="M22" s="18">
        <v>0.79166666666666663</v>
      </c>
      <c r="N22" s="9">
        <v>0.38541666666666669</v>
      </c>
      <c r="O22" s="28">
        <v>0.625</v>
      </c>
      <c r="P22" s="8"/>
    </row>
    <row r="23" spans="1:16" x14ac:dyDescent="0.25">
      <c r="A23" s="8"/>
      <c r="B23" s="21"/>
      <c r="C23" s="22"/>
      <c r="D23" s="9">
        <v>0.35416666666666663</v>
      </c>
      <c r="E23" s="8"/>
      <c r="F23" s="9">
        <v>0.35416666666666663</v>
      </c>
      <c r="G23" s="8"/>
      <c r="H23" s="17">
        <v>0.35416666666666663</v>
      </c>
      <c r="I23" s="10"/>
      <c r="J23" s="9">
        <v>0.35416666666666663</v>
      </c>
      <c r="K23" s="8"/>
      <c r="L23" s="9">
        <v>0.35416666666666663</v>
      </c>
      <c r="M23" s="8"/>
      <c r="N23" s="21"/>
      <c r="O23" s="22"/>
      <c r="P23" s="11">
        <f>N23+L23+J23+H23+F23+D23+B23</f>
        <v>1.770833333333333</v>
      </c>
    </row>
    <row r="24" spans="1:16" x14ac:dyDescent="0.25">
      <c r="A24" s="8" t="s">
        <v>8</v>
      </c>
      <c r="B24" s="21" t="s">
        <v>16</v>
      </c>
      <c r="C24" s="21" t="s">
        <v>16</v>
      </c>
      <c r="D24" s="9">
        <v>0.38541666666666669</v>
      </c>
      <c r="E24" s="9">
        <v>0.79166666666666663</v>
      </c>
      <c r="F24" s="9">
        <v>0.38541666666666669</v>
      </c>
      <c r="G24" s="9">
        <v>0.79166666666666663</v>
      </c>
      <c r="H24" s="18">
        <v>0.38541666666666669</v>
      </c>
      <c r="I24" s="18">
        <v>0.79166666666666663</v>
      </c>
      <c r="J24" s="9">
        <v>0.38541666666666669</v>
      </c>
      <c r="K24" s="9">
        <v>0.79166666666666663</v>
      </c>
      <c r="L24" s="9">
        <v>0.38541666666666669</v>
      </c>
      <c r="M24" s="9">
        <v>0.79166666666666663</v>
      </c>
      <c r="N24" s="21" t="s">
        <v>16</v>
      </c>
      <c r="O24" s="21" t="s">
        <v>16</v>
      </c>
      <c r="P24" s="8"/>
    </row>
    <row r="28" spans="1:16" ht="26.25" x14ac:dyDescent="0.4">
      <c r="A28" s="1" t="s">
        <v>13</v>
      </c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5">
      <c r="A29" s="8"/>
      <c r="B29" s="13">
        <v>45873</v>
      </c>
      <c r="C29" s="10" t="s">
        <v>23</v>
      </c>
      <c r="D29" s="13">
        <v>45874</v>
      </c>
      <c r="E29" s="10" t="s">
        <v>24</v>
      </c>
      <c r="F29" s="13">
        <v>45875</v>
      </c>
      <c r="G29" s="10" t="s">
        <v>25</v>
      </c>
      <c r="H29" s="13">
        <v>45876</v>
      </c>
      <c r="I29" s="10" t="s">
        <v>26</v>
      </c>
      <c r="J29" s="13">
        <v>45877</v>
      </c>
      <c r="K29" s="10" t="s">
        <v>27</v>
      </c>
      <c r="L29" s="13">
        <v>45878</v>
      </c>
      <c r="M29" s="10" t="s">
        <v>28</v>
      </c>
      <c r="N29" s="13">
        <v>45879</v>
      </c>
      <c r="O29" s="10" t="s">
        <v>29</v>
      </c>
      <c r="P29" s="8" t="s">
        <v>0</v>
      </c>
    </row>
    <row r="30" spans="1:16" x14ac:dyDescent="0.25">
      <c r="A30" s="8"/>
      <c r="B30" s="9">
        <v>0.35416666666666663</v>
      </c>
      <c r="C30" s="8"/>
      <c r="D30" s="9">
        <v>0.35416666666666663</v>
      </c>
      <c r="E30" s="8"/>
      <c r="F30" s="24">
        <v>0.29166666666666669</v>
      </c>
      <c r="G30" s="25"/>
      <c r="H30" s="17">
        <v>0.35416666666666663</v>
      </c>
      <c r="I30" s="10"/>
      <c r="J30" s="17">
        <v>0.35416666666666663</v>
      </c>
      <c r="K30" s="10"/>
      <c r="L30" s="21"/>
      <c r="M30" s="22"/>
      <c r="N30" s="9">
        <v>0.21874999999999997</v>
      </c>
      <c r="O30" s="27"/>
      <c r="P30" s="11">
        <f>N30+L30+J30+H30+F30+D30+B30</f>
        <v>1.927083333333333</v>
      </c>
    </row>
    <row r="31" spans="1:16" x14ac:dyDescent="0.25">
      <c r="A31" s="8" t="s">
        <v>1</v>
      </c>
      <c r="B31" s="9">
        <v>0.38541666666666669</v>
      </c>
      <c r="C31" s="9">
        <v>0.79166666666666663</v>
      </c>
      <c r="D31" s="9">
        <v>0.38541666666666669</v>
      </c>
      <c r="E31" s="9">
        <v>0.79166666666666663</v>
      </c>
      <c r="F31" s="24">
        <v>0.38541666666666669</v>
      </c>
      <c r="G31" s="24">
        <v>0.70833333333333337</v>
      </c>
      <c r="H31" s="18">
        <v>0.38541666666666669</v>
      </c>
      <c r="I31" s="18">
        <v>0.79166666666666663</v>
      </c>
      <c r="J31" s="18">
        <v>0.38541666666666669</v>
      </c>
      <c r="K31" s="18">
        <v>0.79166666666666663</v>
      </c>
      <c r="L31" s="21" t="s">
        <v>16</v>
      </c>
      <c r="M31" s="21" t="s">
        <v>16</v>
      </c>
      <c r="N31" s="9">
        <v>0.38541666666666669</v>
      </c>
      <c r="O31" s="28">
        <v>0.625</v>
      </c>
      <c r="P31" s="8"/>
    </row>
    <row r="32" spans="1:16" x14ac:dyDescent="0.25">
      <c r="A32" s="8"/>
      <c r="B32" s="9">
        <v>0.35416666666666663</v>
      </c>
      <c r="C32" s="8"/>
      <c r="D32" s="17">
        <v>0.35416666666666663</v>
      </c>
      <c r="E32" s="10"/>
      <c r="F32" s="17">
        <v>0.35416666666666663</v>
      </c>
      <c r="G32" s="10"/>
      <c r="H32" s="21"/>
      <c r="I32" s="22"/>
      <c r="J32" s="9">
        <v>0.35416666666666663</v>
      </c>
      <c r="K32" s="8"/>
      <c r="L32" s="24">
        <v>0.29166666666666669</v>
      </c>
      <c r="M32" s="25"/>
      <c r="N32" s="9">
        <v>0.21874999999999997</v>
      </c>
      <c r="O32" s="27"/>
      <c r="P32" s="11">
        <f>N32+L32+J32+H32+F32+D32+B32</f>
        <v>1.927083333333333</v>
      </c>
    </row>
    <row r="33" spans="1:16" x14ac:dyDescent="0.25">
      <c r="A33" s="8" t="s">
        <v>2</v>
      </c>
      <c r="B33" s="9">
        <v>0.38541666666666669</v>
      </c>
      <c r="C33" s="9">
        <v>0.79166666666666663</v>
      </c>
      <c r="D33" s="18">
        <v>0.38541666666666669</v>
      </c>
      <c r="E33" s="18">
        <v>0.79166666666666663</v>
      </c>
      <c r="F33" s="18">
        <v>0.38541666666666669</v>
      </c>
      <c r="G33" s="18">
        <v>0.79166666666666663</v>
      </c>
      <c r="H33" s="21" t="s">
        <v>16</v>
      </c>
      <c r="I33" s="21" t="s">
        <v>16</v>
      </c>
      <c r="J33" s="9">
        <v>0.38541666666666669</v>
      </c>
      <c r="K33" s="9">
        <v>0.79166666666666663</v>
      </c>
      <c r="L33" s="24">
        <v>0.38541666666666669</v>
      </c>
      <c r="M33" s="24">
        <v>0.70833333333333337</v>
      </c>
      <c r="N33" s="9">
        <v>0.38541666666666669</v>
      </c>
      <c r="O33" s="28">
        <v>0.625</v>
      </c>
      <c r="P33" s="8"/>
    </row>
    <row r="34" spans="1:16" x14ac:dyDescent="0.25">
      <c r="A34" s="8"/>
      <c r="B34" s="17">
        <v>0.35416666666666663</v>
      </c>
      <c r="C34" s="10"/>
      <c r="D34" s="21"/>
      <c r="E34" s="22"/>
      <c r="F34" s="9">
        <v>0.35416666666666663</v>
      </c>
      <c r="G34" s="8"/>
      <c r="H34" s="9">
        <v>0.35416666666666663</v>
      </c>
      <c r="I34" s="8"/>
      <c r="J34" s="9">
        <v>0.35416666666666663</v>
      </c>
      <c r="K34" s="8"/>
      <c r="L34" s="9">
        <v>0.35416666666666663</v>
      </c>
      <c r="M34" s="8"/>
      <c r="N34" s="21"/>
      <c r="O34" s="22"/>
      <c r="P34" s="11">
        <f>N34+L34+J34+H34+F34+D34+B34</f>
        <v>1.770833333333333</v>
      </c>
    </row>
    <row r="35" spans="1:16" x14ac:dyDescent="0.25">
      <c r="A35" s="8" t="s">
        <v>7</v>
      </c>
      <c r="B35" s="18">
        <v>0.38541666666666669</v>
      </c>
      <c r="C35" s="18">
        <v>0.79166666666666663</v>
      </c>
      <c r="D35" s="21" t="s">
        <v>16</v>
      </c>
      <c r="E35" s="21" t="s">
        <v>16</v>
      </c>
      <c r="F35" s="9">
        <v>0.38541666666666669</v>
      </c>
      <c r="G35" s="9">
        <v>0.79166666666666663</v>
      </c>
      <c r="H35" s="9">
        <v>0.38541666666666669</v>
      </c>
      <c r="I35" s="9">
        <v>0.79166666666666663</v>
      </c>
      <c r="J35" s="9">
        <v>0.38541666666666669</v>
      </c>
      <c r="K35" s="9">
        <v>0.79166666666666663</v>
      </c>
      <c r="L35" s="9">
        <v>0.38541666666666669</v>
      </c>
      <c r="M35" s="9">
        <v>0.79166666666666663</v>
      </c>
      <c r="N35" s="21" t="s">
        <v>16</v>
      </c>
      <c r="O35" s="21" t="s">
        <v>16</v>
      </c>
      <c r="P35" s="8"/>
    </row>
    <row r="36" spans="1:16" x14ac:dyDescent="0.25">
      <c r="A36" s="8"/>
      <c r="B36" s="9">
        <v>0.35416666666666669</v>
      </c>
      <c r="C36" s="8"/>
      <c r="D36" s="9">
        <v>0.35416666666666663</v>
      </c>
      <c r="E36" s="8"/>
      <c r="F36" s="9">
        <v>0.35416666666666663</v>
      </c>
      <c r="G36" s="8"/>
      <c r="H36" s="9">
        <v>0.35416666666666663</v>
      </c>
      <c r="I36" s="8"/>
      <c r="J36" s="21"/>
      <c r="K36" s="22"/>
      <c r="L36" s="17">
        <v>0.35416666666666663</v>
      </c>
      <c r="M36" s="10"/>
      <c r="N36" s="21"/>
      <c r="O36" s="22"/>
      <c r="P36" s="11">
        <f>N36+L36+J36+H36+F36+D36+B36</f>
        <v>1.7708333333333333</v>
      </c>
    </row>
    <row r="37" spans="1:16" x14ac:dyDescent="0.25">
      <c r="A37" s="8" t="s">
        <v>8</v>
      </c>
      <c r="B37" s="9">
        <v>0.38541666666666669</v>
      </c>
      <c r="C37" s="9">
        <v>0.79166666666666663</v>
      </c>
      <c r="D37" s="9">
        <v>0.38541666666666669</v>
      </c>
      <c r="E37" s="9">
        <v>0.79166666666666663</v>
      </c>
      <c r="F37" s="9">
        <v>0.38541666666666669</v>
      </c>
      <c r="G37" s="9">
        <v>0.79166666666666663</v>
      </c>
      <c r="H37" s="9">
        <v>0.38541666666666669</v>
      </c>
      <c r="I37" s="9">
        <v>0.79166666666666663</v>
      </c>
      <c r="J37" s="21" t="s">
        <v>16</v>
      </c>
      <c r="K37" s="21" t="s">
        <v>16</v>
      </c>
      <c r="L37" s="18">
        <v>0.38541666666666669</v>
      </c>
      <c r="M37" s="18">
        <v>0.79166666666666663</v>
      </c>
      <c r="N37" s="21" t="s">
        <v>16</v>
      </c>
      <c r="O37" s="21" t="s">
        <v>16</v>
      </c>
      <c r="P37" s="8"/>
    </row>
    <row r="41" spans="1:16" ht="26.25" x14ac:dyDescent="0.4">
      <c r="A41" s="1" t="s">
        <v>14</v>
      </c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5">
      <c r="A42" s="8"/>
      <c r="B42" s="13">
        <v>45880</v>
      </c>
      <c r="C42" s="10" t="s">
        <v>23</v>
      </c>
      <c r="D42" s="13">
        <v>45881</v>
      </c>
      <c r="E42" s="10" t="s">
        <v>30</v>
      </c>
      <c r="F42" s="13">
        <v>45882</v>
      </c>
      <c r="G42" s="10" t="s">
        <v>25</v>
      </c>
      <c r="H42" s="13">
        <v>45883</v>
      </c>
      <c r="I42" s="10" t="s">
        <v>26</v>
      </c>
      <c r="J42" s="13">
        <v>45884</v>
      </c>
      <c r="K42" s="10" t="s">
        <v>31</v>
      </c>
      <c r="L42" s="13">
        <v>45885</v>
      </c>
      <c r="M42" s="10" t="s">
        <v>28</v>
      </c>
      <c r="N42" s="13">
        <v>45886</v>
      </c>
      <c r="O42" s="10" t="s">
        <v>29</v>
      </c>
      <c r="P42" s="8" t="s">
        <v>0</v>
      </c>
    </row>
    <row r="43" spans="1:16" x14ac:dyDescent="0.25">
      <c r="A43" s="8"/>
      <c r="B43" s="9">
        <v>0.35416666666666663</v>
      </c>
      <c r="C43" s="8"/>
      <c r="D43" s="21"/>
      <c r="E43" s="23"/>
      <c r="F43" s="9">
        <v>0.35416666666666663</v>
      </c>
      <c r="G43" s="19"/>
      <c r="H43" s="17">
        <v>0.35416666666666663</v>
      </c>
      <c r="I43" s="10"/>
      <c r="J43" s="17">
        <v>0.35416666666666663</v>
      </c>
      <c r="K43" s="10"/>
      <c r="L43" s="9">
        <v>0.35416666666666663</v>
      </c>
      <c r="M43" s="8"/>
      <c r="N43" s="21"/>
      <c r="O43" s="29"/>
      <c r="P43" s="11">
        <f>N43+L43+J43+H43+F43+B43+D43</f>
        <v>1.770833333333333</v>
      </c>
    </row>
    <row r="44" spans="1:16" x14ac:dyDescent="0.25">
      <c r="A44" s="8" t="s">
        <v>1</v>
      </c>
      <c r="B44" s="9">
        <v>0.38541666666666669</v>
      </c>
      <c r="C44" s="9">
        <v>0.79166666666666663</v>
      </c>
      <c r="D44" s="21" t="s">
        <v>16</v>
      </c>
      <c r="E44" s="21" t="s">
        <v>16</v>
      </c>
      <c r="F44" s="9">
        <v>0.38541666666666669</v>
      </c>
      <c r="G44" s="9">
        <v>0.79166666666666663</v>
      </c>
      <c r="H44" s="18">
        <v>0.38541666666666669</v>
      </c>
      <c r="I44" s="18">
        <v>0.79166666666666663</v>
      </c>
      <c r="J44" s="18">
        <v>0.38541666666666669</v>
      </c>
      <c r="K44" s="18">
        <v>0.79166666666666663</v>
      </c>
      <c r="L44" s="9">
        <v>0.38541666666666669</v>
      </c>
      <c r="M44" s="9">
        <v>0.79166666666666663</v>
      </c>
      <c r="N44" s="21" t="s">
        <v>16</v>
      </c>
      <c r="O44" s="30" t="s">
        <v>16</v>
      </c>
      <c r="P44" s="8"/>
    </row>
    <row r="45" spans="1:16" x14ac:dyDescent="0.25">
      <c r="A45" s="8"/>
      <c r="B45" s="9">
        <v>0.35416666666666663</v>
      </c>
      <c r="C45" s="8"/>
      <c r="D45" s="9">
        <v>0.35416666666666663</v>
      </c>
      <c r="E45" s="8"/>
      <c r="F45" s="9">
        <v>0.35416666666666663</v>
      </c>
      <c r="G45" s="8"/>
      <c r="H45" s="21"/>
      <c r="I45" s="23"/>
      <c r="J45" s="17">
        <v>0.35416666666666663</v>
      </c>
      <c r="K45" s="10"/>
      <c r="L45" s="17">
        <v>0.35416666666666663</v>
      </c>
      <c r="M45" s="10"/>
      <c r="N45" s="21"/>
      <c r="O45" s="29"/>
      <c r="P45" s="11">
        <f>N45+L45+J45+H45+F45+D45+B45</f>
        <v>1.770833333333333</v>
      </c>
    </row>
    <row r="46" spans="1:16" x14ac:dyDescent="0.25">
      <c r="A46" s="8" t="s">
        <v>2</v>
      </c>
      <c r="B46" s="9">
        <v>0.38541666666666669</v>
      </c>
      <c r="C46" s="9">
        <v>0.79166666666666663</v>
      </c>
      <c r="D46" s="9">
        <v>0.38541666666666669</v>
      </c>
      <c r="E46" s="9">
        <v>0.79166666666666663</v>
      </c>
      <c r="F46" s="9">
        <v>0.38541666666666669</v>
      </c>
      <c r="G46" s="9">
        <v>0.79166666666666663</v>
      </c>
      <c r="H46" s="21" t="s">
        <v>16</v>
      </c>
      <c r="I46" s="21" t="s">
        <v>16</v>
      </c>
      <c r="J46" s="18">
        <v>0.38541666666666669</v>
      </c>
      <c r="K46" s="18">
        <v>0.79166666666666663</v>
      </c>
      <c r="L46" s="18">
        <v>0.38541666666666669</v>
      </c>
      <c r="M46" s="18">
        <v>0.79166666666666663</v>
      </c>
      <c r="N46" s="21" t="s">
        <v>16</v>
      </c>
      <c r="O46" s="30" t="s">
        <v>16</v>
      </c>
      <c r="P46" s="8"/>
    </row>
    <row r="47" spans="1:16" x14ac:dyDescent="0.25">
      <c r="A47" s="8"/>
      <c r="B47" s="9">
        <v>0.35416666666666663</v>
      </c>
      <c r="C47" s="8"/>
      <c r="D47" s="17">
        <v>0.35416666666666663</v>
      </c>
      <c r="E47" s="10"/>
      <c r="F47" s="21"/>
      <c r="G47" s="22"/>
      <c r="H47" s="9">
        <v>0.35416666666666663</v>
      </c>
      <c r="I47" s="8"/>
      <c r="J47" s="9">
        <v>0.35416666666666663</v>
      </c>
      <c r="K47" s="8"/>
      <c r="L47" s="24">
        <v>0.29166666666666669</v>
      </c>
      <c r="M47" s="25"/>
      <c r="N47" s="9">
        <v>0.21874999999999997</v>
      </c>
      <c r="O47" s="27"/>
      <c r="P47" s="11">
        <f>N47+L47+J47+H47+D47+B47</f>
        <v>1.927083333333333</v>
      </c>
    </row>
    <row r="48" spans="1:16" x14ac:dyDescent="0.25">
      <c r="A48" s="8" t="s">
        <v>7</v>
      </c>
      <c r="B48" s="9">
        <v>0.38541666666666669</v>
      </c>
      <c r="C48" s="9">
        <v>0.79166666666666663</v>
      </c>
      <c r="D48" s="18">
        <v>0.38541666666666669</v>
      </c>
      <c r="E48" s="18">
        <v>0.79166666666666663</v>
      </c>
      <c r="F48" s="21" t="s">
        <v>16</v>
      </c>
      <c r="G48" s="21" t="s">
        <v>16</v>
      </c>
      <c r="H48" s="9">
        <v>0.38541666666666669</v>
      </c>
      <c r="I48" s="9">
        <v>0.79166666666666663</v>
      </c>
      <c r="J48" s="9">
        <v>0.38541666666666669</v>
      </c>
      <c r="K48" s="9">
        <v>0.79166666666666663</v>
      </c>
      <c r="L48" s="24">
        <v>0.38541666666666669</v>
      </c>
      <c r="M48" s="24">
        <v>0.70833333333333337</v>
      </c>
      <c r="N48" s="9">
        <v>0.38541666666666669</v>
      </c>
      <c r="O48" s="28">
        <v>0.625</v>
      </c>
      <c r="P48" s="8"/>
    </row>
    <row r="49" spans="1:17" x14ac:dyDescent="0.25">
      <c r="A49" s="8"/>
      <c r="B49" s="9">
        <v>0.35416666666666669</v>
      </c>
      <c r="C49" s="8"/>
      <c r="D49" s="24">
        <v>0.29166666666666669</v>
      </c>
      <c r="E49" s="25"/>
      <c r="F49" s="9">
        <v>0.35416666666666663</v>
      </c>
      <c r="G49" s="8"/>
      <c r="H49" s="9">
        <v>0.35416666666666663</v>
      </c>
      <c r="I49" s="8"/>
      <c r="J49" s="21"/>
      <c r="K49" s="23"/>
      <c r="L49" s="9">
        <v>0.35416666666666663</v>
      </c>
      <c r="M49" s="8"/>
      <c r="N49" s="9">
        <v>0.21874999999999997</v>
      </c>
      <c r="O49" s="27"/>
      <c r="P49" s="11">
        <f>N49+L49+H49+F49+D49+B49</f>
        <v>1.9270833333333335</v>
      </c>
    </row>
    <row r="50" spans="1:17" x14ac:dyDescent="0.25">
      <c r="A50" s="8" t="s">
        <v>8</v>
      </c>
      <c r="B50" s="9">
        <v>0.38541666666666669</v>
      </c>
      <c r="C50" s="9">
        <v>0.79166666666666663</v>
      </c>
      <c r="D50" s="24">
        <v>0.38541666666666669</v>
      </c>
      <c r="E50" s="24">
        <v>0.70833333333333337</v>
      </c>
      <c r="F50" s="9">
        <v>0.38541666666666669</v>
      </c>
      <c r="G50" s="9">
        <v>0.79166666666666663</v>
      </c>
      <c r="H50" s="9">
        <v>0.38541666666666669</v>
      </c>
      <c r="I50" s="9">
        <v>0.79166666666666663</v>
      </c>
      <c r="J50" s="21" t="s">
        <v>16</v>
      </c>
      <c r="K50" s="21" t="s">
        <v>16</v>
      </c>
      <c r="L50" s="9">
        <v>0.38541666666666669</v>
      </c>
      <c r="M50" s="9">
        <v>0.79166666666666663</v>
      </c>
      <c r="N50" s="9">
        <v>0.38541666666666669</v>
      </c>
      <c r="O50" s="28">
        <v>0.625</v>
      </c>
      <c r="P50" s="8"/>
    </row>
    <row r="55" spans="1:17" ht="26.25" x14ac:dyDescent="0.4">
      <c r="A55" s="1" t="s">
        <v>15</v>
      </c>
      <c r="B55" s="2"/>
      <c r="C55" s="3"/>
      <c r="D55" s="3"/>
      <c r="E55" s="3"/>
      <c r="P55" s="15" t="s">
        <v>10</v>
      </c>
      <c r="Q55" s="16"/>
    </row>
    <row r="56" spans="1:17" x14ac:dyDescent="0.25">
      <c r="A56" s="8"/>
      <c r="B56" s="14">
        <v>45887</v>
      </c>
      <c r="C56" s="8" t="s">
        <v>23</v>
      </c>
      <c r="D56" s="14">
        <v>45888</v>
      </c>
      <c r="E56" s="8" t="s">
        <v>30</v>
      </c>
      <c r="F56" s="14">
        <v>45889</v>
      </c>
      <c r="G56" s="8" t="s">
        <v>25</v>
      </c>
      <c r="H56" s="14">
        <v>45890</v>
      </c>
      <c r="I56" s="8" t="s">
        <v>26</v>
      </c>
      <c r="J56" s="14">
        <v>45891</v>
      </c>
      <c r="K56" s="8" t="s">
        <v>31</v>
      </c>
      <c r="L56" s="12"/>
      <c r="P56" s="15" t="s">
        <v>11</v>
      </c>
      <c r="Q56" s="16"/>
    </row>
    <row r="57" spans="1:17" x14ac:dyDescent="0.25">
      <c r="A57" s="8"/>
      <c r="B57" s="9">
        <v>0.35416666666666663</v>
      </c>
      <c r="C57" s="8"/>
      <c r="D57" s="9">
        <v>0.35416666666666663</v>
      </c>
      <c r="E57" s="8"/>
      <c r="F57" s="21"/>
      <c r="G57" s="22"/>
      <c r="H57" s="9">
        <v>0.35416666666666663</v>
      </c>
      <c r="I57" s="8"/>
      <c r="J57" s="9">
        <v>0.35416666666666663</v>
      </c>
      <c r="K57" s="8"/>
      <c r="L57" s="26">
        <f>J57+H57+F57+D57+B57</f>
        <v>1.4166666666666665</v>
      </c>
      <c r="P57" s="8" t="s">
        <v>1</v>
      </c>
      <c r="Q57" s="9">
        <f>L57+P43+P30+P17+L3</f>
        <v>8.1041666666666643</v>
      </c>
    </row>
    <row r="58" spans="1:17" x14ac:dyDescent="0.25">
      <c r="A58" s="8" t="s">
        <v>1</v>
      </c>
      <c r="B58" s="9">
        <v>0.38541666666666669</v>
      </c>
      <c r="C58" s="9">
        <v>0.79166666666666663</v>
      </c>
      <c r="D58" s="9">
        <v>0.38541666666666669</v>
      </c>
      <c r="E58" s="9">
        <v>0.79166666666666663</v>
      </c>
      <c r="F58" s="21" t="s">
        <v>16</v>
      </c>
      <c r="G58" s="21" t="s">
        <v>16</v>
      </c>
      <c r="H58" s="9">
        <v>0.38541666666666669</v>
      </c>
      <c r="I58" s="9">
        <v>0.79166666666666663</v>
      </c>
      <c r="J58" s="9">
        <v>0.38541666666666669</v>
      </c>
      <c r="K58" s="9">
        <v>0.79166666666666663</v>
      </c>
      <c r="L58" s="12"/>
      <c r="P58" s="8"/>
      <c r="Q58" s="12"/>
    </row>
    <row r="59" spans="1:17" x14ac:dyDescent="0.25">
      <c r="A59" s="8"/>
      <c r="B59" s="9">
        <v>0.35416666666666663</v>
      </c>
      <c r="C59" s="8"/>
      <c r="D59" s="9">
        <v>0.35416666666666663</v>
      </c>
      <c r="E59" s="8"/>
      <c r="F59" s="9">
        <v>0.35416666666666663</v>
      </c>
      <c r="G59" s="8"/>
      <c r="H59" s="9">
        <v>0.35416666666666663</v>
      </c>
      <c r="I59" s="8"/>
      <c r="J59" s="21"/>
      <c r="K59" s="22"/>
      <c r="L59" s="26">
        <f>J59+H59+F59+D59+B59</f>
        <v>1.4166666666666665</v>
      </c>
      <c r="P59" s="8" t="s">
        <v>2</v>
      </c>
      <c r="Q59" s="9">
        <f>L5+P19+P32+P45+L59</f>
        <v>8.1041666666666661</v>
      </c>
    </row>
    <row r="60" spans="1:17" x14ac:dyDescent="0.25">
      <c r="A60" s="8" t="s">
        <v>2</v>
      </c>
      <c r="B60" s="9">
        <v>0.38541666666666669</v>
      </c>
      <c r="C60" s="9">
        <v>0.79166666666666663</v>
      </c>
      <c r="D60" s="9">
        <v>0.38541666666666669</v>
      </c>
      <c r="E60" s="9">
        <v>0.79166666666666663</v>
      </c>
      <c r="F60" s="9">
        <v>0.38541666666666669</v>
      </c>
      <c r="G60" s="9">
        <v>0.79166666666666663</v>
      </c>
      <c r="H60" s="9">
        <v>0.38541666666666669</v>
      </c>
      <c r="I60" s="9">
        <v>0.79166666666666663</v>
      </c>
      <c r="J60" s="21" t="s">
        <v>16</v>
      </c>
      <c r="K60" s="21" t="s">
        <v>16</v>
      </c>
      <c r="L60" s="12"/>
      <c r="P60" s="8"/>
      <c r="Q60" s="12"/>
    </row>
    <row r="61" spans="1:17" x14ac:dyDescent="0.25">
      <c r="A61" s="8"/>
      <c r="B61" s="21"/>
      <c r="C61" s="22"/>
      <c r="D61" s="9">
        <v>0.35416666666666663</v>
      </c>
      <c r="E61" s="8"/>
      <c r="F61" s="9">
        <v>0.35416666666666663</v>
      </c>
      <c r="G61" s="8"/>
      <c r="H61" s="9">
        <v>0.35416666666666663</v>
      </c>
      <c r="I61" s="8"/>
      <c r="J61" s="9">
        <v>0.35416666666666663</v>
      </c>
      <c r="K61" s="8"/>
      <c r="L61" s="26">
        <f>J61+H61+F61+D61+B61</f>
        <v>1.4166666666666665</v>
      </c>
      <c r="P61" s="8" t="s">
        <v>7</v>
      </c>
      <c r="Q61" s="9">
        <f>+L61+P47+P34+P21+L7</f>
        <v>8.1041666666666643</v>
      </c>
    </row>
    <row r="62" spans="1:17" x14ac:dyDescent="0.25">
      <c r="A62" s="8" t="s">
        <v>7</v>
      </c>
      <c r="B62" s="21" t="s">
        <v>16</v>
      </c>
      <c r="C62" s="21" t="s">
        <v>16</v>
      </c>
      <c r="D62" s="9">
        <v>0.38541666666666669</v>
      </c>
      <c r="E62" s="9">
        <v>0.79166666666666663</v>
      </c>
      <c r="F62" s="9">
        <v>0.38541666666666669</v>
      </c>
      <c r="G62" s="9">
        <v>0.79166666666666663</v>
      </c>
      <c r="H62" s="9">
        <v>0.38541666666666669</v>
      </c>
      <c r="I62" s="9">
        <v>0.79166666666666663</v>
      </c>
      <c r="J62" s="9">
        <v>0.38541666666666669</v>
      </c>
      <c r="K62" s="9">
        <v>0.79166666666666663</v>
      </c>
      <c r="L62" s="12"/>
      <c r="P62" s="8"/>
      <c r="Q62" s="12"/>
    </row>
    <row r="63" spans="1:17" x14ac:dyDescent="0.25">
      <c r="A63" s="8"/>
      <c r="B63" s="9">
        <v>0.35416666666666669</v>
      </c>
      <c r="C63" s="8"/>
      <c r="D63" s="21"/>
      <c r="E63" s="22"/>
      <c r="F63" s="9">
        <v>0.35416666666666669</v>
      </c>
      <c r="G63" s="8"/>
      <c r="H63" s="9">
        <v>0.35416666666666663</v>
      </c>
      <c r="I63" s="8"/>
      <c r="J63" s="9">
        <v>0.35416666666666663</v>
      </c>
      <c r="K63" s="8"/>
      <c r="L63" s="26">
        <f>J63+H63+F63+D63+B63</f>
        <v>1.4166666666666667</v>
      </c>
      <c r="P63" s="8" t="s">
        <v>8</v>
      </c>
      <c r="Q63" s="9">
        <f>L63+P49+P36+P23+L9</f>
        <v>8.1041666666666661</v>
      </c>
    </row>
    <row r="64" spans="1:17" x14ac:dyDescent="0.25">
      <c r="A64" s="8" t="s">
        <v>8</v>
      </c>
      <c r="B64" s="9">
        <v>0.38541666666666669</v>
      </c>
      <c r="C64" s="9">
        <v>0.79166666666666663</v>
      </c>
      <c r="D64" s="21" t="s">
        <v>16</v>
      </c>
      <c r="E64" s="21" t="s">
        <v>16</v>
      </c>
      <c r="F64" s="9">
        <v>0.38541666666666669</v>
      </c>
      <c r="G64" s="9">
        <v>0.79166666666666663</v>
      </c>
      <c r="H64" s="9">
        <v>0.38541666666666669</v>
      </c>
      <c r="I64" s="9">
        <v>0.79166666666666663</v>
      </c>
      <c r="J64" s="9">
        <v>0.38541666666666669</v>
      </c>
      <c r="K64" s="9">
        <v>0.79166666666666663</v>
      </c>
      <c r="L64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B774D-00B7-4AAB-9C67-0E8DA260B035}">
  <dimension ref="A1:AE124"/>
  <sheetViews>
    <sheetView workbookViewId="0">
      <selection activeCell="A2" sqref="A2"/>
    </sheetView>
  </sheetViews>
  <sheetFormatPr defaultRowHeight="15" x14ac:dyDescent="0.25"/>
  <cols>
    <col min="2" max="2" width="16.140625" bestFit="1" customWidth="1"/>
  </cols>
  <sheetData>
    <row r="1" spans="1:24" ht="15.75" thickBot="1" x14ac:dyDescent="0.3">
      <c r="A1" s="33"/>
      <c r="B1" s="105"/>
      <c r="C1" s="107" t="s">
        <v>32</v>
      </c>
      <c r="D1" s="108"/>
      <c r="E1" s="108"/>
      <c r="F1" s="109"/>
      <c r="G1" s="107" t="s">
        <v>33</v>
      </c>
      <c r="H1" s="108"/>
      <c r="I1" s="108"/>
      <c r="J1" s="109"/>
      <c r="K1" s="107" t="s">
        <v>34</v>
      </c>
      <c r="L1" s="108"/>
      <c r="M1" s="108"/>
      <c r="N1" s="109"/>
      <c r="O1" s="107" t="s">
        <v>35</v>
      </c>
      <c r="P1" s="108"/>
      <c r="Q1" s="108"/>
      <c r="R1" s="109"/>
      <c r="S1" s="107" t="s">
        <v>36</v>
      </c>
      <c r="T1" s="108"/>
      <c r="U1" s="108"/>
      <c r="V1" s="109"/>
      <c r="W1" s="118" t="s">
        <v>37</v>
      </c>
      <c r="X1" s="34"/>
    </row>
    <row r="2" spans="1:24" ht="15.75" thickBot="1" x14ac:dyDescent="0.3">
      <c r="A2" s="33"/>
      <c r="B2" s="106"/>
      <c r="C2" s="100">
        <v>45861</v>
      </c>
      <c r="D2" s="101"/>
      <c r="E2" s="101"/>
      <c r="F2" s="102"/>
      <c r="G2" s="100">
        <v>45862</v>
      </c>
      <c r="H2" s="101"/>
      <c r="I2" s="101"/>
      <c r="J2" s="102"/>
      <c r="K2" s="100">
        <v>45863</v>
      </c>
      <c r="L2" s="101"/>
      <c r="M2" s="101"/>
      <c r="N2" s="102"/>
      <c r="O2" s="100">
        <v>45864</v>
      </c>
      <c r="P2" s="101"/>
      <c r="Q2" s="101"/>
      <c r="R2" s="102"/>
      <c r="S2" s="100">
        <v>45865</v>
      </c>
      <c r="T2" s="101"/>
      <c r="U2" s="101"/>
      <c r="V2" s="102"/>
      <c r="W2" s="119"/>
      <c r="X2" s="34"/>
    </row>
    <row r="3" spans="1:24" ht="15.75" thickBot="1" x14ac:dyDescent="0.3">
      <c r="A3" s="33"/>
      <c r="B3" s="106"/>
      <c r="C3" s="103" t="s">
        <v>38</v>
      </c>
      <c r="D3" s="96"/>
      <c r="E3" s="97" t="s">
        <v>39</v>
      </c>
      <c r="F3" s="104"/>
      <c r="G3" s="97" t="s">
        <v>38</v>
      </c>
      <c r="H3" s="96"/>
      <c r="I3" s="97" t="s">
        <v>39</v>
      </c>
      <c r="J3" s="96"/>
      <c r="K3" s="95" t="s">
        <v>38</v>
      </c>
      <c r="L3" s="96"/>
      <c r="M3" s="97" t="s">
        <v>39</v>
      </c>
      <c r="N3" s="96"/>
      <c r="O3" s="95" t="s">
        <v>38</v>
      </c>
      <c r="P3" s="96"/>
      <c r="Q3" s="97" t="s">
        <v>39</v>
      </c>
      <c r="R3" s="96"/>
      <c r="S3" s="95" t="s">
        <v>38</v>
      </c>
      <c r="T3" s="96"/>
      <c r="U3" s="97" t="s">
        <v>39</v>
      </c>
      <c r="V3" s="96"/>
      <c r="W3" s="120"/>
      <c r="X3" s="34"/>
    </row>
    <row r="4" spans="1:24" ht="15.75" thickBot="1" x14ac:dyDescent="0.3">
      <c r="A4" s="98" t="s">
        <v>40</v>
      </c>
      <c r="B4" s="35" t="s">
        <v>41</v>
      </c>
      <c r="C4" s="81">
        <v>0.375</v>
      </c>
      <c r="D4" s="87"/>
      <c r="E4" s="87"/>
      <c r="F4" s="88"/>
      <c r="G4" s="81">
        <v>0.375</v>
      </c>
      <c r="H4" s="87"/>
      <c r="I4" s="87"/>
      <c r="J4" s="88"/>
      <c r="K4" s="89"/>
      <c r="L4" s="90"/>
      <c r="M4" s="90"/>
      <c r="N4" s="91"/>
      <c r="O4" s="81">
        <v>0.28125</v>
      </c>
      <c r="P4" s="87"/>
      <c r="Q4" s="87"/>
      <c r="R4" s="88"/>
      <c r="S4" s="81">
        <v>0.23958333333333334</v>
      </c>
      <c r="T4" s="87"/>
      <c r="U4" s="87"/>
      <c r="V4" s="88"/>
      <c r="W4" s="36">
        <v>1.2708333333333333</v>
      </c>
      <c r="X4" s="34"/>
    </row>
    <row r="5" spans="1:24" ht="15.75" thickBot="1" x14ac:dyDescent="0.3">
      <c r="A5" s="99"/>
      <c r="B5" s="37" t="s">
        <v>42</v>
      </c>
      <c r="C5" s="77">
        <v>0.38541666666666669</v>
      </c>
      <c r="D5" s="78"/>
      <c r="E5" s="79">
        <v>0.8125</v>
      </c>
      <c r="F5" s="80"/>
      <c r="G5" s="77">
        <v>0.38541666666666669</v>
      </c>
      <c r="H5" s="78"/>
      <c r="I5" s="79">
        <v>0.8125</v>
      </c>
      <c r="J5" s="80"/>
      <c r="K5" s="84" t="s">
        <v>16</v>
      </c>
      <c r="L5" s="85"/>
      <c r="M5" s="85"/>
      <c r="N5" s="86"/>
      <c r="O5" s="77">
        <v>0.38541666666666669</v>
      </c>
      <c r="P5" s="78"/>
      <c r="Q5" s="79">
        <v>0.69791666666666663</v>
      </c>
      <c r="R5" s="80"/>
      <c r="S5" s="77">
        <v>0.38541666666666669</v>
      </c>
      <c r="T5" s="78"/>
      <c r="U5" s="79">
        <v>0.64583333333333337</v>
      </c>
      <c r="V5" s="80"/>
      <c r="W5" s="41">
        <v>0</v>
      </c>
      <c r="X5" s="34"/>
    </row>
    <row r="6" spans="1:24" ht="15.75" thickBot="1" x14ac:dyDescent="0.3">
      <c r="A6" s="99"/>
      <c r="B6" s="42" t="s">
        <v>43</v>
      </c>
      <c r="C6" s="43"/>
      <c r="D6" s="44"/>
      <c r="E6" s="43"/>
      <c r="F6" s="45"/>
      <c r="G6" s="43"/>
      <c r="H6" s="44"/>
      <c r="I6" s="43"/>
      <c r="J6" s="45"/>
      <c r="K6" s="46"/>
      <c r="L6" s="47"/>
      <c r="M6" s="48"/>
      <c r="N6" s="49"/>
      <c r="O6" s="43"/>
      <c r="P6" s="44"/>
      <c r="Q6" s="43"/>
      <c r="R6" s="45"/>
      <c r="S6" s="50"/>
      <c r="T6" s="51"/>
      <c r="U6" s="52"/>
      <c r="V6" s="53"/>
      <c r="W6" s="54"/>
      <c r="X6" s="34"/>
    </row>
    <row r="7" spans="1:24" ht="15.75" thickBot="1" x14ac:dyDescent="0.3">
      <c r="A7" s="99"/>
      <c r="B7" s="55" t="s">
        <v>44</v>
      </c>
      <c r="C7" s="89"/>
      <c r="D7" s="90"/>
      <c r="E7" s="90"/>
      <c r="F7" s="91"/>
      <c r="G7" s="81">
        <v>0.35416666666666669</v>
      </c>
      <c r="H7" s="87"/>
      <c r="I7" s="87"/>
      <c r="J7" s="88"/>
      <c r="K7" s="81">
        <v>0.375</v>
      </c>
      <c r="L7" s="87"/>
      <c r="M7" s="87"/>
      <c r="N7" s="88"/>
      <c r="O7" s="81">
        <v>0.375</v>
      </c>
      <c r="P7" s="87"/>
      <c r="Q7" s="87"/>
      <c r="R7" s="88"/>
      <c r="S7" s="89"/>
      <c r="T7" s="90"/>
      <c r="U7" s="90"/>
      <c r="V7" s="91"/>
      <c r="W7" s="36">
        <v>1.1041666666666667</v>
      </c>
      <c r="X7" s="34"/>
    </row>
    <row r="8" spans="1:24" ht="15.75" thickBot="1" x14ac:dyDescent="0.3">
      <c r="A8" s="99"/>
      <c r="B8" s="55" t="s">
        <v>45</v>
      </c>
      <c r="C8" s="84" t="s">
        <v>16</v>
      </c>
      <c r="D8" s="85"/>
      <c r="E8" s="85"/>
      <c r="F8" s="86"/>
      <c r="G8" s="77">
        <v>0.38541666666666669</v>
      </c>
      <c r="H8" s="78"/>
      <c r="I8" s="79">
        <v>0.79166666666666663</v>
      </c>
      <c r="J8" s="80"/>
      <c r="K8" s="77">
        <v>0.38541666666666669</v>
      </c>
      <c r="L8" s="78"/>
      <c r="M8" s="79">
        <v>0.8125</v>
      </c>
      <c r="N8" s="80"/>
      <c r="O8" s="77">
        <v>0.38541666666666669</v>
      </c>
      <c r="P8" s="78"/>
      <c r="Q8" s="79">
        <v>0.8125</v>
      </c>
      <c r="R8" s="80"/>
      <c r="S8" s="84" t="s">
        <v>16</v>
      </c>
      <c r="T8" s="85"/>
      <c r="U8" s="85"/>
      <c r="V8" s="86"/>
      <c r="W8" s="41">
        <v>0</v>
      </c>
      <c r="X8" s="34"/>
    </row>
    <row r="9" spans="1:24" ht="15.75" thickBot="1" x14ac:dyDescent="0.3">
      <c r="A9" s="99"/>
      <c r="B9" s="56" t="s">
        <v>43</v>
      </c>
      <c r="C9" s="46"/>
      <c r="D9" s="47"/>
      <c r="E9" s="48"/>
      <c r="F9" s="49"/>
      <c r="G9" s="43"/>
      <c r="H9" s="44"/>
      <c r="I9" s="43"/>
      <c r="J9" s="45"/>
      <c r="K9" s="43"/>
      <c r="L9" s="44"/>
      <c r="M9" s="43"/>
      <c r="N9" s="45"/>
      <c r="O9" s="43"/>
      <c r="P9" s="44"/>
      <c r="Q9" s="43"/>
      <c r="R9" s="45"/>
      <c r="S9" s="46"/>
      <c r="T9" s="47"/>
      <c r="U9" s="48"/>
      <c r="V9" s="49"/>
      <c r="W9" s="33"/>
      <c r="X9" s="34"/>
    </row>
    <row r="10" spans="1:24" ht="15.75" thickBot="1" x14ac:dyDescent="0.3">
      <c r="A10" s="99"/>
      <c r="B10" s="57" t="s">
        <v>46</v>
      </c>
      <c r="C10" s="89"/>
      <c r="D10" s="90"/>
      <c r="E10" s="90"/>
      <c r="F10" s="91"/>
      <c r="G10" s="81">
        <v>0.35416666666666669</v>
      </c>
      <c r="H10" s="87"/>
      <c r="I10" s="87"/>
      <c r="J10" s="88"/>
      <c r="K10" s="81">
        <v>0.35416666666666669</v>
      </c>
      <c r="L10" s="87"/>
      <c r="M10" s="87"/>
      <c r="N10" s="88"/>
      <c r="O10" s="81">
        <v>0.35416666666666669</v>
      </c>
      <c r="P10" s="87"/>
      <c r="Q10" s="87"/>
      <c r="R10" s="88"/>
      <c r="S10" s="89"/>
      <c r="T10" s="90"/>
      <c r="U10" s="90"/>
      <c r="V10" s="91"/>
      <c r="W10" s="36">
        <v>1.0625</v>
      </c>
      <c r="X10" s="34"/>
    </row>
    <row r="11" spans="1:24" ht="15.75" thickBot="1" x14ac:dyDescent="0.3">
      <c r="A11" s="99"/>
      <c r="B11" s="58" t="s">
        <v>47</v>
      </c>
      <c r="C11" s="84" t="s">
        <v>16</v>
      </c>
      <c r="D11" s="85"/>
      <c r="E11" s="85"/>
      <c r="F11" s="86"/>
      <c r="G11" s="77">
        <v>0.38541666666666669</v>
      </c>
      <c r="H11" s="78"/>
      <c r="I11" s="79">
        <v>0.79166666666666663</v>
      </c>
      <c r="J11" s="80"/>
      <c r="K11" s="77">
        <v>0.38541666666666669</v>
      </c>
      <c r="L11" s="78"/>
      <c r="M11" s="79">
        <v>0.79166666666666663</v>
      </c>
      <c r="N11" s="80"/>
      <c r="O11" s="77">
        <v>0.38541666666666669</v>
      </c>
      <c r="P11" s="78"/>
      <c r="Q11" s="79">
        <v>0.79166666666666663</v>
      </c>
      <c r="R11" s="80"/>
      <c r="S11" s="84" t="s">
        <v>16</v>
      </c>
      <c r="T11" s="85"/>
      <c r="U11" s="85"/>
      <c r="V11" s="86"/>
      <c r="W11" s="41">
        <v>0</v>
      </c>
      <c r="X11" s="34"/>
    </row>
    <row r="12" spans="1:24" ht="15.75" thickBot="1" x14ac:dyDescent="0.3">
      <c r="A12" s="99"/>
      <c r="B12" s="59" t="s">
        <v>43</v>
      </c>
      <c r="C12" s="46"/>
      <c r="D12" s="47"/>
      <c r="E12" s="48"/>
      <c r="F12" s="49"/>
      <c r="G12" s="43"/>
      <c r="H12" s="44"/>
      <c r="I12" s="43"/>
      <c r="J12" s="45"/>
      <c r="K12" s="43"/>
      <c r="L12" s="44"/>
      <c r="M12" s="43"/>
      <c r="N12" s="45"/>
      <c r="O12" s="43"/>
      <c r="P12" s="44"/>
      <c r="Q12" s="43"/>
      <c r="R12" s="45"/>
      <c r="S12" s="38"/>
      <c r="T12" s="60"/>
      <c r="U12" s="39"/>
      <c r="V12" s="40"/>
      <c r="W12" s="61"/>
      <c r="X12" s="34"/>
    </row>
    <row r="13" spans="1:24" ht="15.75" thickBot="1" x14ac:dyDescent="0.3">
      <c r="A13" s="99"/>
      <c r="B13" s="62" t="s">
        <v>48</v>
      </c>
      <c r="C13" s="81">
        <v>0.29166666666666669</v>
      </c>
      <c r="D13" s="87"/>
      <c r="E13" s="87"/>
      <c r="F13" s="88"/>
      <c r="G13" s="89"/>
      <c r="H13" s="90"/>
      <c r="I13" s="90"/>
      <c r="J13" s="91"/>
      <c r="K13" s="81">
        <v>0.35416666666666669</v>
      </c>
      <c r="L13" s="87"/>
      <c r="M13" s="87"/>
      <c r="N13" s="88"/>
      <c r="O13" s="81">
        <v>0.35416666666666669</v>
      </c>
      <c r="P13" s="87"/>
      <c r="Q13" s="87"/>
      <c r="R13" s="88"/>
      <c r="S13" s="81">
        <v>0.21875</v>
      </c>
      <c r="T13" s="87"/>
      <c r="U13" s="87"/>
      <c r="V13" s="88"/>
      <c r="W13" s="36">
        <v>1.21875</v>
      </c>
      <c r="X13" s="34"/>
    </row>
    <row r="14" spans="1:24" ht="15.75" thickBot="1" x14ac:dyDescent="0.3">
      <c r="A14" s="99"/>
      <c r="B14" s="62" t="s">
        <v>49</v>
      </c>
      <c r="C14" s="77">
        <v>0.38541666666666669</v>
      </c>
      <c r="D14" s="78"/>
      <c r="E14" s="79">
        <v>0.70833333333333337</v>
      </c>
      <c r="F14" s="80"/>
      <c r="G14" s="84" t="s">
        <v>16</v>
      </c>
      <c r="H14" s="85"/>
      <c r="I14" s="85"/>
      <c r="J14" s="86"/>
      <c r="K14" s="77">
        <v>0.38541666666666669</v>
      </c>
      <c r="L14" s="78"/>
      <c r="M14" s="79">
        <v>0.79166666666666663</v>
      </c>
      <c r="N14" s="80"/>
      <c r="O14" s="77">
        <v>0.38541666666666669</v>
      </c>
      <c r="P14" s="78"/>
      <c r="Q14" s="79">
        <v>0.79166666666666663</v>
      </c>
      <c r="R14" s="80"/>
      <c r="S14" s="77">
        <v>0.38541666666666669</v>
      </c>
      <c r="T14" s="78"/>
      <c r="U14" s="79">
        <v>0.625</v>
      </c>
      <c r="V14" s="80"/>
      <c r="W14" s="41">
        <v>0</v>
      </c>
      <c r="X14" s="34"/>
    </row>
    <row r="15" spans="1:24" ht="15.75" thickBot="1" x14ac:dyDescent="0.3">
      <c r="A15" s="99"/>
      <c r="B15" s="63" t="s">
        <v>43</v>
      </c>
      <c r="C15" s="43"/>
      <c r="D15" s="44"/>
      <c r="E15" s="43"/>
      <c r="F15" s="45"/>
      <c r="G15" s="46"/>
      <c r="H15" s="47"/>
      <c r="I15" s="48"/>
      <c r="J15" s="49"/>
      <c r="K15" s="43"/>
      <c r="L15" s="44"/>
      <c r="M15" s="43"/>
      <c r="N15" s="45"/>
      <c r="O15" s="43"/>
      <c r="P15" s="44"/>
      <c r="Q15" s="43"/>
      <c r="R15" s="45"/>
      <c r="S15" s="50"/>
      <c r="T15" s="51"/>
      <c r="U15" s="52"/>
      <c r="V15" s="53"/>
      <c r="W15" s="64"/>
      <c r="X15" s="34"/>
    </row>
    <row r="16" spans="1:24" ht="15.75" thickBot="1" x14ac:dyDescent="0.3">
      <c r="A16" s="99"/>
      <c r="B16" s="65" t="s">
        <v>50</v>
      </c>
      <c r="C16" s="81">
        <v>0.35416666666666669</v>
      </c>
      <c r="D16" s="87"/>
      <c r="E16" s="87"/>
      <c r="F16" s="88"/>
      <c r="G16" s="81">
        <v>0.35416666666666669</v>
      </c>
      <c r="H16" s="87"/>
      <c r="I16" s="87"/>
      <c r="J16" s="88"/>
      <c r="K16" s="89"/>
      <c r="L16" s="90"/>
      <c r="M16" s="90"/>
      <c r="N16" s="91"/>
      <c r="O16" s="81">
        <v>0.29166666666666669</v>
      </c>
      <c r="P16" s="87"/>
      <c r="Q16" s="87"/>
      <c r="R16" s="88"/>
      <c r="S16" s="81">
        <v>0.21875</v>
      </c>
      <c r="T16" s="87"/>
      <c r="U16" s="87"/>
      <c r="V16" s="88"/>
      <c r="W16" s="36">
        <v>1.21875</v>
      </c>
      <c r="X16" s="34"/>
    </row>
    <row r="17" spans="1:31" ht="15.75" thickBot="1" x14ac:dyDescent="0.3">
      <c r="A17" s="99"/>
      <c r="B17" s="65" t="s">
        <v>51</v>
      </c>
      <c r="C17" s="77">
        <v>0.38541666666666669</v>
      </c>
      <c r="D17" s="78"/>
      <c r="E17" s="79">
        <v>0.79166666666666663</v>
      </c>
      <c r="F17" s="80"/>
      <c r="G17" s="77">
        <v>0.38541666666666669</v>
      </c>
      <c r="H17" s="78"/>
      <c r="I17" s="79">
        <v>0.79166666666666663</v>
      </c>
      <c r="J17" s="80"/>
      <c r="K17" s="84" t="s">
        <v>16</v>
      </c>
      <c r="L17" s="85"/>
      <c r="M17" s="85"/>
      <c r="N17" s="86"/>
      <c r="O17" s="77">
        <v>0.38541666666666669</v>
      </c>
      <c r="P17" s="78"/>
      <c r="Q17" s="79">
        <v>0.70833333333333337</v>
      </c>
      <c r="R17" s="80"/>
      <c r="S17" s="77">
        <v>0.38541666666666669</v>
      </c>
      <c r="T17" s="78"/>
      <c r="U17" s="79">
        <v>0.625</v>
      </c>
      <c r="V17" s="80"/>
      <c r="W17" s="41">
        <v>0</v>
      </c>
      <c r="X17" s="34"/>
    </row>
    <row r="18" spans="1:31" ht="15.75" thickBot="1" x14ac:dyDescent="0.3">
      <c r="A18" s="99"/>
      <c r="B18" s="66" t="s">
        <v>43</v>
      </c>
      <c r="C18" s="43"/>
      <c r="D18" s="44"/>
      <c r="E18" s="43"/>
      <c r="F18" s="45"/>
      <c r="G18" s="43"/>
      <c r="H18" s="44"/>
      <c r="I18" s="43"/>
      <c r="J18" s="45"/>
      <c r="K18" s="84" t="s">
        <v>52</v>
      </c>
      <c r="L18" s="85"/>
      <c r="M18" s="85"/>
      <c r="N18" s="49"/>
      <c r="O18" s="43"/>
      <c r="P18" s="44"/>
      <c r="Q18" s="43"/>
      <c r="R18" s="45"/>
      <c r="S18" s="50"/>
      <c r="T18" s="51"/>
      <c r="U18" s="52"/>
      <c r="V18" s="53"/>
      <c r="W18" s="67"/>
      <c r="X18" s="34"/>
    </row>
    <row r="19" spans="1:31" ht="15.75" thickBot="1" x14ac:dyDescent="0.3">
      <c r="A19" s="99"/>
      <c r="B19" s="68"/>
      <c r="C19" s="81"/>
      <c r="D19" s="82"/>
      <c r="E19" s="82"/>
      <c r="F19" s="83"/>
      <c r="G19" s="81"/>
      <c r="H19" s="82"/>
      <c r="I19" s="82"/>
      <c r="J19" s="83"/>
      <c r="K19" s="43"/>
      <c r="L19" s="44"/>
      <c r="M19" s="43"/>
      <c r="N19" s="45"/>
      <c r="O19" s="81"/>
      <c r="P19" s="82"/>
      <c r="Q19" s="82"/>
      <c r="R19" s="83"/>
      <c r="S19" s="81"/>
      <c r="T19" s="82"/>
      <c r="U19" s="82"/>
      <c r="V19" s="83"/>
      <c r="W19" s="36"/>
      <c r="X19" s="34"/>
    </row>
    <row r="20" spans="1:31" ht="15.75" thickBot="1" x14ac:dyDescent="0.3">
      <c r="A20" s="99"/>
      <c r="B20" s="69"/>
      <c r="C20" s="77"/>
      <c r="D20" s="78"/>
      <c r="E20" s="79"/>
      <c r="F20" s="80"/>
      <c r="G20" s="77"/>
      <c r="H20" s="78"/>
      <c r="I20" s="79"/>
      <c r="J20" s="80"/>
      <c r="K20" s="77"/>
      <c r="L20" s="78"/>
      <c r="M20" s="79"/>
      <c r="N20" s="80"/>
      <c r="O20" s="77"/>
      <c r="P20" s="78"/>
      <c r="Q20" s="79"/>
      <c r="R20" s="80"/>
      <c r="S20" s="77"/>
      <c r="T20" s="78"/>
      <c r="U20" s="79"/>
      <c r="V20" s="80"/>
      <c r="W20" s="41"/>
      <c r="X20" s="34"/>
    </row>
    <row r="21" spans="1:31" ht="15.75" thickBot="1" x14ac:dyDescent="0.3">
      <c r="A21" s="99"/>
      <c r="B21" s="70" t="s">
        <v>43</v>
      </c>
      <c r="C21" s="43"/>
      <c r="D21" s="44"/>
      <c r="E21" s="43"/>
      <c r="F21" s="45"/>
      <c r="G21" s="43"/>
      <c r="H21" s="44"/>
      <c r="I21" s="43"/>
      <c r="J21" s="45"/>
      <c r="K21" s="43"/>
      <c r="L21" s="44"/>
      <c r="M21" s="43"/>
      <c r="N21" s="45"/>
      <c r="O21" s="43"/>
      <c r="P21" s="44"/>
      <c r="Q21" s="43"/>
      <c r="R21" s="45"/>
      <c r="S21" s="43"/>
      <c r="T21" s="44"/>
      <c r="U21" s="43"/>
      <c r="V21" s="45"/>
      <c r="W21" s="43"/>
      <c r="X21" s="34"/>
    </row>
    <row r="22" spans="1:31" x14ac:dyDescent="0.25">
      <c r="A22" s="99"/>
      <c r="B22" s="71"/>
      <c r="C22" s="71"/>
      <c r="D22" s="71"/>
      <c r="E22" s="71"/>
      <c r="F22" s="33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31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7" spans="1:31" ht="15.75" thickBot="1" x14ac:dyDescent="0.3"/>
    <row r="28" spans="1:31" s="34" customFormat="1" ht="13.5" thickBot="1" x14ac:dyDescent="0.25">
      <c r="A28" s="33"/>
      <c r="B28" s="105"/>
      <c r="C28" s="107" t="s">
        <v>23</v>
      </c>
      <c r="D28" s="108"/>
      <c r="E28" s="108"/>
      <c r="F28" s="109"/>
      <c r="G28" s="107" t="s">
        <v>53</v>
      </c>
      <c r="H28" s="108"/>
      <c r="I28" s="108"/>
      <c r="J28" s="109"/>
      <c r="K28" s="110" t="s">
        <v>54</v>
      </c>
      <c r="L28" s="111"/>
      <c r="M28" s="111"/>
      <c r="N28" s="112"/>
      <c r="O28" s="110" t="s">
        <v>55</v>
      </c>
      <c r="P28" s="111"/>
      <c r="Q28" s="111"/>
      <c r="R28" s="112"/>
      <c r="S28" s="110" t="s">
        <v>56</v>
      </c>
      <c r="T28" s="111"/>
      <c r="U28" s="111"/>
      <c r="V28" s="112"/>
      <c r="W28" s="117" t="s">
        <v>57</v>
      </c>
      <c r="X28" s="111"/>
      <c r="Y28" s="111"/>
      <c r="Z28" s="111"/>
      <c r="AA28" s="117" t="s">
        <v>29</v>
      </c>
      <c r="AB28" s="111"/>
      <c r="AC28" s="111"/>
      <c r="AD28" s="111"/>
      <c r="AE28" s="113" t="s">
        <v>37</v>
      </c>
    </row>
    <row r="29" spans="1:31" s="34" customFormat="1" ht="13.5" thickBot="1" x14ac:dyDescent="0.25">
      <c r="A29" s="33"/>
      <c r="B29" s="106"/>
      <c r="C29" s="100">
        <v>45866</v>
      </c>
      <c r="D29" s="101"/>
      <c r="E29" s="101"/>
      <c r="F29" s="102"/>
      <c r="G29" s="100">
        <v>45867</v>
      </c>
      <c r="H29" s="101"/>
      <c r="I29" s="101"/>
      <c r="J29" s="102"/>
      <c r="K29" s="100">
        <v>45868</v>
      </c>
      <c r="L29" s="101"/>
      <c r="M29" s="101"/>
      <c r="N29" s="102"/>
      <c r="O29" s="100">
        <v>45869</v>
      </c>
      <c r="P29" s="101"/>
      <c r="Q29" s="101"/>
      <c r="R29" s="102"/>
      <c r="S29" s="100">
        <v>45870</v>
      </c>
      <c r="T29" s="101"/>
      <c r="U29" s="101"/>
      <c r="V29" s="102"/>
      <c r="W29" s="100">
        <v>45871</v>
      </c>
      <c r="X29" s="101"/>
      <c r="Y29" s="101"/>
      <c r="Z29" s="102"/>
      <c r="AA29" s="100">
        <v>45872</v>
      </c>
      <c r="AB29" s="101"/>
      <c r="AC29" s="101"/>
      <c r="AD29" s="102"/>
      <c r="AE29" s="114"/>
    </row>
    <row r="30" spans="1:31" s="34" customFormat="1" ht="13.5" thickBot="1" x14ac:dyDescent="0.25">
      <c r="A30" s="33"/>
      <c r="B30" s="106"/>
      <c r="C30" s="103" t="s">
        <v>38</v>
      </c>
      <c r="D30" s="96"/>
      <c r="E30" s="97" t="s">
        <v>39</v>
      </c>
      <c r="F30" s="104"/>
      <c r="G30" s="97" t="s">
        <v>38</v>
      </c>
      <c r="H30" s="96"/>
      <c r="I30" s="97" t="s">
        <v>39</v>
      </c>
      <c r="J30" s="96"/>
      <c r="K30" s="95" t="s">
        <v>38</v>
      </c>
      <c r="L30" s="96"/>
      <c r="M30" s="97" t="s">
        <v>39</v>
      </c>
      <c r="N30" s="96"/>
      <c r="O30" s="95" t="s">
        <v>38</v>
      </c>
      <c r="P30" s="96"/>
      <c r="Q30" s="97" t="s">
        <v>39</v>
      </c>
      <c r="R30" s="96"/>
      <c r="S30" s="95" t="s">
        <v>38</v>
      </c>
      <c r="T30" s="96"/>
      <c r="U30" s="97" t="s">
        <v>39</v>
      </c>
      <c r="V30" s="96"/>
      <c r="W30" s="95" t="s">
        <v>38</v>
      </c>
      <c r="X30" s="116"/>
      <c r="Y30" s="107" t="s">
        <v>39</v>
      </c>
      <c r="Z30" s="109"/>
      <c r="AA30" s="95" t="s">
        <v>38</v>
      </c>
      <c r="AB30" s="116"/>
      <c r="AC30" s="107" t="s">
        <v>39</v>
      </c>
      <c r="AD30" s="109"/>
      <c r="AE30" s="115"/>
    </row>
    <row r="31" spans="1:31" s="34" customFormat="1" ht="13.5" thickBot="1" x14ac:dyDescent="0.25">
      <c r="A31" s="98" t="s">
        <v>40</v>
      </c>
      <c r="B31" s="35" t="s">
        <v>41</v>
      </c>
      <c r="C31" s="81">
        <v>0.35416666666666669</v>
      </c>
      <c r="D31" s="87"/>
      <c r="E31" s="87"/>
      <c r="F31" s="88"/>
      <c r="G31" s="81">
        <v>0.35416666666666669</v>
      </c>
      <c r="H31" s="87"/>
      <c r="I31" s="87"/>
      <c r="J31" s="88"/>
      <c r="K31" s="89"/>
      <c r="L31" s="90"/>
      <c r="M31" s="90"/>
      <c r="N31" s="91"/>
      <c r="O31" s="81">
        <v>0.375</v>
      </c>
      <c r="P31" s="87"/>
      <c r="Q31" s="87"/>
      <c r="R31" s="88"/>
      <c r="S31" s="81">
        <v>0.375</v>
      </c>
      <c r="T31" s="87"/>
      <c r="U31" s="87"/>
      <c r="V31" s="88"/>
      <c r="W31" s="81">
        <v>0.375</v>
      </c>
      <c r="X31" s="87"/>
      <c r="Y31" s="87"/>
      <c r="Z31" s="88"/>
      <c r="AA31" s="89"/>
      <c r="AB31" s="90"/>
      <c r="AC31" s="90"/>
      <c r="AD31" s="91"/>
      <c r="AE31" s="36">
        <f>SUM(AA31,S31,O31,K31,G31,C31,W31,AE32)</f>
        <v>1.8333333333333335</v>
      </c>
    </row>
    <row r="32" spans="1:31" s="34" customFormat="1" ht="13.5" thickBot="1" x14ac:dyDescent="0.25">
      <c r="A32" s="99"/>
      <c r="B32" s="37" t="s">
        <v>42</v>
      </c>
      <c r="C32" s="77">
        <v>0.38541666666666669</v>
      </c>
      <c r="D32" s="78"/>
      <c r="E32" s="79">
        <v>0.79166666666666663</v>
      </c>
      <c r="F32" s="80"/>
      <c r="G32" s="77">
        <v>0.38541666666666669</v>
      </c>
      <c r="H32" s="78"/>
      <c r="I32" s="79">
        <v>0.79166666666666663</v>
      </c>
      <c r="J32" s="80"/>
      <c r="K32" s="84" t="s">
        <v>16</v>
      </c>
      <c r="L32" s="85"/>
      <c r="M32" s="85"/>
      <c r="N32" s="86"/>
      <c r="O32" s="77">
        <v>0.38541666666666669</v>
      </c>
      <c r="P32" s="78"/>
      <c r="Q32" s="79">
        <v>0.8125</v>
      </c>
      <c r="R32" s="80"/>
      <c r="S32" s="77">
        <v>0.38541666666666669</v>
      </c>
      <c r="T32" s="78"/>
      <c r="U32" s="79">
        <v>0.8125</v>
      </c>
      <c r="V32" s="80"/>
      <c r="W32" s="77">
        <v>0.38541666666666669</v>
      </c>
      <c r="X32" s="78"/>
      <c r="Y32" s="79">
        <v>0.8125</v>
      </c>
      <c r="Z32" s="80"/>
      <c r="AA32" s="84" t="s">
        <v>16</v>
      </c>
      <c r="AB32" s="85"/>
      <c r="AC32" s="85"/>
      <c r="AD32" s="86"/>
      <c r="AE32" s="41">
        <v>0</v>
      </c>
    </row>
    <row r="33" spans="1:31" s="34" customFormat="1" ht="13.5" thickBot="1" x14ac:dyDescent="0.25">
      <c r="A33" s="99"/>
      <c r="B33" s="42" t="s">
        <v>43</v>
      </c>
      <c r="C33" s="43"/>
      <c r="D33" s="44"/>
      <c r="E33" s="43"/>
      <c r="F33" s="45"/>
      <c r="G33" s="73"/>
      <c r="H33" s="74" t="s">
        <v>58</v>
      </c>
      <c r="I33" s="73"/>
      <c r="J33" s="75"/>
      <c r="K33" s="46"/>
      <c r="L33" s="47"/>
      <c r="M33" s="48"/>
      <c r="N33" s="49"/>
      <c r="O33" s="43"/>
      <c r="P33" s="44"/>
      <c r="Q33" s="43"/>
      <c r="R33" s="45"/>
      <c r="S33" s="43"/>
      <c r="T33" s="44"/>
      <c r="U33" s="43"/>
      <c r="V33" s="45"/>
      <c r="W33" s="43"/>
      <c r="X33" s="44"/>
      <c r="Y33" s="43"/>
      <c r="Z33" s="45"/>
      <c r="AA33" s="46"/>
      <c r="AB33" s="47"/>
      <c r="AC33" s="48"/>
      <c r="AD33" s="49"/>
      <c r="AE33" s="54"/>
    </row>
    <row r="34" spans="1:31" s="34" customFormat="1" ht="13.5" thickBot="1" x14ac:dyDescent="0.25">
      <c r="A34" s="99"/>
      <c r="B34" s="55" t="s">
        <v>44</v>
      </c>
      <c r="C34" s="81">
        <v>0.375</v>
      </c>
      <c r="D34" s="87"/>
      <c r="E34" s="87"/>
      <c r="F34" s="88"/>
      <c r="G34" s="81">
        <v>0.375</v>
      </c>
      <c r="H34" s="87"/>
      <c r="I34" s="87"/>
      <c r="J34" s="88"/>
      <c r="K34" s="81">
        <v>0.375</v>
      </c>
      <c r="L34" s="87"/>
      <c r="M34" s="87"/>
      <c r="N34" s="88"/>
      <c r="O34" s="89"/>
      <c r="P34" s="90"/>
      <c r="Q34" s="90"/>
      <c r="R34" s="91"/>
      <c r="S34" s="81">
        <v>0.28125</v>
      </c>
      <c r="T34" s="87"/>
      <c r="U34" s="87"/>
      <c r="V34" s="88"/>
      <c r="W34" s="81">
        <v>0.28125</v>
      </c>
      <c r="X34" s="87"/>
      <c r="Y34" s="87"/>
      <c r="Z34" s="88"/>
      <c r="AA34" s="81">
        <v>0.23958333333333334</v>
      </c>
      <c r="AB34" s="87"/>
      <c r="AC34" s="87"/>
      <c r="AD34" s="88"/>
      <c r="AE34" s="36">
        <f>SUM(AA34,S34,O34,K34,G34,C34,W34,AE35)</f>
        <v>1.9270833333333335</v>
      </c>
    </row>
    <row r="35" spans="1:31" s="34" customFormat="1" ht="13.5" thickBot="1" x14ac:dyDescent="0.25">
      <c r="A35" s="99"/>
      <c r="B35" s="55" t="s">
        <v>45</v>
      </c>
      <c r="C35" s="77">
        <v>0.38541666666666669</v>
      </c>
      <c r="D35" s="78"/>
      <c r="E35" s="79">
        <v>0.8125</v>
      </c>
      <c r="F35" s="80"/>
      <c r="G35" s="77">
        <v>0.38541666666666669</v>
      </c>
      <c r="H35" s="78"/>
      <c r="I35" s="79">
        <v>0.8125</v>
      </c>
      <c r="J35" s="80"/>
      <c r="K35" s="77">
        <v>0.38541666666666669</v>
      </c>
      <c r="L35" s="78"/>
      <c r="M35" s="79">
        <v>0.8125</v>
      </c>
      <c r="N35" s="80"/>
      <c r="O35" s="84" t="s">
        <v>16</v>
      </c>
      <c r="P35" s="85"/>
      <c r="Q35" s="85"/>
      <c r="R35" s="86"/>
      <c r="S35" s="77">
        <v>0.38541666666666669</v>
      </c>
      <c r="T35" s="78"/>
      <c r="U35" s="79">
        <v>0.69791666666666663</v>
      </c>
      <c r="V35" s="80"/>
      <c r="W35" s="77">
        <v>0.38541666666666669</v>
      </c>
      <c r="X35" s="78"/>
      <c r="Y35" s="79">
        <v>0.69791666666666663</v>
      </c>
      <c r="Z35" s="80"/>
      <c r="AA35" s="77">
        <v>0.38541666666666669</v>
      </c>
      <c r="AB35" s="78"/>
      <c r="AC35" s="79">
        <v>0.64583333333333337</v>
      </c>
      <c r="AD35" s="80"/>
      <c r="AE35" s="41">
        <v>0</v>
      </c>
    </row>
    <row r="36" spans="1:31" s="34" customFormat="1" ht="13.5" thickBot="1" x14ac:dyDescent="0.25">
      <c r="A36" s="99"/>
      <c r="B36" s="56" t="s">
        <v>43</v>
      </c>
      <c r="C36" s="43"/>
      <c r="D36" s="44"/>
      <c r="E36" s="43"/>
      <c r="F36" s="45"/>
      <c r="G36" s="43"/>
      <c r="H36" s="44"/>
      <c r="I36" s="43"/>
      <c r="J36" s="45"/>
      <c r="K36" s="43"/>
      <c r="L36" s="44"/>
      <c r="M36" s="43"/>
      <c r="N36" s="45"/>
      <c r="O36" s="46"/>
      <c r="P36" s="47"/>
      <c r="Q36" s="48"/>
      <c r="R36" s="49"/>
      <c r="S36" s="43"/>
      <c r="T36" s="44"/>
      <c r="U36" s="43"/>
      <c r="V36" s="45"/>
      <c r="W36" s="43"/>
      <c r="X36" s="44"/>
      <c r="Y36" s="43"/>
      <c r="Z36" s="45"/>
      <c r="AA36" s="50"/>
      <c r="AB36" s="51"/>
      <c r="AC36" s="52"/>
      <c r="AD36" s="53"/>
      <c r="AE36" s="33"/>
    </row>
    <row r="37" spans="1:31" s="34" customFormat="1" ht="13.5" thickBot="1" x14ac:dyDescent="0.25">
      <c r="A37" s="99"/>
      <c r="B37" s="57" t="s">
        <v>46</v>
      </c>
      <c r="C37" s="81">
        <v>0.35416666666666669</v>
      </c>
      <c r="D37" s="87"/>
      <c r="E37" s="87"/>
      <c r="F37" s="88"/>
      <c r="G37" s="81">
        <v>0.35416666666666669</v>
      </c>
      <c r="H37" s="87"/>
      <c r="I37" s="87"/>
      <c r="J37" s="88"/>
      <c r="K37" s="89"/>
      <c r="L37" s="90"/>
      <c r="M37" s="90"/>
      <c r="N37" s="91"/>
      <c r="O37" s="81">
        <v>0.29166666666666669</v>
      </c>
      <c r="P37" s="87"/>
      <c r="Q37" s="87"/>
      <c r="R37" s="88"/>
      <c r="S37" s="81">
        <v>0.35416666666666669</v>
      </c>
      <c r="T37" s="87"/>
      <c r="U37" s="87"/>
      <c r="V37" s="88"/>
      <c r="W37" s="81">
        <v>0.35416666666666669</v>
      </c>
      <c r="X37" s="87"/>
      <c r="Y37" s="87"/>
      <c r="Z37" s="88"/>
      <c r="AA37" s="81">
        <v>0.21875</v>
      </c>
      <c r="AB37" s="87"/>
      <c r="AC37" s="87"/>
      <c r="AD37" s="88"/>
      <c r="AE37" s="36">
        <f>SUM(AA37,S37,O37,K37,G37,C37,W37,AE38)</f>
        <v>1.9270833333333337</v>
      </c>
    </row>
    <row r="38" spans="1:31" s="34" customFormat="1" ht="13.5" thickBot="1" x14ac:dyDescent="0.25">
      <c r="A38" s="99"/>
      <c r="B38" s="58" t="s">
        <v>47</v>
      </c>
      <c r="C38" s="77">
        <v>0.38541666666666669</v>
      </c>
      <c r="D38" s="78"/>
      <c r="E38" s="79">
        <v>0.79166666666666663</v>
      </c>
      <c r="F38" s="80"/>
      <c r="G38" s="77">
        <v>0.38541666666666669</v>
      </c>
      <c r="H38" s="78"/>
      <c r="I38" s="79">
        <v>0.79166666666666663</v>
      </c>
      <c r="J38" s="80"/>
      <c r="K38" s="84" t="s">
        <v>16</v>
      </c>
      <c r="L38" s="85"/>
      <c r="M38" s="85"/>
      <c r="N38" s="86"/>
      <c r="O38" s="77">
        <v>0.38541666666666669</v>
      </c>
      <c r="P38" s="78"/>
      <c r="Q38" s="79">
        <v>0.70833333333333337</v>
      </c>
      <c r="R38" s="80"/>
      <c r="S38" s="77">
        <v>0.38541666666666669</v>
      </c>
      <c r="T38" s="78"/>
      <c r="U38" s="79">
        <v>0.79166666666666663</v>
      </c>
      <c r="V38" s="80"/>
      <c r="W38" s="77">
        <v>0.38541666666666669</v>
      </c>
      <c r="X38" s="78"/>
      <c r="Y38" s="79">
        <v>0.79166666666666663</v>
      </c>
      <c r="Z38" s="80"/>
      <c r="AA38" s="77">
        <v>0.38541666666666669</v>
      </c>
      <c r="AB38" s="78"/>
      <c r="AC38" s="79">
        <v>0.625</v>
      </c>
      <c r="AD38" s="80"/>
      <c r="AE38" s="41">
        <v>0</v>
      </c>
    </row>
    <row r="39" spans="1:31" s="34" customFormat="1" ht="13.5" thickBot="1" x14ac:dyDescent="0.25">
      <c r="A39" s="99"/>
      <c r="B39" s="59" t="s">
        <v>43</v>
      </c>
      <c r="C39" s="43"/>
      <c r="D39" s="44"/>
      <c r="E39" s="43"/>
      <c r="F39" s="45"/>
      <c r="G39" s="43"/>
      <c r="H39" s="44"/>
      <c r="I39" s="43"/>
      <c r="J39" s="45"/>
      <c r="K39" s="46"/>
      <c r="L39" s="47"/>
      <c r="M39" s="48"/>
      <c r="N39" s="49"/>
      <c r="O39" s="43"/>
      <c r="P39" s="44"/>
      <c r="Q39" s="43"/>
      <c r="R39" s="45"/>
      <c r="S39" s="43"/>
      <c r="T39" s="44"/>
      <c r="U39" s="43"/>
      <c r="V39" s="45"/>
      <c r="W39" s="43"/>
      <c r="X39" s="44"/>
      <c r="Y39" s="43"/>
      <c r="Z39" s="45"/>
      <c r="AA39" s="50"/>
      <c r="AB39" s="51"/>
      <c r="AC39" s="52"/>
      <c r="AD39" s="53"/>
      <c r="AE39" s="61"/>
    </row>
    <row r="40" spans="1:31" s="34" customFormat="1" ht="13.5" thickBot="1" x14ac:dyDescent="0.25">
      <c r="A40" s="99"/>
      <c r="B40" s="62" t="s">
        <v>48</v>
      </c>
      <c r="C40" s="81">
        <v>0.35416666666666669</v>
      </c>
      <c r="D40" s="87"/>
      <c r="E40" s="87"/>
      <c r="F40" s="88"/>
      <c r="G40" s="81">
        <v>0.29166666666666669</v>
      </c>
      <c r="H40" s="87"/>
      <c r="I40" s="87"/>
      <c r="J40" s="88"/>
      <c r="K40" s="81">
        <v>0.35416666666666669</v>
      </c>
      <c r="L40" s="87"/>
      <c r="M40" s="87"/>
      <c r="N40" s="88"/>
      <c r="O40" s="81">
        <v>0.35416666666666669</v>
      </c>
      <c r="P40" s="87"/>
      <c r="Q40" s="87"/>
      <c r="R40" s="88"/>
      <c r="S40" s="89"/>
      <c r="T40" s="90"/>
      <c r="U40" s="90"/>
      <c r="V40" s="91"/>
      <c r="W40" s="81">
        <v>0.35416666666666669</v>
      </c>
      <c r="X40" s="87"/>
      <c r="Y40" s="87"/>
      <c r="Z40" s="88"/>
      <c r="AA40" s="81">
        <v>0.21875</v>
      </c>
      <c r="AB40" s="87"/>
      <c r="AC40" s="87"/>
      <c r="AD40" s="88"/>
      <c r="AE40" s="36">
        <f>SUM(AA40,S40,O40,K40,G40,C40,W40,AE41)</f>
        <v>1.9270833333333337</v>
      </c>
    </row>
    <row r="41" spans="1:31" s="34" customFormat="1" ht="13.5" thickBot="1" x14ac:dyDescent="0.25">
      <c r="A41" s="99"/>
      <c r="B41" s="62" t="s">
        <v>49</v>
      </c>
      <c r="C41" s="77">
        <v>0.38541666666666669</v>
      </c>
      <c r="D41" s="78"/>
      <c r="E41" s="79">
        <v>0.79166666666666663</v>
      </c>
      <c r="F41" s="80"/>
      <c r="G41" s="77">
        <v>0.38541666666666669</v>
      </c>
      <c r="H41" s="78"/>
      <c r="I41" s="79">
        <v>0.70833333333333337</v>
      </c>
      <c r="J41" s="80"/>
      <c r="K41" s="77">
        <v>0.38541666666666669</v>
      </c>
      <c r="L41" s="78"/>
      <c r="M41" s="79">
        <v>0.79166666666666663</v>
      </c>
      <c r="N41" s="80"/>
      <c r="O41" s="77">
        <v>0.38541666666666669</v>
      </c>
      <c r="P41" s="78"/>
      <c r="Q41" s="79">
        <v>0.79166666666666663</v>
      </c>
      <c r="R41" s="80"/>
      <c r="S41" s="84" t="s">
        <v>16</v>
      </c>
      <c r="T41" s="85"/>
      <c r="U41" s="85"/>
      <c r="V41" s="86"/>
      <c r="W41" s="77">
        <v>0.38541666666666669</v>
      </c>
      <c r="X41" s="78"/>
      <c r="Y41" s="79">
        <v>0.79166666666666663</v>
      </c>
      <c r="Z41" s="80"/>
      <c r="AA41" s="77">
        <v>0.38541666666666669</v>
      </c>
      <c r="AB41" s="78"/>
      <c r="AC41" s="79">
        <v>0.625</v>
      </c>
      <c r="AD41" s="80"/>
      <c r="AE41" s="41">
        <v>0</v>
      </c>
    </row>
    <row r="42" spans="1:31" s="34" customFormat="1" ht="13.5" thickBot="1" x14ac:dyDescent="0.25">
      <c r="A42" s="99"/>
      <c r="B42" s="63" t="s">
        <v>43</v>
      </c>
      <c r="C42" s="43"/>
      <c r="D42" s="44"/>
      <c r="E42" s="43"/>
      <c r="F42" s="45"/>
      <c r="G42" s="43"/>
      <c r="H42" s="44"/>
      <c r="I42" s="43"/>
      <c r="J42" s="45"/>
      <c r="K42" s="43"/>
      <c r="L42" s="44"/>
      <c r="M42" s="43"/>
      <c r="N42" s="45"/>
      <c r="O42" s="43"/>
      <c r="P42" s="44"/>
      <c r="Q42" s="43"/>
      <c r="R42" s="45"/>
      <c r="S42" s="46"/>
      <c r="T42" s="47"/>
      <c r="U42" s="48"/>
      <c r="V42" s="49"/>
      <c r="W42" s="43"/>
      <c r="X42" s="44"/>
      <c r="Y42" s="43"/>
      <c r="Z42" s="45"/>
      <c r="AA42" s="50"/>
      <c r="AB42" s="51"/>
      <c r="AC42" s="52"/>
      <c r="AD42" s="53"/>
      <c r="AE42" s="64"/>
    </row>
    <row r="43" spans="1:31" s="34" customFormat="1" ht="13.5" thickBot="1" x14ac:dyDescent="0.25">
      <c r="A43" s="99"/>
      <c r="B43" s="65" t="s">
        <v>50</v>
      </c>
      <c r="C43" s="81">
        <v>0.35416666666666669</v>
      </c>
      <c r="D43" s="87"/>
      <c r="E43" s="87"/>
      <c r="F43" s="88"/>
      <c r="G43" s="81">
        <v>0.35416666666666669</v>
      </c>
      <c r="H43" s="87"/>
      <c r="I43" s="87"/>
      <c r="J43" s="88"/>
      <c r="K43" s="81">
        <v>0.35416666666666669</v>
      </c>
      <c r="L43" s="87"/>
      <c r="M43" s="87"/>
      <c r="N43" s="88"/>
      <c r="O43" s="81">
        <v>0.35416666666666669</v>
      </c>
      <c r="P43" s="87"/>
      <c r="Q43" s="87"/>
      <c r="R43" s="88"/>
      <c r="S43" s="81">
        <v>0.35416666666666669</v>
      </c>
      <c r="T43" s="87"/>
      <c r="U43" s="87"/>
      <c r="V43" s="88"/>
      <c r="W43" s="89"/>
      <c r="X43" s="90"/>
      <c r="Y43" s="90"/>
      <c r="Z43" s="91"/>
      <c r="AA43" s="89"/>
      <c r="AB43" s="90"/>
      <c r="AC43" s="90"/>
      <c r="AD43" s="91"/>
      <c r="AE43" s="36">
        <f>SUM(AA43,S43,O43,K43,G43,C43,W43,AE44)</f>
        <v>1.7708333333333335</v>
      </c>
    </row>
    <row r="44" spans="1:31" s="34" customFormat="1" ht="13.5" thickBot="1" x14ac:dyDescent="0.25">
      <c r="A44" s="99"/>
      <c r="B44" s="65" t="s">
        <v>51</v>
      </c>
      <c r="C44" s="77">
        <v>0.38541666666666669</v>
      </c>
      <c r="D44" s="78"/>
      <c r="E44" s="79">
        <v>0.79166666666666663</v>
      </c>
      <c r="F44" s="80"/>
      <c r="G44" s="77">
        <v>0.38541666666666669</v>
      </c>
      <c r="H44" s="78"/>
      <c r="I44" s="79">
        <v>0.79166666666666663</v>
      </c>
      <c r="J44" s="80"/>
      <c r="K44" s="77">
        <v>0.38541666666666669</v>
      </c>
      <c r="L44" s="78"/>
      <c r="M44" s="79">
        <v>0.79166666666666663</v>
      </c>
      <c r="N44" s="80"/>
      <c r="O44" s="77">
        <v>0.38541666666666669</v>
      </c>
      <c r="P44" s="78"/>
      <c r="Q44" s="79">
        <v>0.79166666666666663</v>
      </c>
      <c r="R44" s="80"/>
      <c r="S44" s="77">
        <v>0.38541666666666669</v>
      </c>
      <c r="T44" s="78"/>
      <c r="U44" s="79">
        <v>0.79166666666666663</v>
      </c>
      <c r="V44" s="80"/>
      <c r="W44" s="84" t="s">
        <v>16</v>
      </c>
      <c r="X44" s="85"/>
      <c r="Y44" s="85"/>
      <c r="Z44" s="86"/>
      <c r="AA44" s="84" t="s">
        <v>16</v>
      </c>
      <c r="AB44" s="85"/>
      <c r="AC44" s="85"/>
      <c r="AD44" s="86"/>
      <c r="AE44" s="41">
        <v>0</v>
      </c>
    </row>
    <row r="45" spans="1:31" s="34" customFormat="1" ht="13.5" thickBot="1" x14ac:dyDescent="0.25">
      <c r="A45" s="99"/>
      <c r="B45" s="66" t="s">
        <v>43</v>
      </c>
      <c r="C45" s="43"/>
      <c r="D45" s="44"/>
      <c r="E45" s="43"/>
      <c r="F45" s="45"/>
      <c r="G45" s="43"/>
      <c r="H45" s="44"/>
      <c r="I45" s="43"/>
      <c r="J45" s="45"/>
      <c r="K45" s="43"/>
      <c r="L45" s="44"/>
      <c r="M45" s="43"/>
      <c r="N45" s="45"/>
      <c r="O45" s="43"/>
      <c r="P45" s="44"/>
      <c r="Q45" s="43"/>
      <c r="R45" s="45"/>
      <c r="S45" s="43"/>
      <c r="T45" s="44"/>
      <c r="U45" s="43"/>
      <c r="V45" s="45"/>
      <c r="W45" s="84" t="s">
        <v>52</v>
      </c>
      <c r="X45" s="85"/>
      <c r="Y45" s="85"/>
      <c r="Z45" s="86"/>
      <c r="AA45" s="84" t="s">
        <v>52</v>
      </c>
      <c r="AB45" s="85"/>
      <c r="AC45" s="85"/>
      <c r="AD45" s="86"/>
      <c r="AE45" s="67"/>
    </row>
    <row r="46" spans="1:31" s="34" customFormat="1" ht="13.5" thickBot="1" x14ac:dyDescent="0.25">
      <c r="A46" s="99"/>
      <c r="B46" s="68"/>
      <c r="C46" s="81"/>
      <c r="D46" s="82"/>
      <c r="E46" s="82"/>
      <c r="F46" s="83"/>
      <c r="G46" s="81"/>
      <c r="H46" s="82"/>
      <c r="I46" s="82"/>
      <c r="J46" s="83"/>
      <c r="K46" s="43"/>
      <c r="L46" s="44"/>
      <c r="M46" s="43"/>
      <c r="N46" s="45"/>
      <c r="O46" s="81"/>
      <c r="P46" s="82"/>
      <c r="Q46" s="82"/>
      <c r="R46" s="83"/>
      <c r="S46" s="81"/>
      <c r="T46" s="82"/>
      <c r="U46" s="82"/>
      <c r="V46" s="83"/>
      <c r="W46" s="81"/>
      <c r="X46" s="82"/>
      <c r="Y46" s="82"/>
      <c r="Z46" s="83"/>
      <c r="AA46" s="81"/>
      <c r="AB46" s="82"/>
      <c r="AC46" s="82"/>
      <c r="AD46" s="83"/>
      <c r="AE46" s="36"/>
    </row>
    <row r="47" spans="1:31" s="34" customFormat="1" ht="13.5" thickBot="1" x14ac:dyDescent="0.25">
      <c r="A47" s="99"/>
      <c r="B47" s="69"/>
      <c r="C47" s="77"/>
      <c r="D47" s="78"/>
      <c r="E47" s="79"/>
      <c r="F47" s="80"/>
      <c r="G47" s="77"/>
      <c r="H47" s="78"/>
      <c r="I47" s="79"/>
      <c r="J47" s="80"/>
      <c r="K47" s="77"/>
      <c r="L47" s="78"/>
      <c r="M47" s="79"/>
      <c r="N47" s="80"/>
      <c r="O47" s="77"/>
      <c r="P47" s="78"/>
      <c r="Q47" s="79"/>
      <c r="R47" s="80"/>
      <c r="S47" s="77"/>
      <c r="T47" s="78"/>
      <c r="U47" s="79"/>
      <c r="V47" s="80"/>
      <c r="W47" s="77"/>
      <c r="X47" s="78"/>
      <c r="Y47" s="79"/>
      <c r="Z47" s="80"/>
      <c r="AA47" s="77"/>
      <c r="AB47" s="78"/>
      <c r="AC47" s="79"/>
      <c r="AD47" s="80"/>
      <c r="AE47" s="41"/>
    </row>
    <row r="48" spans="1:31" s="34" customFormat="1" ht="13.5" thickBot="1" x14ac:dyDescent="0.25">
      <c r="A48" s="99"/>
      <c r="B48" s="70" t="s">
        <v>43</v>
      </c>
      <c r="C48" s="43"/>
      <c r="D48" s="44"/>
      <c r="E48" s="43"/>
      <c r="F48" s="45"/>
      <c r="G48" s="43"/>
      <c r="H48" s="44"/>
      <c r="I48" s="43"/>
      <c r="J48" s="45"/>
      <c r="K48" s="43"/>
      <c r="L48" s="44"/>
      <c r="M48" s="43"/>
      <c r="N48" s="45"/>
      <c r="O48" s="43"/>
      <c r="P48" s="44"/>
      <c r="Q48" s="43"/>
      <c r="R48" s="45"/>
      <c r="S48" s="43"/>
      <c r="T48" s="44"/>
      <c r="U48" s="43"/>
      <c r="V48" s="45"/>
      <c r="W48" s="43"/>
      <c r="X48" s="44"/>
      <c r="Y48" s="43"/>
      <c r="Z48" s="45"/>
      <c r="AA48" s="43"/>
      <c r="AB48" s="44"/>
      <c r="AC48" s="43"/>
      <c r="AD48" s="45"/>
      <c r="AE48" s="76"/>
    </row>
    <row r="49" spans="1:31" s="34" customFormat="1" ht="12.75" x14ac:dyDescent="0.2">
      <c r="A49" s="99"/>
      <c r="B49" s="71"/>
      <c r="C49" s="71"/>
      <c r="D49" s="71"/>
      <c r="E49" s="71"/>
      <c r="F49" s="33"/>
    </row>
    <row r="50" spans="1:31" s="34" customFormat="1" ht="12.75" x14ac:dyDescent="0.2"/>
    <row r="51" spans="1:31" s="34" customFormat="1" ht="12.75" x14ac:dyDescent="0.2"/>
    <row r="52" spans="1:31" s="72" customFormat="1" ht="16.5" thickBot="1" x14ac:dyDescent="0.3"/>
    <row r="53" spans="1:31" s="34" customFormat="1" ht="13.5" thickBot="1" x14ac:dyDescent="0.25">
      <c r="A53" s="33"/>
      <c r="B53" s="105"/>
      <c r="C53" s="107" t="s">
        <v>23</v>
      </c>
      <c r="D53" s="108"/>
      <c r="E53" s="108"/>
      <c r="F53" s="109"/>
      <c r="G53" s="107" t="s">
        <v>53</v>
      </c>
      <c r="H53" s="108"/>
      <c r="I53" s="108"/>
      <c r="J53" s="109"/>
      <c r="K53" s="110" t="s">
        <v>54</v>
      </c>
      <c r="L53" s="111"/>
      <c r="M53" s="111"/>
      <c r="N53" s="112"/>
      <c r="O53" s="110" t="s">
        <v>55</v>
      </c>
      <c r="P53" s="111"/>
      <c r="Q53" s="111"/>
      <c r="R53" s="112"/>
      <c r="S53" s="110" t="s">
        <v>56</v>
      </c>
      <c r="T53" s="111"/>
      <c r="U53" s="111"/>
      <c r="V53" s="112"/>
      <c r="W53" s="117" t="s">
        <v>57</v>
      </c>
      <c r="X53" s="111"/>
      <c r="Y53" s="111"/>
      <c r="Z53" s="111"/>
      <c r="AA53" s="117" t="s">
        <v>29</v>
      </c>
      <c r="AB53" s="111"/>
      <c r="AC53" s="111"/>
      <c r="AD53" s="111"/>
      <c r="AE53" s="113" t="s">
        <v>37</v>
      </c>
    </row>
    <row r="54" spans="1:31" s="34" customFormat="1" ht="13.5" thickBot="1" x14ac:dyDescent="0.25">
      <c r="A54" s="33"/>
      <c r="B54" s="106"/>
      <c r="C54" s="100">
        <v>45873</v>
      </c>
      <c r="D54" s="101"/>
      <c r="E54" s="101"/>
      <c r="F54" s="102"/>
      <c r="G54" s="100">
        <v>45874</v>
      </c>
      <c r="H54" s="101"/>
      <c r="I54" s="101"/>
      <c r="J54" s="102"/>
      <c r="K54" s="100">
        <v>45875</v>
      </c>
      <c r="L54" s="101"/>
      <c r="M54" s="101"/>
      <c r="N54" s="102"/>
      <c r="O54" s="100">
        <v>45876</v>
      </c>
      <c r="P54" s="101"/>
      <c r="Q54" s="101"/>
      <c r="R54" s="102"/>
      <c r="S54" s="100">
        <v>45877</v>
      </c>
      <c r="T54" s="101"/>
      <c r="U54" s="101"/>
      <c r="V54" s="102"/>
      <c r="W54" s="100">
        <v>45878</v>
      </c>
      <c r="X54" s="101"/>
      <c r="Y54" s="101"/>
      <c r="Z54" s="102"/>
      <c r="AA54" s="100">
        <v>45879</v>
      </c>
      <c r="AB54" s="101"/>
      <c r="AC54" s="101"/>
      <c r="AD54" s="102"/>
      <c r="AE54" s="114"/>
    </row>
    <row r="55" spans="1:31" s="34" customFormat="1" ht="13.5" thickBot="1" x14ac:dyDescent="0.25">
      <c r="A55" s="33"/>
      <c r="B55" s="106"/>
      <c r="C55" s="103" t="s">
        <v>38</v>
      </c>
      <c r="D55" s="96"/>
      <c r="E55" s="97" t="s">
        <v>39</v>
      </c>
      <c r="F55" s="104"/>
      <c r="G55" s="97" t="s">
        <v>38</v>
      </c>
      <c r="H55" s="96"/>
      <c r="I55" s="97" t="s">
        <v>39</v>
      </c>
      <c r="J55" s="96"/>
      <c r="K55" s="95" t="s">
        <v>38</v>
      </c>
      <c r="L55" s="96"/>
      <c r="M55" s="97" t="s">
        <v>39</v>
      </c>
      <c r="N55" s="96"/>
      <c r="O55" s="95" t="s">
        <v>38</v>
      </c>
      <c r="P55" s="96"/>
      <c r="Q55" s="97" t="s">
        <v>39</v>
      </c>
      <c r="R55" s="96"/>
      <c r="S55" s="95" t="s">
        <v>38</v>
      </c>
      <c r="T55" s="96"/>
      <c r="U55" s="97" t="s">
        <v>39</v>
      </c>
      <c r="V55" s="96"/>
      <c r="W55" s="95" t="s">
        <v>38</v>
      </c>
      <c r="X55" s="116"/>
      <c r="Y55" s="107" t="s">
        <v>39</v>
      </c>
      <c r="Z55" s="109"/>
      <c r="AA55" s="95" t="s">
        <v>38</v>
      </c>
      <c r="AB55" s="116"/>
      <c r="AC55" s="107" t="s">
        <v>39</v>
      </c>
      <c r="AD55" s="109"/>
      <c r="AE55" s="115"/>
    </row>
    <row r="56" spans="1:31" s="34" customFormat="1" ht="18.75" customHeight="1" thickBot="1" x14ac:dyDescent="0.25">
      <c r="A56" s="98" t="s">
        <v>40</v>
      </c>
      <c r="B56" s="35" t="s">
        <v>41</v>
      </c>
      <c r="C56" s="81">
        <v>0.375</v>
      </c>
      <c r="D56" s="87"/>
      <c r="E56" s="87"/>
      <c r="F56" s="88"/>
      <c r="G56" s="81">
        <v>0.28125</v>
      </c>
      <c r="H56" s="87"/>
      <c r="I56" s="87"/>
      <c r="J56" s="88"/>
      <c r="K56" s="81">
        <v>0.375</v>
      </c>
      <c r="L56" s="87"/>
      <c r="M56" s="87"/>
      <c r="N56" s="88"/>
      <c r="O56" s="89"/>
      <c r="P56" s="90"/>
      <c r="Q56" s="90"/>
      <c r="R56" s="91"/>
      <c r="S56" s="81">
        <v>0.28125</v>
      </c>
      <c r="T56" s="87"/>
      <c r="U56" s="87"/>
      <c r="V56" s="88"/>
      <c r="W56" s="81">
        <v>0.375</v>
      </c>
      <c r="X56" s="87"/>
      <c r="Y56" s="87"/>
      <c r="Z56" s="88"/>
      <c r="AA56" s="81">
        <v>0.23958333333333334</v>
      </c>
      <c r="AB56" s="87"/>
      <c r="AC56" s="87"/>
      <c r="AD56" s="88"/>
      <c r="AE56" s="36">
        <f>SUM(AA56,S56,O56,K56,G56,C56,W56,AE57)</f>
        <v>1.9270833333333335</v>
      </c>
    </row>
    <row r="57" spans="1:31" s="34" customFormat="1" ht="13.5" thickBot="1" x14ac:dyDescent="0.25">
      <c r="A57" s="99"/>
      <c r="B57" s="37" t="s">
        <v>42</v>
      </c>
      <c r="C57" s="77">
        <v>0.38541666666666669</v>
      </c>
      <c r="D57" s="78"/>
      <c r="E57" s="79">
        <v>0.8125</v>
      </c>
      <c r="F57" s="80"/>
      <c r="G57" s="77">
        <v>0.38541666666666669</v>
      </c>
      <c r="H57" s="78"/>
      <c r="I57" s="79">
        <v>0.69791666666666663</v>
      </c>
      <c r="J57" s="80"/>
      <c r="K57" s="77">
        <v>0.38541666666666669</v>
      </c>
      <c r="L57" s="78"/>
      <c r="M57" s="79">
        <v>0.8125</v>
      </c>
      <c r="N57" s="80"/>
      <c r="O57" s="84" t="s">
        <v>16</v>
      </c>
      <c r="P57" s="85"/>
      <c r="Q57" s="85"/>
      <c r="R57" s="86"/>
      <c r="S57" s="77">
        <v>0.38541666666666669</v>
      </c>
      <c r="T57" s="78"/>
      <c r="U57" s="79">
        <v>0.69791666666666663</v>
      </c>
      <c r="V57" s="80"/>
      <c r="W57" s="77">
        <v>0.38541666666666669</v>
      </c>
      <c r="X57" s="78"/>
      <c r="Y57" s="79">
        <v>0.8125</v>
      </c>
      <c r="Z57" s="80"/>
      <c r="AA57" s="77">
        <v>0.38541666666666669</v>
      </c>
      <c r="AB57" s="78"/>
      <c r="AC57" s="79">
        <v>0.64583333333333337</v>
      </c>
      <c r="AD57" s="80"/>
      <c r="AE57" s="41">
        <v>0</v>
      </c>
    </row>
    <row r="58" spans="1:31" s="34" customFormat="1" ht="13.5" thickBot="1" x14ac:dyDescent="0.25">
      <c r="A58" s="99"/>
      <c r="B58" s="42" t="s">
        <v>43</v>
      </c>
      <c r="C58" s="43"/>
      <c r="D58" s="44"/>
      <c r="E58" s="43"/>
      <c r="F58" s="45"/>
      <c r="G58" s="43"/>
      <c r="H58" s="44"/>
      <c r="I58" s="43"/>
      <c r="J58" s="45"/>
      <c r="K58" s="43"/>
      <c r="L58" s="44"/>
      <c r="M58" s="43"/>
      <c r="N58" s="45"/>
      <c r="O58" s="46"/>
      <c r="P58" s="47"/>
      <c r="Q58" s="48"/>
      <c r="R58" s="49"/>
      <c r="S58" s="43"/>
      <c r="T58" s="44"/>
      <c r="U58" s="43"/>
      <c r="V58" s="45"/>
      <c r="W58" s="43"/>
      <c r="X58" s="44"/>
      <c r="Y58" s="43"/>
      <c r="Z58" s="45"/>
      <c r="AA58" s="50"/>
      <c r="AB58" s="51"/>
      <c r="AC58" s="52"/>
      <c r="AD58" s="53"/>
      <c r="AE58" s="54"/>
    </row>
    <row r="59" spans="1:31" s="34" customFormat="1" ht="13.5" thickBot="1" x14ac:dyDescent="0.25">
      <c r="A59" s="99"/>
      <c r="B59" s="55" t="s">
        <v>44</v>
      </c>
      <c r="C59" s="81">
        <v>0.35416666666666669</v>
      </c>
      <c r="D59" s="87"/>
      <c r="E59" s="87"/>
      <c r="F59" s="88"/>
      <c r="G59" s="81">
        <v>0.375</v>
      </c>
      <c r="H59" s="87"/>
      <c r="I59" s="87"/>
      <c r="J59" s="88"/>
      <c r="K59" s="81">
        <v>0.28125</v>
      </c>
      <c r="L59" s="87"/>
      <c r="M59" s="87"/>
      <c r="N59" s="88"/>
      <c r="O59" s="81">
        <v>0.375</v>
      </c>
      <c r="P59" s="87"/>
      <c r="Q59" s="87"/>
      <c r="R59" s="88"/>
      <c r="S59" s="81">
        <v>0.375</v>
      </c>
      <c r="T59" s="87"/>
      <c r="U59" s="87"/>
      <c r="V59" s="88"/>
      <c r="W59" s="89"/>
      <c r="X59" s="90"/>
      <c r="Y59" s="90"/>
      <c r="Z59" s="91"/>
      <c r="AA59" s="89"/>
      <c r="AB59" s="90"/>
      <c r="AC59" s="90"/>
      <c r="AD59" s="91"/>
      <c r="AE59" s="36">
        <f>SUM(AA59,S59,O59,K59,G59,C59,W59,AE60)</f>
        <v>1.7604166666666667</v>
      </c>
    </row>
    <row r="60" spans="1:31" s="34" customFormat="1" ht="13.5" thickBot="1" x14ac:dyDescent="0.25">
      <c r="A60" s="99"/>
      <c r="B60" s="55" t="s">
        <v>45</v>
      </c>
      <c r="C60" s="77">
        <v>0.38541666666666669</v>
      </c>
      <c r="D60" s="78"/>
      <c r="E60" s="79">
        <v>0.79166666666666663</v>
      </c>
      <c r="F60" s="80"/>
      <c r="G60" s="77">
        <v>0.38541666666666669</v>
      </c>
      <c r="H60" s="78"/>
      <c r="I60" s="79">
        <v>0.8125</v>
      </c>
      <c r="J60" s="80"/>
      <c r="K60" s="77">
        <v>0.38541666666666669</v>
      </c>
      <c r="L60" s="78"/>
      <c r="M60" s="79">
        <v>0.69791666666666663</v>
      </c>
      <c r="N60" s="80"/>
      <c r="O60" s="77">
        <v>0.38541666666666669</v>
      </c>
      <c r="P60" s="78"/>
      <c r="Q60" s="79">
        <v>0.8125</v>
      </c>
      <c r="R60" s="80"/>
      <c r="S60" s="77">
        <v>0.38541666666666669</v>
      </c>
      <c r="T60" s="78"/>
      <c r="U60" s="79">
        <v>0.8125</v>
      </c>
      <c r="V60" s="80"/>
      <c r="W60" s="84" t="s">
        <v>16</v>
      </c>
      <c r="X60" s="85"/>
      <c r="Y60" s="85"/>
      <c r="Z60" s="86"/>
      <c r="AA60" s="84" t="s">
        <v>16</v>
      </c>
      <c r="AB60" s="85"/>
      <c r="AC60" s="85"/>
      <c r="AD60" s="86"/>
      <c r="AE60" s="41">
        <v>0</v>
      </c>
    </row>
    <row r="61" spans="1:31" s="34" customFormat="1" ht="13.5" thickBot="1" x14ac:dyDescent="0.25">
      <c r="A61" s="99"/>
      <c r="B61" s="56" t="s">
        <v>43</v>
      </c>
      <c r="C61" s="43"/>
      <c r="D61" s="44"/>
      <c r="E61" s="43"/>
      <c r="F61" s="45"/>
      <c r="G61" s="43"/>
      <c r="H61" s="44"/>
      <c r="I61" s="43"/>
      <c r="J61" s="45"/>
      <c r="K61" s="43"/>
      <c r="L61" s="44"/>
      <c r="M61" s="43"/>
      <c r="N61" s="45"/>
      <c r="O61" s="43"/>
      <c r="P61" s="44"/>
      <c r="Q61" s="43"/>
      <c r="R61" s="45"/>
      <c r="S61" s="43"/>
      <c r="T61" s="44"/>
      <c r="U61" s="43"/>
      <c r="V61" s="45"/>
      <c r="W61" s="46"/>
      <c r="X61" s="47"/>
      <c r="Y61" s="48"/>
      <c r="Z61" s="49"/>
      <c r="AA61" s="46"/>
      <c r="AB61" s="47"/>
      <c r="AC61" s="48"/>
      <c r="AD61" s="49"/>
      <c r="AE61" s="33"/>
    </row>
    <row r="62" spans="1:31" s="34" customFormat="1" ht="13.5" thickBot="1" x14ac:dyDescent="0.25">
      <c r="A62" s="99"/>
      <c r="B62" s="57" t="s">
        <v>46</v>
      </c>
      <c r="C62" s="81">
        <v>0.35416666666666669</v>
      </c>
      <c r="D62" s="87"/>
      <c r="E62" s="87"/>
      <c r="F62" s="88"/>
      <c r="G62" s="81">
        <v>0.35416666666666669</v>
      </c>
      <c r="H62" s="87"/>
      <c r="I62" s="87"/>
      <c r="J62" s="88"/>
      <c r="K62" s="81">
        <v>0.35416666666666669</v>
      </c>
      <c r="L62" s="87"/>
      <c r="M62" s="87"/>
      <c r="N62" s="88"/>
      <c r="O62" s="89"/>
      <c r="P62" s="90"/>
      <c r="Q62" s="90"/>
      <c r="R62" s="91"/>
      <c r="S62" s="81">
        <v>0.35416666666666669</v>
      </c>
      <c r="T62" s="87"/>
      <c r="U62" s="87"/>
      <c r="V62" s="88"/>
      <c r="W62" s="81">
        <v>0.35416666666666669</v>
      </c>
      <c r="X62" s="87"/>
      <c r="Y62" s="87"/>
      <c r="Z62" s="88"/>
      <c r="AA62" s="81">
        <v>0.21875</v>
      </c>
      <c r="AB62" s="87"/>
      <c r="AC62" s="87"/>
      <c r="AD62" s="88"/>
      <c r="AE62" s="36">
        <f>SUM(AA62,S62,O62,K62,G62,C62,W62,AE63)</f>
        <v>1.9895833333333337</v>
      </c>
    </row>
    <row r="63" spans="1:31" s="34" customFormat="1" ht="13.5" thickBot="1" x14ac:dyDescent="0.25">
      <c r="A63" s="99"/>
      <c r="B63" s="58" t="s">
        <v>47</v>
      </c>
      <c r="C63" s="77">
        <v>0.38541666666666669</v>
      </c>
      <c r="D63" s="78"/>
      <c r="E63" s="79">
        <v>0.79166666666666663</v>
      </c>
      <c r="F63" s="80"/>
      <c r="G63" s="77">
        <v>0.38541666666666669</v>
      </c>
      <c r="H63" s="78"/>
      <c r="I63" s="79">
        <v>0.79166666666666663</v>
      </c>
      <c r="J63" s="80"/>
      <c r="K63" s="77">
        <v>0.38541666666666669</v>
      </c>
      <c r="L63" s="78"/>
      <c r="M63" s="79">
        <v>0.79166666666666663</v>
      </c>
      <c r="N63" s="80"/>
      <c r="O63" s="84" t="s">
        <v>16</v>
      </c>
      <c r="P63" s="85"/>
      <c r="Q63" s="85"/>
      <c r="R63" s="86"/>
      <c r="S63" s="77">
        <v>0.38541666666666669</v>
      </c>
      <c r="T63" s="78"/>
      <c r="U63" s="79">
        <v>0.79166666666666663</v>
      </c>
      <c r="V63" s="80"/>
      <c r="W63" s="77">
        <v>0.38541666666666669</v>
      </c>
      <c r="X63" s="78"/>
      <c r="Y63" s="79">
        <v>0.79166666666666663</v>
      </c>
      <c r="Z63" s="80"/>
      <c r="AA63" s="77">
        <v>0.38541666666666669</v>
      </c>
      <c r="AB63" s="78"/>
      <c r="AC63" s="79">
        <v>0.625</v>
      </c>
      <c r="AD63" s="80"/>
      <c r="AE63" s="41">
        <v>0</v>
      </c>
    </row>
    <row r="64" spans="1:31" s="34" customFormat="1" ht="13.5" thickBot="1" x14ac:dyDescent="0.25">
      <c r="A64" s="99"/>
      <c r="B64" s="59" t="s">
        <v>43</v>
      </c>
      <c r="C64" s="43"/>
      <c r="D64" s="44"/>
      <c r="E64" s="43"/>
      <c r="F64" s="45"/>
      <c r="G64" s="43"/>
      <c r="H64" s="44"/>
      <c r="I64" s="43"/>
      <c r="J64" s="45"/>
      <c r="K64" s="43"/>
      <c r="L64" s="44"/>
      <c r="M64" s="43"/>
      <c r="N64" s="45"/>
      <c r="O64" s="46"/>
      <c r="P64" s="47"/>
      <c r="Q64" s="48"/>
      <c r="R64" s="49"/>
      <c r="S64" s="92" t="s">
        <v>58</v>
      </c>
      <c r="T64" s="93"/>
      <c r="U64" s="93"/>
      <c r="V64" s="94"/>
      <c r="W64" s="43"/>
      <c r="X64" s="44"/>
      <c r="Y64" s="43"/>
      <c r="Z64" s="45"/>
      <c r="AA64" s="50"/>
      <c r="AB64" s="51"/>
      <c r="AC64" s="52"/>
      <c r="AD64" s="53"/>
      <c r="AE64" s="61"/>
    </row>
    <row r="65" spans="1:31" s="34" customFormat="1" ht="13.5" thickBot="1" x14ac:dyDescent="0.25">
      <c r="A65" s="99"/>
      <c r="B65" s="62" t="s">
        <v>48</v>
      </c>
      <c r="C65" s="81">
        <v>0.35416666666666669</v>
      </c>
      <c r="D65" s="87"/>
      <c r="E65" s="87"/>
      <c r="F65" s="88"/>
      <c r="G65" s="81">
        <v>0.35416666666666669</v>
      </c>
      <c r="H65" s="87"/>
      <c r="I65" s="87"/>
      <c r="J65" s="88"/>
      <c r="K65" s="81">
        <v>0.35416666666666669</v>
      </c>
      <c r="L65" s="87"/>
      <c r="M65" s="87"/>
      <c r="N65" s="88"/>
      <c r="O65" s="81">
        <v>0.35416666666666669</v>
      </c>
      <c r="P65" s="87"/>
      <c r="Q65" s="87"/>
      <c r="R65" s="88"/>
      <c r="S65" s="81">
        <v>0.35416666666666669</v>
      </c>
      <c r="T65" s="87"/>
      <c r="U65" s="87"/>
      <c r="V65" s="88"/>
      <c r="W65" s="89"/>
      <c r="X65" s="90"/>
      <c r="Y65" s="90"/>
      <c r="Z65" s="91"/>
      <c r="AA65" s="89"/>
      <c r="AB65" s="90"/>
      <c r="AC65" s="90"/>
      <c r="AD65" s="91"/>
      <c r="AE65" s="36">
        <f>SUM(AA65,S65,O65,K65,G65,C65,W65,AE66)</f>
        <v>1.7708333333333335</v>
      </c>
    </row>
    <row r="66" spans="1:31" s="34" customFormat="1" ht="13.5" thickBot="1" x14ac:dyDescent="0.25">
      <c r="A66" s="99"/>
      <c r="B66" s="62" t="s">
        <v>49</v>
      </c>
      <c r="C66" s="77">
        <v>0.38541666666666669</v>
      </c>
      <c r="D66" s="78"/>
      <c r="E66" s="79">
        <v>0.79166666666666663</v>
      </c>
      <c r="F66" s="80"/>
      <c r="G66" s="77">
        <v>0.38541666666666669</v>
      </c>
      <c r="H66" s="78"/>
      <c r="I66" s="79">
        <v>0.79166666666666663</v>
      </c>
      <c r="J66" s="80"/>
      <c r="K66" s="77">
        <v>0.38541666666666669</v>
      </c>
      <c r="L66" s="78"/>
      <c r="M66" s="79">
        <v>0.79166666666666663</v>
      </c>
      <c r="N66" s="80"/>
      <c r="O66" s="77">
        <v>0.38541666666666669</v>
      </c>
      <c r="P66" s="78"/>
      <c r="Q66" s="79">
        <v>0.79166666666666663</v>
      </c>
      <c r="R66" s="80"/>
      <c r="S66" s="77">
        <v>0.38541666666666669</v>
      </c>
      <c r="T66" s="78"/>
      <c r="U66" s="79">
        <v>0.79166666666666663</v>
      </c>
      <c r="V66" s="80"/>
      <c r="W66" s="84" t="s">
        <v>16</v>
      </c>
      <c r="X66" s="85"/>
      <c r="Y66" s="85"/>
      <c r="Z66" s="86"/>
      <c r="AA66" s="84" t="s">
        <v>16</v>
      </c>
      <c r="AB66" s="85"/>
      <c r="AC66" s="85"/>
      <c r="AD66" s="86"/>
      <c r="AE66" s="41">
        <v>0</v>
      </c>
    </row>
    <row r="67" spans="1:31" s="34" customFormat="1" ht="13.5" thickBot="1" x14ac:dyDescent="0.25">
      <c r="A67" s="99"/>
      <c r="B67" s="63" t="s">
        <v>43</v>
      </c>
      <c r="C67" s="43"/>
      <c r="D67" s="44"/>
      <c r="E67" s="43"/>
      <c r="F67" s="45"/>
      <c r="G67" s="43"/>
      <c r="H67" s="44"/>
      <c r="I67" s="43"/>
      <c r="J67" s="45"/>
      <c r="K67" s="43"/>
      <c r="L67" s="44"/>
      <c r="M67" s="43"/>
      <c r="N67" s="45"/>
      <c r="O67" s="43"/>
      <c r="P67" s="44"/>
      <c r="Q67" s="43"/>
      <c r="R67" s="45"/>
      <c r="S67" s="43"/>
      <c r="T67" s="44"/>
      <c r="U67" s="43"/>
      <c r="V67" s="45"/>
      <c r="W67" s="38"/>
      <c r="X67" s="60"/>
      <c r="Y67" s="39"/>
      <c r="Z67" s="40"/>
      <c r="AA67" s="38"/>
      <c r="AB67" s="60"/>
      <c r="AC67" s="39"/>
      <c r="AD67" s="40"/>
      <c r="AE67" s="64"/>
    </row>
    <row r="68" spans="1:31" s="34" customFormat="1" ht="13.5" thickBot="1" x14ac:dyDescent="0.25">
      <c r="A68" s="99"/>
      <c r="B68" s="65" t="s">
        <v>50</v>
      </c>
      <c r="C68" s="81">
        <v>0.35416666666666669</v>
      </c>
      <c r="D68" s="87"/>
      <c r="E68" s="87"/>
      <c r="F68" s="88"/>
      <c r="G68" s="89"/>
      <c r="H68" s="90"/>
      <c r="I68" s="90"/>
      <c r="J68" s="91"/>
      <c r="K68" s="81">
        <v>0.35416666666666669</v>
      </c>
      <c r="L68" s="87"/>
      <c r="M68" s="87"/>
      <c r="N68" s="88"/>
      <c r="O68" s="81">
        <v>0.35416666666666669</v>
      </c>
      <c r="P68" s="87"/>
      <c r="Q68" s="87"/>
      <c r="R68" s="88"/>
      <c r="S68" s="81">
        <v>0.29166666666666669</v>
      </c>
      <c r="T68" s="87"/>
      <c r="U68" s="87"/>
      <c r="V68" s="88"/>
      <c r="W68" s="81">
        <v>0.35416666666666669</v>
      </c>
      <c r="X68" s="87"/>
      <c r="Y68" s="87"/>
      <c r="Z68" s="88"/>
      <c r="AA68" s="81">
        <v>0.21875</v>
      </c>
      <c r="AB68" s="87"/>
      <c r="AC68" s="87"/>
      <c r="AD68" s="88"/>
      <c r="AE68" s="36">
        <f>SUM(AA68,S68,O68,K68,G68,C68,W68,AE69)</f>
        <v>1.9270833333333337</v>
      </c>
    </row>
    <row r="69" spans="1:31" s="34" customFormat="1" ht="13.5" thickBot="1" x14ac:dyDescent="0.25">
      <c r="A69" s="99"/>
      <c r="B69" s="65" t="s">
        <v>51</v>
      </c>
      <c r="C69" s="77">
        <v>0.38541666666666669</v>
      </c>
      <c r="D69" s="78"/>
      <c r="E69" s="79">
        <v>0.79166666666666663</v>
      </c>
      <c r="F69" s="80"/>
      <c r="G69" s="84" t="s">
        <v>16</v>
      </c>
      <c r="H69" s="85"/>
      <c r="I69" s="85"/>
      <c r="J69" s="86"/>
      <c r="K69" s="77">
        <v>0.38541666666666669</v>
      </c>
      <c r="L69" s="78"/>
      <c r="M69" s="79">
        <v>0.79166666666666663</v>
      </c>
      <c r="N69" s="80"/>
      <c r="O69" s="77">
        <v>0.38541666666666669</v>
      </c>
      <c r="P69" s="78"/>
      <c r="Q69" s="79">
        <v>0.79166666666666663</v>
      </c>
      <c r="R69" s="80"/>
      <c r="S69" s="77">
        <v>0.38541666666666669</v>
      </c>
      <c r="T69" s="78"/>
      <c r="U69" s="79">
        <v>0.70833333333333337</v>
      </c>
      <c r="V69" s="80"/>
      <c r="W69" s="77">
        <v>0.38541666666666669</v>
      </c>
      <c r="X69" s="78"/>
      <c r="Y69" s="79">
        <v>0.79166666666666663</v>
      </c>
      <c r="Z69" s="80"/>
      <c r="AA69" s="77">
        <v>0.38541666666666669</v>
      </c>
      <c r="AB69" s="78"/>
      <c r="AC69" s="79">
        <v>0.625</v>
      </c>
      <c r="AD69" s="80"/>
      <c r="AE69" s="41">
        <v>0</v>
      </c>
    </row>
    <row r="70" spans="1:31" s="34" customFormat="1" ht="13.5" thickBot="1" x14ac:dyDescent="0.25">
      <c r="A70" s="99"/>
      <c r="B70" s="66" t="s">
        <v>43</v>
      </c>
      <c r="C70" s="43"/>
      <c r="D70" s="44"/>
      <c r="E70" s="43"/>
      <c r="F70" s="45"/>
      <c r="G70" s="46"/>
      <c r="H70" s="47" t="s">
        <v>59</v>
      </c>
      <c r="I70" s="48"/>
      <c r="J70" s="49"/>
      <c r="K70" s="43"/>
      <c r="L70" s="44"/>
      <c r="M70" s="43"/>
      <c r="N70" s="45"/>
      <c r="O70" s="43"/>
      <c r="P70" s="44"/>
      <c r="Q70" s="43"/>
      <c r="R70" s="45"/>
      <c r="S70" s="43"/>
      <c r="T70" s="44"/>
      <c r="U70" s="43"/>
      <c r="V70" s="45"/>
      <c r="W70" s="43"/>
      <c r="X70" s="44"/>
      <c r="Y70" s="43"/>
      <c r="Z70" s="45"/>
      <c r="AA70" s="50"/>
      <c r="AB70" s="51"/>
      <c r="AC70" s="52"/>
      <c r="AD70" s="53"/>
      <c r="AE70" s="67"/>
    </row>
    <row r="71" spans="1:31" s="34" customFormat="1" ht="13.5" thickBot="1" x14ac:dyDescent="0.25">
      <c r="A71" s="99"/>
      <c r="B71" s="68"/>
      <c r="C71" s="81"/>
      <c r="D71" s="82"/>
      <c r="E71" s="82"/>
      <c r="F71" s="83"/>
      <c r="G71" s="81"/>
      <c r="H71" s="82"/>
      <c r="I71" s="82"/>
      <c r="J71" s="83"/>
      <c r="K71" s="43"/>
      <c r="L71" s="44"/>
      <c r="M71" s="43"/>
      <c r="N71" s="45"/>
      <c r="O71" s="81"/>
      <c r="P71" s="82"/>
      <c r="Q71" s="82"/>
      <c r="R71" s="83"/>
      <c r="S71" s="81"/>
      <c r="T71" s="82"/>
      <c r="U71" s="82"/>
      <c r="V71" s="83"/>
      <c r="W71" s="81"/>
      <c r="X71" s="82"/>
      <c r="Y71" s="82"/>
      <c r="Z71" s="83"/>
      <c r="AA71" s="81"/>
      <c r="AB71" s="82"/>
      <c r="AC71" s="82"/>
      <c r="AD71" s="83"/>
      <c r="AE71" s="36"/>
    </row>
    <row r="72" spans="1:31" s="34" customFormat="1" ht="13.5" thickBot="1" x14ac:dyDescent="0.25">
      <c r="A72" s="99"/>
      <c r="B72" s="69"/>
      <c r="C72" s="77"/>
      <c r="D72" s="78"/>
      <c r="E72" s="79"/>
      <c r="F72" s="80"/>
      <c r="G72" s="77"/>
      <c r="H72" s="78"/>
      <c r="I72" s="79"/>
      <c r="J72" s="80"/>
      <c r="K72" s="77"/>
      <c r="L72" s="78"/>
      <c r="M72" s="79"/>
      <c r="N72" s="80"/>
      <c r="O72" s="77"/>
      <c r="P72" s="78"/>
      <c r="Q72" s="79"/>
      <c r="R72" s="80"/>
      <c r="S72" s="77"/>
      <c r="T72" s="78"/>
      <c r="U72" s="79"/>
      <c r="V72" s="80"/>
      <c r="W72" s="77"/>
      <c r="X72" s="78"/>
      <c r="Y72" s="79"/>
      <c r="Z72" s="80"/>
      <c r="AA72" s="77"/>
      <c r="AB72" s="78"/>
      <c r="AC72" s="79"/>
      <c r="AD72" s="80"/>
      <c r="AE72" s="41"/>
    </row>
    <row r="73" spans="1:31" s="34" customFormat="1" ht="13.5" thickBot="1" x14ac:dyDescent="0.25">
      <c r="A73" s="99"/>
      <c r="B73" s="70" t="s">
        <v>43</v>
      </c>
      <c r="C73" s="43"/>
      <c r="D73" s="44"/>
      <c r="E73" s="43"/>
      <c r="F73" s="45"/>
      <c r="G73" s="43"/>
      <c r="H73" s="44"/>
      <c r="I73" s="43"/>
      <c r="J73" s="45"/>
      <c r="K73" s="43"/>
      <c r="L73" s="44"/>
      <c r="M73" s="43"/>
      <c r="N73" s="45"/>
      <c r="O73" s="43"/>
      <c r="P73" s="44"/>
      <c r="Q73" s="43"/>
      <c r="R73" s="45"/>
      <c r="S73" s="43"/>
      <c r="T73" s="44"/>
      <c r="U73" s="43"/>
      <c r="V73" s="45"/>
      <c r="W73" s="43"/>
      <c r="X73" s="44"/>
      <c r="Y73" s="43"/>
      <c r="Z73" s="45"/>
      <c r="AA73" s="43"/>
      <c r="AB73" s="44"/>
      <c r="AC73" s="43"/>
      <c r="AD73" s="45"/>
      <c r="AE73" s="76"/>
    </row>
    <row r="74" spans="1:31" s="34" customFormat="1" ht="12.75" x14ac:dyDescent="0.2">
      <c r="A74" s="99"/>
      <c r="B74" s="71"/>
      <c r="C74" s="71"/>
      <c r="D74" s="71"/>
      <c r="E74" s="71"/>
      <c r="F74" s="33"/>
    </row>
    <row r="77" spans="1:31" ht="15.75" thickBot="1" x14ac:dyDescent="0.3"/>
    <row r="78" spans="1:31" s="34" customFormat="1" ht="13.5" thickBot="1" x14ac:dyDescent="0.25">
      <c r="A78" s="33"/>
      <c r="B78" s="105"/>
      <c r="C78" s="107" t="s">
        <v>23</v>
      </c>
      <c r="D78" s="108"/>
      <c r="E78" s="108"/>
      <c r="F78" s="109"/>
      <c r="G78" s="107" t="s">
        <v>53</v>
      </c>
      <c r="H78" s="108"/>
      <c r="I78" s="108"/>
      <c r="J78" s="109"/>
      <c r="K78" s="110" t="s">
        <v>54</v>
      </c>
      <c r="L78" s="111"/>
      <c r="M78" s="111"/>
      <c r="N78" s="112"/>
      <c r="O78" s="110" t="s">
        <v>55</v>
      </c>
      <c r="P78" s="111"/>
      <c r="Q78" s="111"/>
      <c r="R78" s="112"/>
      <c r="S78" s="110" t="s">
        <v>56</v>
      </c>
      <c r="T78" s="111"/>
      <c r="U78" s="111"/>
      <c r="V78" s="112"/>
      <c r="W78" s="117" t="s">
        <v>57</v>
      </c>
      <c r="X78" s="111"/>
      <c r="Y78" s="111"/>
      <c r="Z78" s="111"/>
      <c r="AA78" s="117" t="s">
        <v>29</v>
      </c>
      <c r="AB78" s="111"/>
      <c r="AC78" s="111"/>
      <c r="AD78" s="111"/>
      <c r="AE78" s="113" t="s">
        <v>37</v>
      </c>
    </row>
    <row r="79" spans="1:31" s="34" customFormat="1" ht="13.5" thickBot="1" x14ac:dyDescent="0.25">
      <c r="A79" s="33"/>
      <c r="B79" s="106"/>
      <c r="C79" s="100">
        <v>45880</v>
      </c>
      <c r="D79" s="101"/>
      <c r="E79" s="101"/>
      <c r="F79" s="102"/>
      <c r="G79" s="100">
        <v>45881</v>
      </c>
      <c r="H79" s="101"/>
      <c r="I79" s="101"/>
      <c r="J79" s="102"/>
      <c r="K79" s="100">
        <v>45882</v>
      </c>
      <c r="L79" s="101"/>
      <c r="M79" s="101"/>
      <c r="N79" s="102"/>
      <c r="O79" s="100">
        <v>45883</v>
      </c>
      <c r="P79" s="101"/>
      <c r="Q79" s="101"/>
      <c r="R79" s="102"/>
      <c r="S79" s="100">
        <v>45884</v>
      </c>
      <c r="T79" s="101"/>
      <c r="U79" s="101"/>
      <c r="V79" s="102"/>
      <c r="W79" s="100">
        <v>45885</v>
      </c>
      <c r="X79" s="101"/>
      <c r="Y79" s="101"/>
      <c r="Z79" s="102"/>
      <c r="AA79" s="100">
        <v>45886</v>
      </c>
      <c r="AB79" s="101"/>
      <c r="AC79" s="101"/>
      <c r="AD79" s="102"/>
      <c r="AE79" s="114"/>
    </row>
    <row r="80" spans="1:31" s="34" customFormat="1" ht="13.5" thickBot="1" x14ac:dyDescent="0.25">
      <c r="A80" s="33"/>
      <c r="B80" s="106"/>
      <c r="C80" s="103" t="s">
        <v>38</v>
      </c>
      <c r="D80" s="96"/>
      <c r="E80" s="97" t="s">
        <v>39</v>
      </c>
      <c r="F80" s="104"/>
      <c r="G80" s="97" t="s">
        <v>38</v>
      </c>
      <c r="H80" s="96"/>
      <c r="I80" s="97" t="s">
        <v>39</v>
      </c>
      <c r="J80" s="96"/>
      <c r="K80" s="95" t="s">
        <v>38</v>
      </c>
      <c r="L80" s="96"/>
      <c r="M80" s="97" t="s">
        <v>39</v>
      </c>
      <c r="N80" s="96"/>
      <c r="O80" s="95" t="s">
        <v>38</v>
      </c>
      <c r="P80" s="96"/>
      <c r="Q80" s="97" t="s">
        <v>39</v>
      </c>
      <c r="R80" s="96"/>
      <c r="S80" s="95" t="s">
        <v>38</v>
      </c>
      <c r="T80" s="96"/>
      <c r="U80" s="97" t="s">
        <v>39</v>
      </c>
      <c r="V80" s="96"/>
      <c r="W80" s="95" t="s">
        <v>38</v>
      </c>
      <c r="X80" s="116"/>
      <c r="Y80" s="107" t="s">
        <v>39</v>
      </c>
      <c r="Z80" s="109"/>
      <c r="AA80" s="95" t="s">
        <v>38</v>
      </c>
      <c r="AB80" s="116"/>
      <c r="AC80" s="107" t="s">
        <v>39</v>
      </c>
      <c r="AD80" s="109"/>
      <c r="AE80" s="115"/>
    </row>
    <row r="81" spans="1:31" s="34" customFormat="1" ht="18.75" customHeight="1" thickBot="1" x14ac:dyDescent="0.25">
      <c r="A81" s="98" t="s">
        <v>40</v>
      </c>
      <c r="B81" s="35" t="s">
        <v>41</v>
      </c>
      <c r="C81" s="81">
        <v>0.375</v>
      </c>
      <c r="D81" s="87"/>
      <c r="E81" s="87"/>
      <c r="F81" s="88"/>
      <c r="G81" s="81">
        <v>0.375</v>
      </c>
      <c r="H81" s="87"/>
      <c r="I81" s="87"/>
      <c r="J81" s="88"/>
      <c r="K81" s="81">
        <v>0.375</v>
      </c>
      <c r="L81" s="87"/>
      <c r="M81" s="87"/>
      <c r="N81" s="88"/>
      <c r="O81" s="81">
        <v>0.29166666666666669</v>
      </c>
      <c r="P81" s="87"/>
      <c r="Q81" s="87"/>
      <c r="R81" s="88"/>
      <c r="S81" s="81">
        <v>0.35416666666666669</v>
      </c>
      <c r="T81" s="87"/>
      <c r="U81" s="87"/>
      <c r="V81" s="88"/>
      <c r="W81" s="89"/>
      <c r="X81" s="90"/>
      <c r="Y81" s="90"/>
      <c r="Z81" s="91"/>
      <c r="AA81" s="89"/>
      <c r="AB81" s="90"/>
      <c r="AC81" s="90"/>
      <c r="AD81" s="91"/>
      <c r="AE81" s="36">
        <f>SUM(AA81,S81,O81,K81,G81,C81,W81,AE82)</f>
        <v>1.7708333333333335</v>
      </c>
    </row>
    <row r="82" spans="1:31" s="34" customFormat="1" ht="13.5" thickBot="1" x14ac:dyDescent="0.25">
      <c r="A82" s="99"/>
      <c r="B82" s="37" t="s">
        <v>42</v>
      </c>
      <c r="C82" s="77">
        <v>0.38541666666666669</v>
      </c>
      <c r="D82" s="78"/>
      <c r="E82" s="79">
        <v>0.8125</v>
      </c>
      <c r="F82" s="80"/>
      <c r="G82" s="77">
        <v>0.38541666666666669</v>
      </c>
      <c r="H82" s="78"/>
      <c r="I82" s="79">
        <v>0.8125</v>
      </c>
      <c r="J82" s="80"/>
      <c r="K82" s="77">
        <v>0.38541666666666669</v>
      </c>
      <c r="L82" s="78"/>
      <c r="M82" s="79">
        <v>0.8125</v>
      </c>
      <c r="N82" s="80"/>
      <c r="O82" s="77">
        <v>0.38541666666666669</v>
      </c>
      <c r="P82" s="78"/>
      <c r="Q82" s="79">
        <v>0.70833333333333337</v>
      </c>
      <c r="R82" s="80"/>
      <c r="S82" s="77">
        <v>0.38541666666666669</v>
      </c>
      <c r="T82" s="78"/>
      <c r="U82" s="79">
        <v>0.79166666666666663</v>
      </c>
      <c r="V82" s="80"/>
      <c r="W82" s="84" t="s">
        <v>16</v>
      </c>
      <c r="X82" s="85"/>
      <c r="Y82" s="85"/>
      <c r="Z82" s="86"/>
      <c r="AA82" s="84" t="s">
        <v>16</v>
      </c>
      <c r="AB82" s="85"/>
      <c r="AC82" s="85"/>
      <c r="AD82" s="86"/>
      <c r="AE82" s="41">
        <v>0</v>
      </c>
    </row>
    <row r="83" spans="1:31" s="34" customFormat="1" ht="13.5" thickBot="1" x14ac:dyDescent="0.25">
      <c r="A83" s="99"/>
      <c r="B83" s="42" t="s">
        <v>43</v>
      </c>
      <c r="C83" s="43"/>
      <c r="D83" s="44"/>
      <c r="E83" s="43"/>
      <c r="F83" s="45"/>
      <c r="G83" s="43"/>
      <c r="H83" s="44"/>
      <c r="I83" s="43"/>
      <c r="J83" s="45"/>
      <c r="K83" s="43"/>
      <c r="L83" s="44"/>
      <c r="M83" s="43"/>
      <c r="N83" s="45"/>
      <c r="O83" s="43"/>
      <c r="P83" s="44"/>
      <c r="Q83" s="43"/>
      <c r="R83" s="45"/>
      <c r="S83" s="92" t="s">
        <v>58</v>
      </c>
      <c r="T83" s="93"/>
      <c r="U83" s="93"/>
      <c r="V83" s="94"/>
      <c r="W83" s="46"/>
      <c r="X83" s="47"/>
      <c r="Y83" s="48"/>
      <c r="Z83" s="49"/>
      <c r="AA83" s="46"/>
      <c r="AB83" s="47"/>
      <c r="AC83" s="48"/>
      <c r="AD83" s="49"/>
      <c r="AE83" s="54"/>
    </row>
    <row r="84" spans="1:31" s="34" customFormat="1" ht="13.5" thickBot="1" x14ac:dyDescent="0.25">
      <c r="A84" s="99"/>
      <c r="B84" s="55" t="s">
        <v>44</v>
      </c>
      <c r="C84" s="81">
        <v>0.35416666666666669</v>
      </c>
      <c r="D84" s="87"/>
      <c r="E84" s="87"/>
      <c r="F84" s="88"/>
      <c r="G84" s="89"/>
      <c r="H84" s="90"/>
      <c r="I84" s="90"/>
      <c r="J84" s="91"/>
      <c r="K84" s="81">
        <v>0.28125</v>
      </c>
      <c r="L84" s="87"/>
      <c r="M84" s="87"/>
      <c r="N84" s="88"/>
      <c r="O84" s="81">
        <v>0.375</v>
      </c>
      <c r="P84" s="87"/>
      <c r="Q84" s="87"/>
      <c r="R84" s="88"/>
      <c r="S84" s="81">
        <v>0.375</v>
      </c>
      <c r="T84" s="87"/>
      <c r="U84" s="87"/>
      <c r="V84" s="88"/>
      <c r="W84" s="81">
        <v>0.375</v>
      </c>
      <c r="X84" s="87"/>
      <c r="Y84" s="87"/>
      <c r="Z84" s="88"/>
      <c r="AA84" s="81">
        <v>0.23958333333333334</v>
      </c>
      <c r="AB84" s="87"/>
      <c r="AC84" s="87"/>
      <c r="AD84" s="88"/>
      <c r="AE84" s="36">
        <f>SUM(AA84,S84,O84,K84,G84,C84,W84,AE85)</f>
        <v>2</v>
      </c>
    </row>
    <row r="85" spans="1:31" s="34" customFormat="1" ht="13.5" thickBot="1" x14ac:dyDescent="0.25">
      <c r="A85" s="99"/>
      <c r="B85" s="55" t="s">
        <v>45</v>
      </c>
      <c r="C85" s="77">
        <v>0.38541666666666669</v>
      </c>
      <c r="D85" s="78"/>
      <c r="E85" s="79">
        <v>0.79166666666666663</v>
      </c>
      <c r="F85" s="80"/>
      <c r="G85" s="84" t="s">
        <v>16</v>
      </c>
      <c r="H85" s="85"/>
      <c r="I85" s="85"/>
      <c r="J85" s="86"/>
      <c r="K85" s="77">
        <v>0.38541666666666669</v>
      </c>
      <c r="L85" s="78"/>
      <c r="M85" s="79">
        <v>0.69791666666666663</v>
      </c>
      <c r="N85" s="80"/>
      <c r="O85" s="77">
        <v>0.38541666666666669</v>
      </c>
      <c r="P85" s="78"/>
      <c r="Q85" s="79">
        <v>0.8125</v>
      </c>
      <c r="R85" s="80"/>
      <c r="S85" s="77">
        <v>0.38541666666666669</v>
      </c>
      <c r="T85" s="78"/>
      <c r="U85" s="79">
        <v>0.8125</v>
      </c>
      <c r="V85" s="80"/>
      <c r="W85" s="77">
        <v>0.38541666666666669</v>
      </c>
      <c r="X85" s="78"/>
      <c r="Y85" s="79">
        <v>0.8125</v>
      </c>
      <c r="Z85" s="80"/>
      <c r="AA85" s="77">
        <v>0.38541666666666669</v>
      </c>
      <c r="AB85" s="78"/>
      <c r="AC85" s="79">
        <v>0.64583333333333337</v>
      </c>
      <c r="AD85" s="80"/>
      <c r="AE85" s="41">
        <v>0</v>
      </c>
    </row>
    <row r="86" spans="1:31" s="34" customFormat="1" ht="13.5" thickBot="1" x14ac:dyDescent="0.25">
      <c r="A86" s="99"/>
      <c r="B86" s="56" t="s">
        <v>43</v>
      </c>
      <c r="C86" s="92" t="s">
        <v>58</v>
      </c>
      <c r="D86" s="93"/>
      <c r="E86" s="93"/>
      <c r="F86" s="94"/>
      <c r="G86" s="46"/>
      <c r="H86" s="47"/>
      <c r="I86" s="48"/>
      <c r="J86" s="49"/>
      <c r="K86" s="43"/>
      <c r="L86" s="44"/>
      <c r="M86" s="43"/>
      <c r="N86" s="45"/>
      <c r="O86" s="43"/>
      <c r="P86" s="44"/>
      <c r="Q86" s="43"/>
      <c r="R86" s="45"/>
      <c r="S86" s="43"/>
      <c r="T86" s="44"/>
      <c r="U86" s="43"/>
      <c r="V86" s="45"/>
      <c r="W86" s="43"/>
      <c r="X86" s="44"/>
      <c r="Y86" s="43"/>
      <c r="Z86" s="45"/>
      <c r="AA86" s="50"/>
      <c r="AB86" s="51"/>
      <c r="AC86" s="52"/>
      <c r="AD86" s="53"/>
      <c r="AE86" s="33"/>
    </row>
    <row r="87" spans="1:31" s="34" customFormat="1" ht="13.5" thickBot="1" x14ac:dyDescent="0.25">
      <c r="A87" s="99"/>
      <c r="B87" s="57" t="s">
        <v>46</v>
      </c>
      <c r="C87" s="81">
        <v>0.35416666666666669</v>
      </c>
      <c r="D87" s="87"/>
      <c r="E87" s="87"/>
      <c r="F87" s="88"/>
      <c r="G87" s="81">
        <v>0.35416666666666669</v>
      </c>
      <c r="H87" s="87"/>
      <c r="I87" s="87"/>
      <c r="J87" s="88"/>
      <c r="K87" s="81">
        <v>0.35416666666666669</v>
      </c>
      <c r="L87" s="87"/>
      <c r="M87" s="87"/>
      <c r="N87" s="88"/>
      <c r="O87" s="81">
        <v>0.35416666666666669</v>
      </c>
      <c r="P87" s="87"/>
      <c r="Q87" s="87"/>
      <c r="R87" s="88"/>
      <c r="S87" s="81">
        <v>0.35416666666666669</v>
      </c>
      <c r="T87" s="87"/>
      <c r="U87" s="87"/>
      <c r="V87" s="88"/>
      <c r="W87" s="89"/>
      <c r="X87" s="90"/>
      <c r="Y87" s="90"/>
      <c r="Z87" s="91"/>
      <c r="AA87" s="89"/>
      <c r="AB87" s="90"/>
      <c r="AC87" s="90"/>
      <c r="AD87" s="91"/>
      <c r="AE87" s="36">
        <f>SUM(AA87,S87,O87,K87,G87,C87,W87,AE88)</f>
        <v>1.7708333333333335</v>
      </c>
    </row>
    <row r="88" spans="1:31" s="34" customFormat="1" ht="13.5" thickBot="1" x14ac:dyDescent="0.25">
      <c r="A88" s="99"/>
      <c r="B88" s="58" t="s">
        <v>47</v>
      </c>
      <c r="C88" s="77">
        <v>0.38541666666666669</v>
      </c>
      <c r="D88" s="78"/>
      <c r="E88" s="79">
        <v>0.79166666666666663</v>
      </c>
      <c r="F88" s="80"/>
      <c r="G88" s="77">
        <v>0.38541666666666669</v>
      </c>
      <c r="H88" s="78"/>
      <c r="I88" s="79">
        <v>0.79166666666666663</v>
      </c>
      <c r="J88" s="80"/>
      <c r="K88" s="77">
        <v>0.38541666666666669</v>
      </c>
      <c r="L88" s="78"/>
      <c r="M88" s="79">
        <v>0.79166666666666663</v>
      </c>
      <c r="N88" s="80"/>
      <c r="O88" s="77">
        <v>0.38541666666666669</v>
      </c>
      <c r="P88" s="78"/>
      <c r="Q88" s="79">
        <v>0.79166666666666663</v>
      </c>
      <c r="R88" s="80"/>
      <c r="S88" s="77">
        <v>0.38541666666666669</v>
      </c>
      <c r="T88" s="78"/>
      <c r="U88" s="79">
        <v>0.79166666666666663</v>
      </c>
      <c r="V88" s="80"/>
      <c r="W88" s="84" t="s">
        <v>16</v>
      </c>
      <c r="X88" s="85"/>
      <c r="Y88" s="85"/>
      <c r="Z88" s="86"/>
      <c r="AA88" s="84" t="s">
        <v>16</v>
      </c>
      <c r="AB88" s="85"/>
      <c r="AC88" s="85"/>
      <c r="AD88" s="86"/>
      <c r="AE88" s="41">
        <v>0</v>
      </c>
    </row>
    <row r="89" spans="1:31" s="34" customFormat="1" ht="13.5" thickBot="1" x14ac:dyDescent="0.25">
      <c r="A89" s="99"/>
      <c r="B89" s="59" t="s">
        <v>43</v>
      </c>
      <c r="C89" s="43"/>
      <c r="D89" s="44"/>
      <c r="E89" s="43"/>
      <c r="F89" s="45"/>
      <c r="G89" s="43"/>
      <c r="H89" s="44"/>
      <c r="I89" s="43"/>
      <c r="J89" s="45"/>
      <c r="K89" s="43"/>
      <c r="L89" s="44"/>
      <c r="M89" s="43"/>
      <c r="N89" s="45"/>
      <c r="O89" s="43"/>
      <c r="P89" s="44"/>
      <c r="Q89" s="43"/>
      <c r="R89" s="45"/>
      <c r="S89" s="43"/>
      <c r="T89" s="44"/>
      <c r="U89" s="43"/>
      <c r="V89" s="45"/>
      <c r="W89" s="46"/>
      <c r="X89" s="47"/>
      <c r="Y89" s="48"/>
      <c r="Z89" s="49"/>
      <c r="AA89" s="46"/>
      <c r="AB89" s="47"/>
      <c r="AC89" s="48"/>
      <c r="AD89" s="49"/>
      <c r="AE89" s="61"/>
    </row>
    <row r="90" spans="1:31" s="34" customFormat="1" ht="13.5" thickBot="1" x14ac:dyDescent="0.25">
      <c r="A90" s="99"/>
      <c r="B90" s="62" t="s">
        <v>48</v>
      </c>
      <c r="C90" s="81">
        <v>0.35416666666666669</v>
      </c>
      <c r="D90" s="87"/>
      <c r="E90" s="87"/>
      <c r="F90" s="88"/>
      <c r="G90" s="81">
        <v>0.29166666666666669</v>
      </c>
      <c r="H90" s="87"/>
      <c r="I90" s="87"/>
      <c r="J90" s="88"/>
      <c r="K90" s="89"/>
      <c r="L90" s="90"/>
      <c r="M90" s="90"/>
      <c r="N90" s="91"/>
      <c r="O90" s="81">
        <v>0.35416666666666669</v>
      </c>
      <c r="P90" s="87"/>
      <c r="Q90" s="87"/>
      <c r="R90" s="88"/>
      <c r="S90" s="81">
        <v>0.35416666666666669</v>
      </c>
      <c r="T90" s="87"/>
      <c r="U90" s="87"/>
      <c r="V90" s="88"/>
      <c r="W90" s="81">
        <v>0.35416666666666669</v>
      </c>
      <c r="X90" s="87"/>
      <c r="Y90" s="87"/>
      <c r="Z90" s="88"/>
      <c r="AA90" s="81">
        <v>0.21875</v>
      </c>
      <c r="AB90" s="87"/>
      <c r="AC90" s="87"/>
      <c r="AD90" s="88"/>
      <c r="AE90" s="36">
        <f>SUM(AA90,S90,O90,K90,G90,C90,W90,AE91)</f>
        <v>1.9270833333333337</v>
      </c>
    </row>
    <row r="91" spans="1:31" s="34" customFormat="1" ht="13.5" thickBot="1" x14ac:dyDescent="0.25">
      <c r="A91" s="99"/>
      <c r="B91" s="62" t="s">
        <v>49</v>
      </c>
      <c r="C91" s="77">
        <v>0.38541666666666669</v>
      </c>
      <c r="D91" s="78"/>
      <c r="E91" s="79">
        <v>0.79166666666666663</v>
      </c>
      <c r="F91" s="80"/>
      <c r="G91" s="77">
        <v>0.38541666666666669</v>
      </c>
      <c r="H91" s="78"/>
      <c r="I91" s="79">
        <v>0.70833333333333337</v>
      </c>
      <c r="J91" s="80"/>
      <c r="K91" s="84" t="s">
        <v>16</v>
      </c>
      <c r="L91" s="85"/>
      <c r="M91" s="85"/>
      <c r="N91" s="86"/>
      <c r="O91" s="77">
        <v>0.38541666666666669</v>
      </c>
      <c r="P91" s="78"/>
      <c r="Q91" s="79">
        <v>0.79166666666666663</v>
      </c>
      <c r="R91" s="80"/>
      <c r="S91" s="77">
        <v>0.38541666666666669</v>
      </c>
      <c r="T91" s="78"/>
      <c r="U91" s="79">
        <v>0.79166666666666663</v>
      </c>
      <c r="V91" s="80"/>
      <c r="W91" s="77">
        <v>0.38541666666666669</v>
      </c>
      <c r="X91" s="78"/>
      <c r="Y91" s="79">
        <v>0.79166666666666663</v>
      </c>
      <c r="Z91" s="80"/>
      <c r="AA91" s="77">
        <v>0.38541666666666669</v>
      </c>
      <c r="AB91" s="78"/>
      <c r="AC91" s="79">
        <v>0.625</v>
      </c>
      <c r="AD91" s="80"/>
      <c r="AE91" s="41">
        <v>0</v>
      </c>
    </row>
    <row r="92" spans="1:31" s="34" customFormat="1" ht="13.5" thickBot="1" x14ac:dyDescent="0.25">
      <c r="A92" s="99"/>
      <c r="B92" s="63" t="s">
        <v>43</v>
      </c>
      <c r="C92" s="43"/>
      <c r="D92" s="44"/>
      <c r="E92" s="43"/>
      <c r="F92" s="45"/>
      <c r="G92" s="43"/>
      <c r="H92" s="44"/>
      <c r="I92" s="43"/>
      <c r="J92" s="45"/>
      <c r="K92" s="46"/>
      <c r="L92" s="47"/>
      <c r="M92" s="48"/>
      <c r="N92" s="49"/>
      <c r="O92" s="92" t="s">
        <v>58</v>
      </c>
      <c r="P92" s="93"/>
      <c r="Q92" s="93"/>
      <c r="R92" s="94"/>
      <c r="S92" s="43"/>
      <c r="T92" s="44"/>
      <c r="U92" s="43"/>
      <c r="V92" s="45"/>
      <c r="W92" s="43"/>
      <c r="X92" s="44"/>
      <c r="Y92" s="43"/>
      <c r="Z92" s="45"/>
      <c r="AA92" s="50"/>
      <c r="AB92" s="51"/>
      <c r="AC92" s="52"/>
      <c r="AD92" s="53"/>
      <c r="AE92" s="64"/>
    </row>
    <row r="93" spans="1:31" s="34" customFormat="1" ht="13.5" thickBot="1" x14ac:dyDescent="0.25">
      <c r="A93" s="99"/>
      <c r="B93" s="65" t="s">
        <v>50</v>
      </c>
      <c r="C93" s="81">
        <v>0.35416666666666669</v>
      </c>
      <c r="D93" s="87"/>
      <c r="E93" s="87"/>
      <c r="F93" s="88"/>
      <c r="G93" s="89"/>
      <c r="H93" s="90"/>
      <c r="I93" s="90"/>
      <c r="J93" s="91"/>
      <c r="K93" s="81">
        <v>0.35416666666666669</v>
      </c>
      <c r="L93" s="87"/>
      <c r="M93" s="87"/>
      <c r="N93" s="88"/>
      <c r="O93" s="81">
        <v>0.35416666666666669</v>
      </c>
      <c r="P93" s="87"/>
      <c r="Q93" s="87"/>
      <c r="R93" s="88"/>
      <c r="S93" s="81">
        <v>0.29166666666666669</v>
      </c>
      <c r="T93" s="87"/>
      <c r="U93" s="87"/>
      <c r="V93" s="88"/>
      <c r="W93" s="81">
        <v>0.35416666666666669</v>
      </c>
      <c r="X93" s="87"/>
      <c r="Y93" s="87"/>
      <c r="Z93" s="88"/>
      <c r="AA93" s="81">
        <v>0.21875</v>
      </c>
      <c r="AB93" s="87"/>
      <c r="AC93" s="87"/>
      <c r="AD93" s="88"/>
      <c r="AE93" s="36">
        <f>SUM(AA93,S93,O93,K93,G93,C93,W93,AE94)</f>
        <v>1.9270833333333337</v>
      </c>
    </row>
    <row r="94" spans="1:31" s="34" customFormat="1" ht="13.5" thickBot="1" x14ac:dyDescent="0.25">
      <c r="A94" s="99"/>
      <c r="B94" s="65" t="s">
        <v>51</v>
      </c>
      <c r="C94" s="77">
        <v>0.38541666666666669</v>
      </c>
      <c r="D94" s="78"/>
      <c r="E94" s="79">
        <v>0.79166666666666663</v>
      </c>
      <c r="F94" s="80"/>
      <c r="G94" s="84" t="s">
        <v>16</v>
      </c>
      <c r="H94" s="85"/>
      <c r="I94" s="85"/>
      <c r="J94" s="86"/>
      <c r="K94" s="77">
        <v>0.38541666666666669</v>
      </c>
      <c r="L94" s="78"/>
      <c r="M94" s="79">
        <v>0.79166666666666663</v>
      </c>
      <c r="N94" s="80"/>
      <c r="O94" s="77">
        <v>0.38541666666666669</v>
      </c>
      <c r="P94" s="78"/>
      <c r="Q94" s="79">
        <v>0.79166666666666663</v>
      </c>
      <c r="R94" s="80"/>
      <c r="S94" s="77">
        <v>0.38541666666666669</v>
      </c>
      <c r="T94" s="78"/>
      <c r="U94" s="79">
        <v>0.70833333333333337</v>
      </c>
      <c r="V94" s="80"/>
      <c r="W94" s="77">
        <v>0.38541666666666669</v>
      </c>
      <c r="X94" s="78"/>
      <c r="Y94" s="79">
        <v>0.79166666666666663</v>
      </c>
      <c r="Z94" s="80"/>
      <c r="AA94" s="77">
        <v>0.38541666666666669</v>
      </c>
      <c r="AB94" s="78"/>
      <c r="AC94" s="79">
        <v>0.625</v>
      </c>
      <c r="AD94" s="80"/>
      <c r="AE94" s="41">
        <v>0</v>
      </c>
    </row>
    <row r="95" spans="1:31" s="34" customFormat="1" ht="13.5" thickBot="1" x14ac:dyDescent="0.25">
      <c r="A95" s="99"/>
      <c r="B95" s="66" t="s">
        <v>43</v>
      </c>
      <c r="C95" s="43"/>
      <c r="D95" s="44"/>
      <c r="E95" s="43"/>
      <c r="F95" s="45"/>
      <c r="G95" s="46"/>
      <c r="H95" s="47"/>
      <c r="I95" s="48"/>
      <c r="J95" s="49"/>
      <c r="K95" s="43"/>
      <c r="L95" s="44"/>
      <c r="M95" s="43"/>
      <c r="N95" s="45"/>
      <c r="O95" s="43"/>
      <c r="P95" s="44"/>
      <c r="Q95" s="43"/>
      <c r="R95" s="45"/>
      <c r="S95" s="43"/>
      <c r="T95" s="44"/>
      <c r="U95" s="43"/>
      <c r="V95" s="45"/>
      <c r="W95" s="43"/>
      <c r="X95" s="44"/>
      <c r="Y95" s="43"/>
      <c r="Z95" s="45"/>
      <c r="AA95" s="50"/>
      <c r="AB95" s="51"/>
      <c r="AC95" s="52"/>
      <c r="AD95" s="53"/>
      <c r="AE95" s="67"/>
    </row>
    <row r="96" spans="1:31" s="34" customFormat="1" ht="13.5" thickBot="1" x14ac:dyDescent="0.25">
      <c r="A96" s="99"/>
      <c r="B96" s="68"/>
      <c r="C96" s="81"/>
      <c r="D96" s="82"/>
      <c r="E96" s="82"/>
      <c r="F96" s="83"/>
      <c r="G96" s="81"/>
      <c r="H96" s="82"/>
      <c r="I96" s="82"/>
      <c r="J96" s="83"/>
      <c r="K96" s="43"/>
      <c r="L96" s="44"/>
      <c r="M96" s="43"/>
      <c r="N96" s="45"/>
      <c r="O96" s="81"/>
      <c r="P96" s="82"/>
      <c r="Q96" s="82"/>
      <c r="R96" s="83"/>
      <c r="S96" s="81"/>
      <c r="T96" s="82"/>
      <c r="U96" s="82"/>
      <c r="V96" s="83"/>
      <c r="W96" s="81"/>
      <c r="X96" s="82"/>
      <c r="Y96" s="82"/>
      <c r="Z96" s="83"/>
      <c r="AA96" s="81"/>
      <c r="AB96" s="82"/>
      <c r="AC96" s="82"/>
      <c r="AD96" s="83"/>
      <c r="AE96" s="36"/>
    </row>
    <row r="97" spans="1:31" s="34" customFormat="1" ht="13.5" thickBot="1" x14ac:dyDescent="0.25">
      <c r="A97" s="99"/>
      <c r="B97" s="69"/>
      <c r="C97" s="77"/>
      <c r="D97" s="78"/>
      <c r="E97" s="79"/>
      <c r="F97" s="80"/>
      <c r="G97" s="77"/>
      <c r="H97" s="78"/>
      <c r="I97" s="79"/>
      <c r="J97" s="80"/>
      <c r="K97" s="77"/>
      <c r="L97" s="78"/>
      <c r="M97" s="79"/>
      <c r="N97" s="80"/>
      <c r="O97" s="77"/>
      <c r="P97" s="78"/>
      <c r="Q97" s="79"/>
      <c r="R97" s="80"/>
      <c r="S97" s="77"/>
      <c r="T97" s="78"/>
      <c r="U97" s="79"/>
      <c r="V97" s="80"/>
      <c r="W97" s="77"/>
      <c r="X97" s="78"/>
      <c r="Y97" s="79"/>
      <c r="Z97" s="80"/>
      <c r="AA97" s="77"/>
      <c r="AB97" s="78"/>
      <c r="AC97" s="79"/>
      <c r="AD97" s="80"/>
      <c r="AE97" s="41"/>
    </row>
    <row r="98" spans="1:31" s="34" customFormat="1" ht="13.5" thickBot="1" x14ac:dyDescent="0.25">
      <c r="A98" s="99"/>
      <c r="B98" s="70" t="s">
        <v>43</v>
      </c>
      <c r="C98" s="43"/>
      <c r="D98" s="44"/>
      <c r="E98" s="43"/>
      <c r="F98" s="45"/>
      <c r="G98" s="43"/>
      <c r="H98" s="44"/>
      <c r="I98" s="43"/>
      <c r="J98" s="45"/>
      <c r="K98" s="43"/>
      <c r="L98" s="44"/>
      <c r="M98" s="43"/>
      <c r="N98" s="45"/>
      <c r="O98" s="43"/>
      <c r="P98" s="44"/>
      <c r="Q98" s="43"/>
      <c r="R98" s="45"/>
      <c r="S98" s="43"/>
      <c r="T98" s="44"/>
      <c r="U98" s="43"/>
      <c r="V98" s="45"/>
      <c r="W98" s="43"/>
      <c r="X98" s="44"/>
      <c r="Y98" s="43"/>
      <c r="Z98" s="45"/>
      <c r="AA98" s="43"/>
      <c r="AB98" s="44"/>
      <c r="AC98" s="43"/>
      <c r="AD98" s="45"/>
      <c r="AE98" s="76"/>
    </row>
    <row r="99" spans="1:31" s="34" customFormat="1" ht="12.75" x14ac:dyDescent="0.2">
      <c r="A99" s="99"/>
      <c r="B99" s="71"/>
      <c r="C99" s="71"/>
      <c r="D99" s="71"/>
      <c r="E99" s="71"/>
      <c r="F99" s="33"/>
    </row>
    <row r="102" spans="1:31" ht="15.75" thickBot="1" x14ac:dyDescent="0.3"/>
    <row r="103" spans="1:31" s="34" customFormat="1" ht="13.5" thickBot="1" x14ac:dyDescent="0.25">
      <c r="A103" s="33"/>
      <c r="B103" s="105"/>
      <c r="C103" s="107" t="s">
        <v>23</v>
      </c>
      <c r="D103" s="108"/>
      <c r="E103" s="108"/>
      <c r="F103" s="109"/>
      <c r="G103" s="107" t="s">
        <v>53</v>
      </c>
      <c r="H103" s="108"/>
      <c r="I103" s="108"/>
      <c r="J103" s="109"/>
      <c r="K103" s="110" t="s">
        <v>54</v>
      </c>
      <c r="L103" s="111"/>
      <c r="M103" s="111"/>
      <c r="N103" s="112"/>
      <c r="O103" s="110" t="s">
        <v>55</v>
      </c>
      <c r="P103" s="111"/>
      <c r="Q103" s="111"/>
      <c r="R103" s="112"/>
      <c r="S103" s="110" t="s">
        <v>56</v>
      </c>
      <c r="T103" s="111"/>
      <c r="U103" s="111"/>
      <c r="V103" s="112"/>
      <c r="W103" s="113" t="s">
        <v>37</v>
      </c>
    </row>
    <row r="104" spans="1:31" s="34" customFormat="1" ht="13.5" thickBot="1" x14ac:dyDescent="0.25">
      <c r="A104" s="33"/>
      <c r="B104" s="106"/>
      <c r="C104" s="100">
        <v>45887</v>
      </c>
      <c r="D104" s="101"/>
      <c r="E104" s="101"/>
      <c r="F104" s="102"/>
      <c r="G104" s="100">
        <v>45888</v>
      </c>
      <c r="H104" s="101"/>
      <c r="I104" s="101"/>
      <c r="J104" s="102"/>
      <c r="K104" s="100">
        <v>45889</v>
      </c>
      <c r="L104" s="101"/>
      <c r="M104" s="101"/>
      <c r="N104" s="102"/>
      <c r="O104" s="100">
        <v>45890</v>
      </c>
      <c r="P104" s="101"/>
      <c r="Q104" s="101"/>
      <c r="R104" s="102"/>
      <c r="S104" s="100">
        <v>45891</v>
      </c>
      <c r="T104" s="101"/>
      <c r="U104" s="101"/>
      <c r="V104" s="102"/>
      <c r="W104" s="114"/>
    </row>
    <row r="105" spans="1:31" s="34" customFormat="1" ht="13.5" thickBot="1" x14ac:dyDescent="0.25">
      <c r="A105" s="33"/>
      <c r="B105" s="106"/>
      <c r="C105" s="103" t="s">
        <v>38</v>
      </c>
      <c r="D105" s="96"/>
      <c r="E105" s="97" t="s">
        <v>39</v>
      </c>
      <c r="F105" s="104"/>
      <c r="G105" s="97" t="s">
        <v>38</v>
      </c>
      <c r="H105" s="96"/>
      <c r="I105" s="97" t="s">
        <v>39</v>
      </c>
      <c r="J105" s="96"/>
      <c r="K105" s="95" t="s">
        <v>38</v>
      </c>
      <c r="L105" s="96"/>
      <c r="M105" s="97" t="s">
        <v>39</v>
      </c>
      <c r="N105" s="96"/>
      <c r="O105" s="95" t="s">
        <v>38</v>
      </c>
      <c r="P105" s="96"/>
      <c r="Q105" s="97" t="s">
        <v>39</v>
      </c>
      <c r="R105" s="96"/>
      <c r="S105" s="95" t="s">
        <v>38</v>
      </c>
      <c r="T105" s="96"/>
      <c r="U105" s="97" t="s">
        <v>39</v>
      </c>
      <c r="V105" s="96"/>
      <c r="W105" s="115"/>
    </row>
    <row r="106" spans="1:31" s="34" customFormat="1" ht="18.75" customHeight="1" thickBot="1" x14ac:dyDescent="0.25">
      <c r="A106" s="98" t="s">
        <v>40</v>
      </c>
      <c r="B106" s="35" t="s">
        <v>41</v>
      </c>
      <c r="C106" s="81">
        <v>0.375</v>
      </c>
      <c r="D106" s="87"/>
      <c r="E106" s="87"/>
      <c r="F106" s="88"/>
      <c r="G106" s="81">
        <v>0.375</v>
      </c>
      <c r="H106" s="87"/>
      <c r="I106" s="87"/>
      <c r="J106" s="88"/>
      <c r="K106" s="81">
        <v>0.28125</v>
      </c>
      <c r="L106" s="87"/>
      <c r="M106" s="87"/>
      <c r="N106" s="88"/>
      <c r="O106" s="81">
        <v>0.375</v>
      </c>
      <c r="P106" s="87"/>
      <c r="Q106" s="87"/>
      <c r="R106" s="88"/>
      <c r="S106" s="89"/>
      <c r="T106" s="90"/>
      <c r="U106" s="90"/>
      <c r="V106" s="91"/>
      <c r="W106" s="36">
        <v>1.40625</v>
      </c>
    </row>
    <row r="107" spans="1:31" s="34" customFormat="1" ht="13.5" thickBot="1" x14ac:dyDescent="0.25">
      <c r="A107" s="99"/>
      <c r="B107" s="37" t="s">
        <v>42</v>
      </c>
      <c r="C107" s="77">
        <v>0.38541666666666669</v>
      </c>
      <c r="D107" s="78"/>
      <c r="E107" s="79">
        <v>0.8125</v>
      </c>
      <c r="F107" s="80"/>
      <c r="G107" s="77">
        <v>0.38541666666666669</v>
      </c>
      <c r="H107" s="78"/>
      <c r="I107" s="79">
        <v>0.8125</v>
      </c>
      <c r="J107" s="80"/>
      <c r="K107" s="77">
        <v>0.38541666666666669</v>
      </c>
      <c r="L107" s="78"/>
      <c r="M107" s="79">
        <v>0.69791666666666663</v>
      </c>
      <c r="N107" s="80"/>
      <c r="O107" s="77">
        <v>0.38541666666666669</v>
      </c>
      <c r="P107" s="78"/>
      <c r="Q107" s="79">
        <v>0.8125</v>
      </c>
      <c r="R107" s="80"/>
      <c r="S107" s="84" t="s">
        <v>16</v>
      </c>
      <c r="T107" s="85"/>
      <c r="U107" s="85"/>
      <c r="V107" s="86"/>
      <c r="W107" s="41">
        <v>0</v>
      </c>
    </row>
    <row r="108" spans="1:31" s="34" customFormat="1" ht="13.5" thickBot="1" x14ac:dyDescent="0.25">
      <c r="A108" s="99"/>
      <c r="B108" s="42" t="s">
        <v>43</v>
      </c>
      <c r="C108" s="43"/>
      <c r="D108" s="44"/>
      <c r="E108" s="43"/>
      <c r="F108" s="45"/>
      <c r="G108" s="43"/>
      <c r="H108" s="44"/>
      <c r="I108" s="43"/>
      <c r="J108" s="45"/>
      <c r="K108" s="43"/>
      <c r="L108" s="44"/>
      <c r="M108" s="43"/>
      <c r="N108" s="45"/>
      <c r="O108" s="43"/>
      <c r="P108" s="44"/>
      <c r="Q108" s="43"/>
      <c r="R108" s="45"/>
      <c r="S108" s="84" t="s">
        <v>52</v>
      </c>
      <c r="T108" s="85"/>
      <c r="U108" s="85"/>
      <c r="V108" s="86"/>
      <c r="W108" s="54"/>
    </row>
    <row r="109" spans="1:31" s="34" customFormat="1" ht="13.5" thickBot="1" x14ac:dyDescent="0.25">
      <c r="A109" s="99"/>
      <c r="B109" s="55" t="s">
        <v>44</v>
      </c>
      <c r="C109" s="81">
        <v>0.35416666666666669</v>
      </c>
      <c r="D109" s="87"/>
      <c r="E109" s="87"/>
      <c r="F109" s="88"/>
      <c r="G109" s="89"/>
      <c r="H109" s="90"/>
      <c r="I109" s="90"/>
      <c r="J109" s="91"/>
      <c r="K109" s="81">
        <v>0.375</v>
      </c>
      <c r="L109" s="87"/>
      <c r="M109" s="87"/>
      <c r="N109" s="88"/>
      <c r="O109" s="81">
        <v>0.28125</v>
      </c>
      <c r="P109" s="87"/>
      <c r="Q109" s="87"/>
      <c r="R109" s="88"/>
      <c r="S109" s="81">
        <v>0.375</v>
      </c>
      <c r="T109" s="87"/>
      <c r="U109" s="87"/>
      <c r="V109" s="88"/>
      <c r="W109" s="36">
        <v>1.3854166666666667</v>
      </c>
    </row>
    <row r="110" spans="1:31" s="34" customFormat="1" ht="13.5" thickBot="1" x14ac:dyDescent="0.25">
      <c r="A110" s="99"/>
      <c r="B110" s="55" t="s">
        <v>45</v>
      </c>
      <c r="C110" s="77">
        <v>0.38541666666666669</v>
      </c>
      <c r="D110" s="78"/>
      <c r="E110" s="79">
        <v>0.79166666666666663</v>
      </c>
      <c r="F110" s="80"/>
      <c r="G110" s="84" t="s">
        <v>16</v>
      </c>
      <c r="H110" s="85"/>
      <c r="I110" s="85"/>
      <c r="J110" s="86"/>
      <c r="K110" s="77">
        <v>0.38541666666666669</v>
      </c>
      <c r="L110" s="78"/>
      <c r="M110" s="79">
        <v>0.8125</v>
      </c>
      <c r="N110" s="80"/>
      <c r="O110" s="77">
        <v>0.38541666666666669</v>
      </c>
      <c r="P110" s="78"/>
      <c r="Q110" s="79">
        <v>0.69791666666666663</v>
      </c>
      <c r="R110" s="80"/>
      <c r="S110" s="77">
        <v>0.38541666666666669</v>
      </c>
      <c r="T110" s="78"/>
      <c r="U110" s="79">
        <v>0.8125</v>
      </c>
      <c r="V110" s="80"/>
      <c r="W110" s="41"/>
    </row>
    <row r="111" spans="1:31" s="34" customFormat="1" ht="13.5" thickBot="1" x14ac:dyDescent="0.25">
      <c r="A111" s="99"/>
      <c r="B111" s="56" t="s">
        <v>43</v>
      </c>
      <c r="C111" s="92" t="s">
        <v>58</v>
      </c>
      <c r="D111" s="93"/>
      <c r="E111" s="93"/>
      <c r="F111" s="94"/>
      <c r="G111" s="46"/>
      <c r="H111" s="47"/>
      <c r="I111" s="48"/>
      <c r="J111" s="49"/>
      <c r="K111" s="43"/>
      <c r="L111" s="44"/>
      <c r="M111" s="43"/>
      <c r="N111" s="45"/>
      <c r="O111" s="43"/>
      <c r="P111" s="44"/>
      <c r="Q111" s="43"/>
      <c r="R111" s="45"/>
      <c r="S111" s="43"/>
      <c r="T111" s="44"/>
      <c r="U111" s="43"/>
      <c r="V111" s="45"/>
      <c r="W111" s="33"/>
    </row>
    <row r="112" spans="1:31" s="34" customFormat="1" ht="13.5" thickBot="1" x14ac:dyDescent="0.25">
      <c r="A112" s="99"/>
      <c r="B112" s="57" t="s">
        <v>46</v>
      </c>
      <c r="C112" s="81">
        <v>0.35416666666666669</v>
      </c>
      <c r="D112" s="87"/>
      <c r="E112" s="87"/>
      <c r="F112" s="88"/>
      <c r="G112" s="81">
        <v>0.35416666666666669</v>
      </c>
      <c r="H112" s="87"/>
      <c r="I112" s="87"/>
      <c r="J112" s="88"/>
      <c r="K112" s="81">
        <v>0.35416666666666669</v>
      </c>
      <c r="L112" s="87"/>
      <c r="M112" s="87"/>
      <c r="N112" s="88"/>
      <c r="O112" s="81">
        <v>0.35416666666666669</v>
      </c>
      <c r="P112" s="87"/>
      <c r="Q112" s="87"/>
      <c r="R112" s="88"/>
      <c r="S112" s="89"/>
      <c r="T112" s="90"/>
      <c r="U112" s="90"/>
      <c r="V112" s="91"/>
      <c r="W112" s="36">
        <v>1.4166666666666667</v>
      </c>
    </row>
    <row r="113" spans="1:23" s="34" customFormat="1" ht="13.5" thickBot="1" x14ac:dyDescent="0.25">
      <c r="A113" s="99"/>
      <c r="B113" s="58" t="s">
        <v>47</v>
      </c>
      <c r="C113" s="77">
        <v>0.38541666666666669</v>
      </c>
      <c r="D113" s="78"/>
      <c r="E113" s="79">
        <v>0.79166666666666663</v>
      </c>
      <c r="F113" s="80"/>
      <c r="G113" s="77">
        <v>0.38541666666666669</v>
      </c>
      <c r="H113" s="78"/>
      <c r="I113" s="79">
        <v>0.79166666666666663</v>
      </c>
      <c r="J113" s="80"/>
      <c r="K113" s="77">
        <v>0.38541666666666669</v>
      </c>
      <c r="L113" s="78"/>
      <c r="M113" s="79">
        <v>0.79166666666666663</v>
      </c>
      <c r="N113" s="80"/>
      <c r="O113" s="77">
        <v>0.38541666666666669</v>
      </c>
      <c r="P113" s="78"/>
      <c r="Q113" s="79">
        <v>0.79166666666666663</v>
      </c>
      <c r="R113" s="80"/>
      <c r="S113" s="84" t="s">
        <v>16</v>
      </c>
      <c r="T113" s="85"/>
      <c r="U113" s="85"/>
      <c r="V113" s="86"/>
      <c r="W113" s="41">
        <v>0</v>
      </c>
    </row>
    <row r="114" spans="1:23" s="34" customFormat="1" ht="13.5" thickBot="1" x14ac:dyDescent="0.25">
      <c r="A114" s="99"/>
      <c r="B114" s="59" t="s">
        <v>43</v>
      </c>
      <c r="C114" s="43"/>
      <c r="D114" s="44"/>
      <c r="E114" s="43"/>
      <c r="F114" s="45"/>
      <c r="G114" s="43"/>
      <c r="H114" s="44"/>
      <c r="I114" s="43"/>
      <c r="J114" s="45"/>
      <c r="K114" s="92" t="s">
        <v>58</v>
      </c>
      <c r="L114" s="93"/>
      <c r="M114" s="93"/>
      <c r="N114" s="94"/>
      <c r="O114" s="43"/>
      <c r="P114" s="44"/>
      <c r="Q114" s="43"/>
      <c r="R114" s="45"/>
      <c r="S114" s="46"/>
      <c r="T114" s="47"/>
      <c r="U114" s="48"/>
      <c r="V114" s="49"/>
      <c r="W114" s="61"/>
    </row>
    <row r="115" spans="1:23" s="34" customFormat="1" ht="13.5" thickBot="1" x14ac:dyDescent="0.25">
      <c r="A115" s="99"/>
      <c r="B115" s="62" t="s">
        <v>48</v>
      </c>
      <c r="C115" s="81">
        <v>0.35416666666666669</v>
      </c>
      <c r="D115" s="87"/>
      <c r="E115" s="87"/>
      <c r="F115" s="88"/>
      <c r="G115" s="81">
        <v>0.35416666666666669</v>
      </c>
      <c r="H115" s="87"/>
      <c r="I115" s="87"/>
      <c r="J115" s="88"/>
      <c r="K115" s="81">
        <v>0.35416666666666669</v>
      </c>
      <c r="L115" s="87"/>
      <c r="M115" s="87"/>
      <c r="N115" s="88"/>
      <c r="O115" s="89"/>
      <c r="P115" s="90"/>
      <c r="Q115" s="90"/>
      <c r="R115" s="91"/>
      <c r="S115" s="81">
        <v>0.35416666666666669</v>
      </c>
      <c r="T115" s="87"/>
      <c r="U115" s="87"/>
      <c r="V115" s="88"/>
      <c r="W115" s="36">
        <v>1.4166666666666667</v>
      </c>
    </row>
    <row r="116" spans="1:23" s="34" customFormat="1" ht="13.5" thickBot="1" x14ac:dyDescent="0.25">
      <c r="A116" s="99"/>
      <c r="B116" s="62" t="s">
        <v>49</v>
      </c>
      <c r="C116" s="77">
        <v>0.38541666666666669</v>
      </c>
      <c r="D116" s="78"/>
      <c r="E116" s="79">
        <v>0.79166666666666663</v>
      </c>
      <c r="F116" s="80"/>
      <c r="G116" s="77">
        <v>0.38541666666666669</v>
      </c>
      <c r="H116" s="78"/>
      <c r="I116" s="79">
        <v>0.79166666666666663</v>
      </c>
      <c r="J116" s="80"/>
      <c r="K116" s="77">
        <v>0.38541666666666669</v>
      </c>
      <c r="L116" s="78"/>
      <c r="M116" s="79">
        <v>0.79166666666666663</v>
      </c>
      <c r="N116" s="80"/>
      <c r="O116" s="84" t="s">
        <v>16</v>
      </c>
      <c r="P116" s="85"/>
      <c r="Q116" s="85"/>
      <c r="R116" s="86"/>
      <c r="S116" s="77">
        <v>0.38541666666666669</v>
      </c>
      <c r="T116" s="78"/>
      <c r="U116" s="79">
        <v>0.79166666666666663</v>
      </c>
      <c r="V116" s="80"/>
      <c r="W116" s="41">
        <v>0</v>
      </c>
    </row>
    <row r="117" spans="1:23" s="34" customFormat="1" ht="13.5" thickBot="1" x14ac:dyDescent="0.25">
      <c r="A117" s="99"/>
      <c r="B117" s="63" t="s">
        <v>43</v>
      </c>
      <c r="C117" s="43"/>
      <c r="D117" s="44"/>
      <c r="E117" s="43"/>
      <c r="F117" s="45"/>
      <c r="G117" s="43"/>
      <c r="H117" s="44"/>
      <c r="I117" s="43"/>
      <c r="J117" s="45"/>
      <c r="K117" s="43"/>
      <c r="L117" s="44"/>
      <c r="M117" s="43"/>
      <c r="N117" s="45"/>
      <c r="O117" s="46"/>
      <c r="P117" s="47"/>
      <c r="Q117" s="48"/>
      <c r="R117" s="49"/>
      <c r="S117" s="43"/>
      <c r="T117" s="44"/>
      <c r="U117" s="43"/>
      <c r="V117" s="45"/>
      <c r="W117" s="64"/>
    </row>
    <row r="118" spans="1:23" s="34" customFormat="1" ht="13.5" thickBot="1" x14ac:dyDescent="0.25">
      <c r="A118" s="99"/>
      <c r="B118" s="65" t="s">
        <v>50</v>
      </c>
      <c r="C118" s="81">
        <v>0.35416666666666669</v>
      </c>
      <c r="D118" s="87"/>
      <c r="E118" s="87"/>
      <c r="F118" s="88"/>
      <c r="G118" s="81">
        <v>0.35416666666666669</v>
      </c>
      <c r="H118" s="87"/>
      <c r="I118" s="87"/>
      <c r="J118" s="88"/>
      <c r="K118" s="89"/>
      <c r="L118" s="90"/>
      <c r="M118" s="90"/>
      <c r="N118" s="91"/>
      <c r="O118" s="81">
        <v>0.35416666666666669</v>
      </c>
      <c r="P118" s="87"/>
      <c r="Q118" s="87"/>
      <c r="R118" s="88"/>
      <c r="S118" s="81">
        <v>0.35416666666666669</v>
      </c>
      <c r="T118" s="87"/>
      <c r="U118" s="87"/>
      <c r="V118" s="88"/>
      <c r="W118" s="36">
        <v>1.4166666666666667</v>
      </c>
    </row>
    <row r="119" spans="1:23" s="34" customFormat="1" ht="13.5" thickBot="1" x14ac:dyDescent="0.25">
      <c r="A119" s="99"/>
      <c r="B119" s="65" t="s">
        <v>51</v>
      </c>
      <c r="C119" s="77">
        <v>0.38541666666666669</v>
      </c>
      <c r="D119" s="78"/>
      <c r="E119" s="79">
        <v>0.79166666666666663</v>
      </c>
      <c r="F119" s="80"/>
      <c r="G119" s="77">
        <v>0.38541666666666669</v>
      </c>
      <c r="H119" s="78"/>
      <c r="I119" s="79">
        <v>0.79166666666666663</v>
      </c>
      <c r="J119" s="80"/>
      <c r="K119" s="84" t="s">
        <v>16</v>
      </c>
      <c r="L119" s="85"/>
      <c r="M119" s="85"/>
      <c r="N119" s="86"/>
      <c r="O119" s="77">
        <v>0.38541666666666669</v>
      </c>
      <c r="P119" s="78"/>
      <c r="Q119" s="79">
        <v>0.79166666666666663</v>
      </c>
      <c r="R119" s="80"/>
      <c r="S119" s="77">
        <v>0.38541666666666669</v>
      </c>
      <c r="T119" s="78"/>
      <c r="U119" s="79">
        <v>0.79166666666666663</v>
      </c>
      <c r="V119" s="80"/>
      <c r="W119" s="41">
        <v>0</v>
      </c>
    </row>
    <row r="120" spans="1:23" s="34" customFormat="1" ht="13.5" thickBot="1" x14ac:dyDescent="0.25">
      <c r="A120" s="99"/>
      <c r="B120" s="66" t="s">
        <v>43</v>
      </c>
      <c r="C120" s="43"/>
      <c r="D120" s="44"/>
      <c r="E120" s="43"/>
      <c r="F120" s="45"/>
      <c r="G120" s="43"/>
      <c r="H120" s="44"/>
      <c r="I120" s="43"/>
      <c r="J120" s="45"/>
      <c r="K120" s="46"/>
      <c r="L120" s="47"/>
      <c r="M120" s="48"/>
      <c r="N120" s="49"/>
      <c r="O120" s="43"/>
      <c r="P120" s="44"/>
      <c r="Q120" s="43"/>
      <c r="R120" s="45"/>
      <c r="S120" s="43"/>
      <c r="T120" s="44"/>
      <c r="U120" s="43"/>
      <c r="V120" s="45"/>
      <c r="W120" s="67"/>
    </row>
    <row r="121" spans="1:23" s="34" customFormat="1" ht="13.5" thickBot="1" x14ac:dyDescent="0.25">
      <c r="A121" s="99"/>
      <c r="B121" s="68"/>
      <c r="C121" s="81"/>
      <c r="D121" s="82"/>
      <c r="E121" s="82"/>
      <c r="F121" s="83"/>
      <c r="G121" s="81"/>
      <c r="H121" s="82"/>
      <c r="I121" s="82"/>
      <c r="J121" s="83"/>
      <c r="K121" s="43"/>
      <c r="L121" s="44"/>
      <c r="M121" s="43"/>
      <c r="N121" s="45"/>
      <c r="O121" s="81"/>
      <c r="P121" s="82"/>
      <c r="Q121" s="82"/>
      <c r="R121" s="83"/>
      <c r="S121" s="81"/>
      <c r="T121" s="82"/>
      <c r="U121" s="82"/>
      <c r="V121" s="83"/>
      <c r="W121" s="36"/>
    </row>
    <row r="122" spans="1:23" s="34" customFormat="1" ht="13.5" thickBot="1" x14ac:dyDescent="0.25">
      <c r="A122" s="99"/>
      <c r="B122" s="69"/>
      <c r="C122" s="77"/>
      <c r="D122" s="78"/>
      <c r="E122" s="79"/>
      <c r="F122" s="80"/>
      <c r="G122" s="77"/>
      <c r="H122" s="78"/>
      <c r="I122" s="79"/>
      <c r="J122" s="80"/>
      <c r="K122" s="77"/>
      <c r="L122" s="78"/>
      <c r="M122" s="79"/>
      <c r="N122" s="80"/>
      <c r="O122" s="77"/>
      <c r="P122" s="78"/>
      <c r="Q122" s="79"/>
      <c r="R122" s="80"/>
      <c r="S122" s="77"/>
      <c r="T122" s="78"/>
      <c r="U122" s="79"/>
      <c r="V122" s="80"/>
      <c r="W122" s="41"/>
    </row>
    <row r="123" spans="1:23" s="34" customFormat="1" ht="13.5" thickBot="1" x14ac:dyDescent="0.25">
      <c r="A123" s="99"/>
      <c r="B123" s="70" t="s">
        <v>43</v>
      </c>
      <c r="C123" s="43"/>
      <c r="D123" s="44"/>
      <c r="E123" s="43"/>
      <c r="F123" s="45"/>
      <c r="G123" s="43"/>
      <c r="H123" s="44"/>
      <c r="I123" s="43"/>
      <c r="J123" s="45"/>
      <c r="K123" s="43"/>
      <c r="L123" s="44"/>
      <c r="M123" s="43"/>
      <c r="N123" s="45"/>
      <c r="O123" s="43"/>
      <c r="P123" s="44"/>
      <c r="Q123" s="43"/>
      <c r="R123" s="45"/>
      <c r="S123" s="43"/>
      <c r="T123" s="44"/>
      <c r="U123" s="43"/>
      <c r="V123" s="45"/>
      <c r="W123" s="43"/>
    </row>
    <row r="124" spans="1:23" s="34" customFormat="1" ht="12.75" x14ac:dyDescent="0.2">
      <c r="A124" s="99"/>
      <c r="B124" s="71"/>
      <c r="C124" s="71"/>
      <c r="D124" s="71"/>
      <c r="E124" s="71"/>
      <c r="F124" s="33"/>
    </row>
  </sheetData>
  <mergeCells count="669">
    <mergeCell ref="W1:W3"/>
    <mergeCell ref="C2:F2"/>
    <mergeCell ref="G2:J2"/>
    <mergeCell ref="K2:N2"/>
    <mergeCell ref="O2:R2"/>
    <mergeCell ref="S2:V2"/>
    <mergeCell ref="C3:D3"/>
    <mergeCell ref="E3:F3"/>
    <mergeCell ref="G3:H3"/>
    <mergeCell ref="I3:J3"/>
    <mergeCell ref="C1:F1"/>
    <mergeCell ref="G1:J1"/>
    <mergeCell ref="K1:N1"/>
    <mergeCell ref="O1:R1"/>
    <mergeCell ref="S1:V1"/>
    <mergeCell ref="K3:L3"/>
    <mergeCell ref="M3:N3"/>
    <mergeCell ref="O3:P3"/>
    <mergeCell ref="Q3:R3"/>
    <mergeCell ref="S3:T3"/>
    <mergeCell ref="U3:V3"/>
    <mergeCell ref="A4:A22"/>
    <mergeCell ref="C4:F4"/>
    <mergeCell ref="G4:J4"/>
    <mergeCell ref="K4:N4"/>
    <mergeCell ref="O4:R4"/>
    <mergeCell ref="S4:V4"/>
    <mergeCell ref="C5:D5"/>
    <mergeCell ref="E5:F5"/>
    <mergeCell ref="B1:B3"/>
    <mergeCell ref="U5:V5"/>
    <mergeCell ref="C7:F7"/>
    <mergeCell ref="G7:J7"/>
    <mergeCell ref="K7:N7"/>
    <mergeCell ref="O7:R7"/>
    <mergeCell ref="S7:V7"/>
    <mergeCell ref="G5:H5"/>
    <mergeCell ref="I5:J5"/>
    <mergeCell ref="K5:N5"/>
    <mergeCell ref="O5:P5"/>
    <mergeCell ref="Q5:R5"/>
    <mergeCell ref="S5:T5"/>
    <mergeCell ref="Q8:R8"/>
    <mergeCell ref="S8:V8"/>
    <mergeCell ref="C10:F10"/>
    <mergeCell ref="G10:J10"/>
    <mergeCell ref="K10:N10"/>
    <mergeCell ref="O10:R10"/>
    <mergeCell ref="S10:V10"/>
    <mergeCell ref="C8:F8"/>
    <mergeCell ref="G8:H8"/>
    <mergeCell ref="I8:J8"/>
    <mergeCell ref="K8:L8"/>
    <mergeCell ref="M8:N8"/>
    <mergeCell ref="O8:P8"/>
    <mergeCell ref="Q11:R11"/>
    <mergeCell ref="S11:V11"/>
    <mergeCell ref="C13:F13"/>
    <mergeCell ref="G13:J13"/>
    <mergeCell ref="K13:N13"/>
    <mergeCell ref="O13:R13"/>
    <mergeCell ref="S13:V13"/>
    <mergeCell ref="C11:F11"/>
    <mergeCell ref="G11:H11"/>
    <mergeCell ref="I11:J11"/>
    <mergeCell ref="K11:L11"/>
    <mergeCell ref="M11:N11"/>
    <mergeCell ref="O11:P11"/>
    <mergeCell ref="Q14:R14"/>
    <mergeCell ref="S14:T14"/>
    <mergeCell ref="U14:V14"/>
    <mergeCell ref="C16:F16"/>
    <mergeCell ref="G16:J16"/>
    <mergeCell ref="K16:N16"/>
    <mergeCell ref="O16:R16"/>
    <mergeCell ref="S16:V16"/>
    <mergeCell ref="C14:D14"/>
    <mergeCell ref="E14:F14"/>
    <mergeCell ref="G14:J14"/>
    <mergeCell ref="K14:L14"/>
    <mergeCell ref="M14:N14"/>
    <mergeCell ref="O14:P14"/>
    <mergeCell ref="Q17:R17"/>
    <mergeCell ref="S17:T17"/>
    <mergeCell ref="U17:V17"/>
    <mergeCell ref="K18:M18"/>
    <mergeCell ref="C19:F19"/>
    <mergeCell ref="G19:J19"/>
    <mergeCell ref="O19:R19"/>
    <mergeCell ref="S19:V19"/>
    <mergeCell ref="C17:D17"/>
    <mergeCell ref="E17:F17"/>
    <mergeCell ref="G17:H17"/>
    <mergeCell ref="I17:J17"/>
    <mergeCell ref="K17:N17"/>
    <mergeCell ref="O17:P17"/>
    <mergeCell ref="O20:P20"/>
    <mergeCell ref="Q20:R20"/>
    <mergeCell ref="S20:T20"/>
    <mergeCell ref="U20:V20"/>
    <mergeCell ref="B28:B30"/>
    <mergeCell ref="C28:F28"/>
    <mergeCell ref="G28:J28"/>
    <mergeCell ref="K28:N28"/>
    <mergeCell ref="O28:R28"/>
    <mergeCell ref="S28:V28"/>
    <mergeCell ref="C20:D20"/>
    <mergeCell ref="E20:F20"/>
    <mergeCell ref="G20:H20"/>
    <mergeCell ref="I20:J20"/>
    <mergeCell ref="K20:L20"/>
    <mergeCell ref="M20:N20"/>
    <mergeCell ref="W28:Z28"/>
    <mergeCell ref="AA28:AD28"/>
    <mergeCell ref="AE28:AE30"/>
    <mergeCell ref="C29:F29"/>
    <mergeCell ref="G29:J29"/>
    <mergeCell ref="K29:N29"/>
    <mergeCell ref="O29:R29"/>
    <mergeCell ref="S29:V29"/>
    <mergeCell ref="W29:Z29"/>
    <mergeCell ref="AA29:AD29"/>
    <mergeCell ref="AA30:AB30"/>
    <mergeCell ref="AC30:AD30"/>
    <mergeCell ref="A31:A49"/>
    <mergeCell ref="C31:F31"/>
    <mergeCell ref="G31:J31"/>
    <mergeCell ref="K31:N31"/>
    <mergeCell ref="O31:R31"/>
    <mergeCell ref="S31:V31"/>
    <mergeCell ref="W31:Z31"/>
    <mergeCell ref="AA31:AD31"/>
    <mergeCell ref="O30:P30"/>
    <mergeCell ref="Q30:R30"/>
    <mergeCell ref="S30:T30"/>
    <mergeCell ref="U30:V30"/>
    <mergeCell ref="W30:X30"/>
    <mergeCell ref="Y30:Z30"/>
    <mergeCell ref="C30:D30"/>
    <mergeCell ref="E30:F30"/>
    <mergeCell ref="G30:H30"/>
    <mergeCell ref="I30:J30"/>
    <mergeCell ref="K30:L30"/>
    <mergeCell ref="M30:N30"/>
    <mergeCell ref="Q32:R32"/>
    <mergeCell ref="S32:T32"/>
    <mergeCell ref="U32:V32"/>
    <mergeCell ref="W32:X32"/>
    <mergeCell ref="Y32:Z32"/>
    <mergeCell ref="AA32:AD32"/>
    <mergeCell ref="C32:D32"/>
    <mergeCell ref="E32:F32"/>
    <mergeCell ref="G32:H32"/>
    <mergeCell ref="I32:J32"/>
    <mergeCell ref="K32:N32"/>
    <mergeCell ref="O32:P32"/>
    <mergeCell ref="AA34:AD34"/>
    <mergeCell ref="C35:D35"/>
    <mergeCell ref="E35:F35"/>
    <mergeCell ref="G35:H35"/>
    <mergeCell ref="I35:J35"/>
    <mergeCell ref="K35:L35"/>
    <mergeCell ref="M35:N35"/>
    <mergeCell ref="O35:R35"/>
    <mergeCell ref="S35:T35"/>
    <mergeCell ref="U35:V35"/>
    <mergeCell ref="C34:F34"/>
    <mergeCell ref="G34:J34"/>
    <mergeCell ref="K34:N34"/>
    <mergeCell ref="O34:R34"/>
    <mergeCell ref="S34:V34"/>
    <mergeCell ref="W34:Z34"/>
    <mergeCell ref="W35:X35"/>
    <mergeCell ref="Y35:Z35"/>
    <mergeCell ref="AA35:AB35"/>
    <mergeCell ref="AC35:AD35"/>
    <mergeCell ref="C37:F37"/>
    <mergeCell ref="G37:J37"/>
    <mergeCell ref="K37:N37"/>
    <mergeCell ref="O37:R37"/>
    <mergeCell ref="S37:V37"/>
    <mergeCell ref="W37:Z37"/>
    <mergeCell ref="AA37:AD37"/>
    <mergeCell ref="C38:D38"/>
    <mergeCell ref="E38:F38"/>
    <mergeCell ref="G38:H38"/>
    <mergeCell ref="I38:J38"/>
    <mergeCell ref="K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C40:F40"/>
    <mergeCell ref="G40:J40"/>
    <mergeCell ref="K40:N40"/>
    <mergeCell ref="O40:R40"/>
    <mergeCell ref="S40:V40"/>
    <mergeCell ref="W40:Z40"/>
    <mergeCell ref="AA40:AD40"/>
    <mergeCell ref="C41:D41"/>
    <mergeCell ref="E41:F41"/>
    <mergeCell ref="G41:H41"/>
    <mergeCell ref="I41:J41"/>
    <mergeCell ref="K41:L41"/>
    <mergeCell ref="M41:N41"/>
    <mergeCell ref="O41:P41"/>
    <mergeCell ref="Q41:R41"/>
    <mergeCell ref="S41:V41"/>
    <mergeCell ref="W41:X41"/>
    <mergeCell ref="Y41:Z41"/>
    <mergeCell ref="AA41:AB41"/>
    <mergeCell ref="AC41:AD41"/>
    <mergeCell ref="C43:F43"/>
    <mergeCell ref="G43:J43"/>
    <mergeCell ref="K43:N43"/>
    <mergeCell ref="O43:R43"/>
    <mergeCell ref="S43:V43"/>
    <mergeCell ref="W43:Z43"/>
    <mergeCell ref="AA43:AD43"/>
    <mergeCell ref="C44:D44"/>
    <mergeCell ref="E44:F44"/>
    <mergeCell ref="G44:H44"/>
    <mergeCell ref="I44:J44"/>
    <mergeCell ref="K44:L44"/>
    <mergeCell ref="M44:N44"/>
    <mergeCell ref="O44:P44"/>
    <mergeCell ref="Q44:R44"/>
    <mergeCell ref="S44:T44"/>
    <mergeCell ref="U44:V44"/>
    <mergeCell ref="W44:Z44"/>
    <mergeCell ref="AA44:AD44"/>
    <mergeCell ref="W45:Z45"/>
    <mergeCell ref="AA45:AD45"/>
    <mergeCell ref="C46:F46"/>
    <mergeCell ref="G46:J46"/>
    <mergeCell ref="O46:R46"/>
    <mergeCell ref="S46:V46"/>
    <mergeCell ref="W46:Z46"/>
    <mergeCell ref="AA46:AD46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B53:B55"/>
    <mergeCell ref="C53:F53"/>
    <mergeCell ref="G53:J53"/>
    <mergeCell ref="K53:N53"/>
    <mergeCell ref="O53:R53"/>
    <mergeCell ref="S53:V53"/>
    <mergeCell ref="W53:Z53"/>
    <mergeCell ref="AA53:AD53"/>
    <mergeCell ref="AE53:AE55"/>
    <mergeCell ref="C54:F54"/>
    <mergeCell ref="G54:J54"/>
    <mergeCell ref="K54:N54"/>
    <mergeCell ref="O54:R54"/>
    <mergeCell ref="S54:V54"/>
    <mergeCell ref="W54:Z54"/>
    <mergeCell ref="Y55:Z55"/>
    <mergeCell ref="AA55:AB55"/>
    <mergeCell ref="AC55:AD55"/>
    <mergeCell ref="A56:A74"/>
    <mergeCell ref="C56:F56"/>
    <mergeCell ref="G56:J56"/>
    <mergeCell ref="K56:N56"/>
    <mergeCell ref="O56:R56"/>
    <mergeCell ref="AA54:AD54"/>
    <mergeCell ref="C55:D55"/>
    <mergeCell ref="E55:F55"/>
    <mergeCell ref="G55:H55"/>
    <mergeCell ref="I55:J55"/>
    <mergeCell ref="K55:L55"/>
    <mergeCell ref="M55:N55"/>
    <mergeCell ref="O55:P55"/>
    <mergeCell ref="Q55:R55"/>
    <mergeCell ref="S55:T55"/>
    <mergeCell ref="C57:D57"/>
    <mergeCell ref="E57:F57"/>
    <mergeCell ref="G57:H57"/>
    <mergeCell ref="I57:J57"/>
    <mergeCell ref="K57:L57"/>
    <mergeCell ref="M57:N57"/>
    <mergeCell ref="O57:R57"/>
    <mergeCell ref="U55:V55"/>
    <mergeCell ref="W55:X55"/>
    <mergeCell ref="S57:T57"/>
    <mergeCell ref="U57:V57"/>
    <mergeCell ref="W57:X57"/>
    <mergeCell ref="Y57:Z57"/>
    <mergeCell ref="AA57:AB57"/>
    <mergeCell ref="AC57:AD57"/>
    <mergeCell ref="S56:V56"/>
    <mergeCell ref="W56:Z56"/>
    <mergeCell ref="AA56:AD56"/>
    <mergeCell ref="AA59:AD59"/>
    <mergeCell ref="C60:D60"/>
    <mergeCell ref="E60:F60"/>
    <mergeCell ref="G60:H60"/>
    <mergeCell ref="I60:J60"/>
    <mergeCell ref="K60:L60"/>
    <mergeCell ref="M60:N60"/>
    <mergeCell ref="O60:P60"/>
    <mergeCell ref="Q60:R60"/>
    <mergeCell ref="S60:T60"/>
    <mergeCell ref="C59:F59"/>
    <mergeCell ref="G59:J59"/>
    <mergeCell ref="K59:N59"/>
    <mergeCell ref="O59:R59"/>
    <mergeCell ref="S59:V59"/>
    <mergeCell ref="W59:Z59"/>
    <mergeCell ref="U60:V60"/>
    <mergeCell ref="W60:Z60"/>
    <mergeCell ref="AA60:AD60"/>
    <mergeCell ref="C62:F62"/>
    <mergeCell ref="G62:J62"/>
    <mergeCell ref="K62:N62"/>
    <mergeCell ref="O62:R62"/>
    <mergeCell ref="S62:V62"/>
    <mergeCell ref="W62:Z62"/>
    <mergeCell ref="AA62:AD62"/>
    <mergeCell ref="AC63:AD63"/>
    <mergeCell ref="S64:V64"/>
    <mergeCell ref="C65:F65"/>
    <mergeCell ref="G65:J65"/>
    <mergeCell ref="K65:N65"/>
    <mergeCell ref="O65:R65"/>
    <mergeCell ref="S65:V65"/>
    <mergeCell ref="W65:Z65"/>
    <mergeCell ref="AA65:AD65"/>
    <mergeCell ref="O63:R63"/>
    <mergeCell ref="S63:T63"/>
    <mergeCell ref="U63:V63"/>
    <mergeCell ref="W63:X63"/>
    <mergeCell ref="Y63:Z63"/>
    <mergeCell ref="AA63:AB63"/>
    <mergeCell ref="C63:D63"/>
    <mergeCell ref="E63:F63"/>
    <mergeCell ref="G63:H63"/>
    <mergeCell ref="I63:J63"/>
    <mergeCell ref="K63:L63"/>
    <mergeCell ref="M63:N63"/>
    <mergeCell ref="O66:P66"/>
    <mergeCell ref="Q66:R66"/>
    <mergeCell ref="S66:T66"/>
    <mergeCell ref="U66:V66"/>
    <mergeCell ref="W66:Z66"/>
    <mergeCell ref="AA66:AD66"/>
    <mergeCell ref="C66:D66"/>
    <mergeCell ref="E66:F66"/>
    <mergeCell ref="G66:H66"/>
    <mergeCell ref="I66:J66"/>
    <mergeCell ref="K66:L66"/>
    <mergeCell ref="M66:N66"/>
    <mergeCell ref="AA68:AD68"/>
    <mergeCell ref="C69:D69"/>
    <mergeCell ref="E69:F69"/>
    <mergeCell ref="G69:J69"/>
    <mergeCell ref="K69:L69"/>
    <mergeCell ref="M69:N69"/>
    <mergeCell ref="O69:P69"/>
    <mergeCell ref="Q69:R69"/>
    <mergeCell ref="S69:T69"/>
    <mergeCell ref="U69:V69"/>
    <mergeCell ref="C68:F68"/>
    <mergeCell ref="G68:J68"/>
    <mergeCell ref="K68:N68"/>
    <mergeCell ref="O68:R68"/>
    <mergeCell ref="S68:V68"/>
    <mergeCell ref="W68:Z68"/>
    <mergeCell ref="W69:X69"/>
    <mergeCell ref="Y69:Z69"/>
    <mergeCell ref="AA69:AB69"/>
    <mergeCell ref="AC69:AD69"/>
    <mergeCell ref="C71:F71"/>
    <mergeCell ref="G71:J71"/>
    <mergeCell ref="O71:R71"/>
    <mergeCell ref="S71:V71"/>
    <mergeCell ref="W71:Z71"/>
    <mergeCell ref="AA71:AD71"/>
    <mergeCell ref="AA72:AB72"/>
    <mergeCell ref="AC72:AD72"/>
    <mergeCell ref="B78:B80"/>
    <mergeCell ref="C78:F78"/>
    <mergeCell ref="G78:J78"/>
    <mergeCell ref="K78:N78"/>
    <mergeCell ref="O78:R78"/>
    <mergeCell ref="S78:V78"/>
    <mergeCell ref="W78:Z78"/>
    <mergeCell ref="AA78:AD78"/>
    <mergeCell ref="O72:P72"/>
    <mergeCell ref="Q72:R72"/>
    <mergeCell ref="S72:T72"/>
    <mergeCell ref="U72:V72"/>
    <mergeCell ref="W72:X72"/>
    <mergeCell ref="Y72:Z72"/>
    <mergeCell ref="C72:D72"/>
    <mergeCell ref="E72:F72"/>
    <mergeCell ref="G72:H72"/>
    <mergeCell ref="I72:J72"/>
    <mergeCell ref="K72:L72"/>
    <mergeCell ref="M72:N72"/>
    <mergeCell ref="AE78:AE80"/>
    <mergeCell ref="C79:F79"/>
    <mergeCell ref="G79:J79"/>
    <mergeCell ref="K79:N79"/>
    <mergeCell ref="O79:R79"/>
    <mergeCell ref="S79:V79"/>
    <mergeCell ref="W79:Z79"/>
    <mergeCell ref="AA79:AD79"/>
    <mergeCell ref="C80:D80"/>
    <mergeCell ref="E80:F80"/>
    <mergeCell ref="S80:T80"/>
    <mergeCell ref="U80:V80"/>
    <mergeCell ref="W80:X80"/>
    <mergeCell ref="Y80:Z80"/>
    <mergeCell ref="AA80:AB80"/>
    <mergeCell ref="AC80:AD80"/>
    <mergeCell ref="G80:H80"/>
    <mergeCell ref="I80:J80"/>
    <mergeCell ref="K80:L80"/>
    <mergeCell ref="M80:N80"/>
    <mergeCell ref="O80:P80"/>
    <mergeCell ref="Q80:R80"/>
    <mergeCell ref="A81:A99"/>
    <mergeCell ref="C81:F81"/>
    <mergeCell ref="G81:J81"/>
    <mergeCell ref="K81:N81"/>
    <mergeCell ref="O81:R81"/>
    <mergeCell ref="S81:V81"/>
    <mergeCell ref="S82:T82"/>
    <mergeCell ref="U82:V82"/>
    <mergeCell ref="C85:D85"/>
    <mergeCell ref="E85:F85"/>
    <mergeCell ref="W81:Z81"/>
    <mergeCell ref="AA81:AD81"/>
    <mergeCell ref="C82:D82"/>
    <mergeCell ref="E82:F82"/>
    <mergeCell ref="G82:H82"/>
    <mergeCell ref="I82:J82"/>
    <mergeCell ref="K82:L82"/>
    <mergeCell ref="M82:N82"/>
    <mergeCell ref="O82:P82"/>
    <mergeCell ref="Q82:R82"/>
    <mergeCell ref="W82:Z82"/>
    <mergeCell ref="AA82:AD82"/>
    <mergeCell ref="S83:V83"/>
    <mergeCell ref="C84:F84"/>
    <mergeCell ref="G84:J84"/>
    <mergeCell ref="K84:N84"/>
    <mergeCell ref="O84:R84"/>
    <mergeCell ref="S84:V84"/>
    <mergeCell ref="W84:Z84"/>
    <mergeCell ref="AA84:AD84"/>
    <mergeCell ref="U85:V85"/>
    <mergeCell ref="W85:X85"/>
    <mergeCell ref="Y85:Z85"/>
    <mergeCell ref="AA85:AB85"/>
    <mergeCell ref="AC85:AD85"/>
    <mergeCell ref="C86:F86"/>
    <mergeCell ref="G85:J85"/>
    <mergeCell ref="K85:L85"/>
    <mergeCell ref="M85:N85"/>
    <mergeCell ref="O85:P85"/>
    <mergeCell ref="Q85:R85"/>
    <mergeCell ref="S85:T85"/>
    <mergeCell ref="AA87:AD87"/>
    <mergeCell ref="C88:D88"/>
    <mergeCell ref="E88:F88"/>
    <mergeCell ref="G88:H88"/>
    <mergeCell ref="I88:J88"/>
    <mergeCell ref="K88:L88"/>
    <mergeCell ref="M88:N88"/>
    <mergeCell ref="O88:P88"/>
    <mergeCell ref="Q88:R88"/>
    <mergeCell ref="S88:T88"/>
    <mergeCell ref="C87:F87"/>
    <mergeCell ref="G87:J87"/>
    <mergeCell ref="K87:N87"/>
    <mergeCell ref="O87:R87"/>
    <mergeCell ref="S87:V87"/>
    <mergeCell ref="W87:Z87"/>
    <mergeCell ref="U88:V88"/>
    <mergeCell ref="W88:Z88"/>
    <mergeCell ref="AA88:AD88"/>
    <mergeCell ref="C90:F90"/>
    <mergeCell ref="G90:J90"/>
    <mergeCell ref="K90:N90"/>
    <mergeCell ref="O90:R90"/>
    <mergeCell ref="S90:V90"/>
    <mergeCell ref="W90:Z90"/>
    <mergeCell ref="AA90:AD90"/>
    <mergeCell ref="AC91:AD91"/>
    <mergeCell ref="O92:R92"/>
    <mergeCell ref="C93:F93"/>
    <mergeCell ref="G93:J93"/>
    <mergeCell ref="K93:N93"/>
    <mergeCell ref="O93:R93"/>
    <mergeCell ref="S93:V93"/>
    <mergeCell ref="W93:Z93"/>
    <mergeCell ref="AA93:AD93"/>
    <mergeCell ref="Q91:R91"/>
    <mergeCell ref="S91:T91"/>
    <mergeCell ref="U91:V91"/>
    <mergeCell ref="W91:X91"/>
    <mergeCell ref="Y91:Z91"/>
    <mergeCell ref="AA91:AB91"/>
    <mergeCell ref="C91:D91"/>
    <mergeCell ref="E91:F91"/>
    <mergeCell ref="G91:H91"/>
    <mergeCell ref="I91:J91"/>
    <mergeCell ref="K91:N91"/>
    <mergeCell ref="O91:P91"/>
    <mergeCell ref="AC94:AD94"/>
    <mergeCell ref="C96:F96"/>
    <mergeCell ref="G96:J96"/>
    <mergeCell ref="O96:R96"/>
    <mergeCell ref="S96:V96"/>
    <mergeCell ref="W96:Z96"/>
    <mergeCell ref="AA96:AD96"/>
    <mergeCell ref="Q94:R94"/>
    <mergeCell ref="S94:T94"/>
    <mergeCell ref="U94:V94"/>
    <mergeCell ref="W94:X94"/>
    <mergeCell ref="Y94:Z94"/>
    <mergeCell ref="AA94:AB94"/>
    <mergeCell ref="C94:D94"/>
    <mergeCell ref="E94:F94"/>
    <mergeCell ref="G94:J94"/>
    <mergeCell ref="K94:L94"/>
    <mergeCell ref="M94:N94"/>
    <mergeCell ref="O94:P94"/>
    <mergeCell ref="AA97:AB97"/>
    <mergeCell ref="AC97:AD97"/>
    <mergeCell ref="B103:B105"/>
    <mergeCell ref="C103:F103"/>
    <mergeCell ref="G103:J103"/>
    <mergeCell ref="K103:N103"/>
    <mergeCell ref="O103:R103"/>
    <mergeCell ref="S103:V103"/>
    <mergeCell ref="W103:W105"/>
    <mergeCell ref="C104:F104"/>
    <mergeCell ref="O97:P97"/>
    <mergeCell ref="Q97:R97"/>
    <mergeCell ref="S97:T97"/>
    <mergeCell ref="U97:V97"/>
    <mergeCell ref="W97:X97"/>
    <mergeCell ref="Y97:Z97"/>
    <mergeCell ref="C97:D97"/>
    <mergeCell ref="E97:F97"/>
    <mergeCell ref="G97:H97"/>
    <mergeCell ref="I97:J97"/>
    <mergeCell ref="K97:L97"/>
    <mergeCell ref="M97:N97"/>
    <mergeCell ref="G104:J104"/>
    <mergeCell ref="K104:N104"/>
    <mergeCell ref="O104:R104"/>
    <mergeCell ref="S104:V104"/>
    <mergeCell ref="C105:D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V105"/>
    <mergeCell ref="A106:A124"/>
    <mergeCell ref="C106:F106"/>
    <mergeCell ref="G106:J106"/>
    <mergeCell ref="K106:N106"/>
    <mergeCell ref="O106:R106"/>
    <mergeCell ref="S106:V106"/>
    <mergeCell ref="O107:P107"/>
    <mergeCell ref="Q107:R107"/>
    <mergeCell ref="S107:V107"/>
    <mergeCell ref="S108:V108"/>
    <mergeCell ref="C109:F109"/>
    <mergeCell ref="G109:J109"/>
    <mergeCell ref="K109:N109"/>
    <mergeCell ref="O109:R109"/>
    <mergeCell ref="S109:V109"/>
    <mergeCell ref="C107:D107"/>
    <mergeCell ref="E107:F107"/>
    <mergeCell ref="G107:H107"/>
    <mergeCell ref="I107:J107"/>
    <mergeCell ref="K107:L107"/>
    <mergeCell ref="M107:N107"/>
    <mergeCell ref="Q110:R110"/>
    <mergeCell ref="S110:T110"/>
    <mergeCell ref="U110:V110"/>
    <mergeCell ref="C111:F111"/>
    <mergeCell ref="C112:F112"/>
    <mergeCell ref="G112:J112"/>
    <mergeCell ref="K112:N112"/>
    <mergeCell ref="O112:R112"/>
    <mergeCell ref="S112:V112"/>
    <mergeCell ref="C110:D110"/>
    <mergeCell ref="E110:F110"/>
    <mergeCell ref="G110:J110"/>
    <mergeCell ref="K110:L110"/>
    <mergeCell ref="M110:N110"/>
    <mergeCell ref="O110:P110"/>
    <mergeCell ref="O113:P113"/>
    <mergeCell ref="Q113:R113"/>
    <mergeCell ref="S113:V113"/>
    <mergeCell ref="K114:N114"/>
    <mergeCell ref="C115:F115"/>
    <mergeCell ref="G115:J115"/>
    <mergeCell ref="K115:N115"/>
    <mergeCell ref="O115:R115"/>
    <mergeCell ref="S115:V115"/>
    <mergeCell ref="C113:D113"/>
    <mergeCell ref="E113:F113"/>
    <mergeCell ref="G113:H113"/>
    <mergeCell ref="I113:J113"/>
    <mergeCell ref="K113:L113"/>
    <mergeCell ref="M113:N113"/>
    <mergeCell ref="O116:R116"/>
    <mergeCell ref="S116:T116"/>
    <mergeCell ref="U116:V116"/>
    <mergeCell ref="C118:F118"/>
    <mergeCell ref="G118:J118"/>
    <mergeCell ref="K118:N118"/>
    <mergeCell ref="O118:R118"/>
    <mergeCell ref="S118:V118"/>
    <mergeCell ref="C116:D116"/>
    <mergeCell ref="E116:F116"/>
    <mergeCell ref="G116:H116"/>
    <mergeCell ref="I116:J116"/>
    <mergeCell ref="K116:L116"/>
    <mergeCell ref="M116:N116"/>
    <mergeCell ref="Q119:R119"/>
    <mergeCell ref="S119:T119"/>
    <mergeCell ref="U119:V119"/>
    <mergeCell ref="C121:F121"/>
    <mergeCell ref="G121:J121"/>
    <mergeCell ref="O121:R121"/>
    <mergeCell ref="S121:V121"/>
    <mergeCell ref="C119:D119"/>
    <mergeCell ref="E119:F119"/>
    <mergeCell ref="G119:H119"/>
    <mergeCell ref="I119:J119"/>
    <mergeCell ref="K119:N119"/>
    <mergeCell ref="O119:P119"/>
    <mergeCell ref="O122:P122"/>
    <mergeCell ref="Q122:R122"/>
    <mergeCell ref="S122:T122"/>
    <mergeCell ref="U122:V122"/>
    <mergeCell ref="C122:D122"/>
    <mergeCell ref="E122:F122"/>
    <mergeCell ref="G122:H122"/>
    <mergeCell ref="I122:J122"/>
    <mergeCell ref="K122:L122"/>
    <mergeCell ref="M122:N1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0FB50-20ED-4D4F-BD0F-0FDA56786DE2}">
  <dimension ref="A1:H39"/>
  <sheetViews>
    <sheetView workbookViewId="0"/>
  </sheetViews>
  <sheetFormatPr defaultRowHeight="15" x14ac:dyDescent="0.25"/>
  <cols>
    <col min="1" max="1" width="13.28515625" bestFit="1" customWidth="1"/>
    <col min="2" max="7" width="13.140625" bestFit="1" customWidth="1"/>
    <col min="8" max="8" width="12.42578125" bestFit="1" customWidth="1"/>
  </cols>
  <sheetData>
    <row r="1" spans="1:8" x14ac:dyDescent="0.25">
      <c r="A1" s="121" t="s">
        <v>60</v>
      </c>
      <c r="B1" s="122" t="s">
        <v>23</v>
      </c>
      <c r="C1" s="122" t="s">
        <v>24</v>
      </c>
      <c r="D1" s="122" t="s">
        <v>25</v>
      </c>
      <c r="E1" s="123" t="s">
        <v>26</v>
      </c>
      <c r="F1" s="124" t="s">
        <v>31</v>
      </c>
      <c r="G1" s="123" t="s">
        <v>28</v>
      </c>
      <c r="H1" s="125" t="s">
        <v>29</v>
      </c>
    </row>
    <row r="2" spans="1:8" ht="15.75" thickBot="1" x14ac:dyDescent="0.3">
      <c r="A2" s="126" t="s">
        <v>61</v>
      </c>
      <c r="B2" s="127">
        <v>45859</v>
      </c>
      <c r="C2" s="127">
        <v>45860</v>
      </c>
      <c r="D2" s="127">
        <v>45861</v>
      </c>
      <c r="E2" s="128">
        <v>45862</v>
      </c>
      <c r="F2" s="128">
        <v>45863</v>
      </c>
      <c r="G2" s="128">
        <v>45864</v>
      </c>
      <c r="H2" s="129">
        <v>45865</v>
      </c>
    </row>
    <row r="3" spans="1:8" x14ac:dyDescent="0.25">
      <c r="A3" s="130" t="s">
        <v>62</v>
      </c>
      <c r="B3" s="131" t="s">
        <v>63</v>
      </c>
      <c r="C3" s="132" t="s">
        <v>64</v>
      </c>
      <c r="D3" s="132" t="s">
        <v>64</v>
      </c>
      <c r="E3" s="12" t="s">
        <v>64</v>
      </c>
      <c r="F3" s="12" t="s">
        <v>64</v>
      </c>
      <c r="G3" s="12" t="s">
        <v>64</v>
      </c>
      <c r="H3" s="133" t="s">
        <v>16</v>
      </c>
    </row>
    <row r="4" spans="1:8" x14ac:dyDescent="0.25">
      <c r="A4" s="130" t="s">
        <v>65</v>
      </c>
      <c r="B4" s="132" t="s">
        <v>64</v>
      </c>
      <c r="C4" s="132" t="s">
        <v>64</v>
      </c>
      <c r="D4" s="132" t="s">
        <v>64</v>
      </c>
      <c r="E4" s="134" t="s">
        <v>66</v>
      </c>
      <c r="F4" s="133" t="s">
        <v>16</v>
      </c>
      <c r="G4" s="12" t="s">
        <v>64</v>
      </c>
      <c r="H4" s="12" t="s">
        <v>63</v>
      </c>
    </row>
    <row r="5" spans="1:8" x14ac:dyDescent="0.25">
      <c r="A5" s="130" t="s">
        <v>67</v>
      </c>
      <c r="B5" s="132" t="s">
        <v>64</v>
      </c>
      <c r="C5" s="132" t="s">
        <v>64</v>
      </c>
      <c r="D5" s="132" t="s">
        <v>64</v>
      </c>
      <c r="E5" s="12" t="s">
        <v>64</v>
      </c>
      <c r="F5" s="12" t="s">
        <v>64</v>
      </c>
      <c r="G5" s="133" t="s">
        <v>16</v>
      </c>
      <c r="H5" s="133" t="s">
        <v>16</v>
      </c>
    </row>
    <row r="6" spans="1:8" x14ac:dyDescent="0.25">
      <c r="A6" s="135" t="s">
        <v>68</v>
      </c>
      <c r="B6" s="132" t="s">
        <v>64</v>
      </c>
      <c r="C6" s="133" t="s">
        <v>16</v>
      </c>
      <c r="D6" s="132" t="s">
        <v>64</v>
      </c>
      <c r="E6" s="136" t="s">
        <v>64</v>
      </c>
      <c r="F6" s="12" t="s">
        <v>64</v>
      </c>
      <c r="G6" s="137" t="s">
        <v>66</v>
      </c>
      <c r="H6" s="12" t="s">
        <v>63</v>
      </c>
    </row>
    <row r="7" spans="1:8" x14ac:dyDescent="0.25">
      <c r="A7" s="135" t="s">
        <v>69</v>
      </c>
      <c r="B7" s="132" t="s">
        <v>64</v>
      </c>
      <c r="C7" s="132" t="s">
        <v>64</v>
      </c>
      <c r="D7" s="132" t="s">
        <v>64</v>
      </c>
      <c r="E7" s="12" t="s">
        <v>64</v>
      </c>
      <c r="F7" s="133" t="s">
        <v>16</v>
      </c>
      <c r="G7" s="12" t="s">
        <v>64</v>
      </c>
      <c r="H7" s="12" t="s">
        <v>63</v>
      </c>
    </row>
    <row r="9" spans="1:8" x14ac:dyDescent="0.25">
      <c r="A9" s="121" t="s">
        <v>60</v>
      </c>
      <c r="B9" s="123" t="s">
        <v>23</v>
      </c>
      <c r="C9" s="123" t="s">
        <v>24</v>
      </c>
      <c r="D9" s="123" t="s">
        <v>25</v>
      </c>
      <c r="E9" s="123" t="s">
        <v>26</v>
      </c>
      <c r="F9" s="123" t="s">
        <v>31</v>
      </c>
      <c r="G9" s="123" t="s">
        <v>28</v>
      </c>
      <c r="H9" s="123" t="s">
        <v>29</v>
      </c>
    </row>
    <row r="10" spans="1:8" ht="15.75" thickBot="1" x14ac:dyDescent="0.3">
      <c r="A10" s="126" t="s">
        <v>61</v>
      </c>
      <c r="B10" s="128">
        <v>45866</v>
      </c>
      <c r="C10" s="128">
        <v>45867</v>
      </c>
      <c r="D10" s="128">
        <v>45868</v>
      </c>
      <c r="E10" s="138">
        <v>45869</v>
      </c>
      <c r="F10" s="128">
        <v>45870</v>
      </c>
      <c r="G10" s="128">
        <v>45871</v>
      </c>
      <c r="H10" s="128">
        <v>45872</v>
      </c>
    </row>
    <row r="11" spans="1:8" x14ac:dyDescent="0.25">
      <c r="A11" s="130" t="s">
        <v>62</v>
      </c>
      <c r="B11" s="12" t="s">
        <v>64</v>
      </c>
      <c r="C11" s="12" t="s">
        <v>64</v>
      </c>
      <c r="D11" s="12" t="s">
        <v>64</v>
      </c>
      <c r="E11" s="12" t="s">
        <v>64</v>
      </c>
      <c r="F11" s="137" t="s">
        <v>70</v>
      </c>
      <c r="G11" s="133" t="s">
        <v>16</v>
      </c>
      <c r="H11" s="12" t="s">
        <v>63</v>
      </c>
    </row>
    <row r="12" spans="1:8" x14ac:dyDescent="0.25">
      <c r="A12" s="130" t="s">
        <v>65</v>
      </c>
      <c r="B12" s="12" t="s">
        <v>64</v>
      </c>
      <c r="C12" s="12" t="s">
        <v>64</v>
      </c>
      <c r="D12" s="12" t="s">
        <v>64</v>
      </c>
      <c r="E12" s="133" t="s">
        <v>16</v>
      </c>
      <c r="F12" s="12" t="s">
        <v>64</v>
      </c>
      <c r="G12" s="12" t="s">
        <v>64</v>
      </c>
      <c r="H12" s="12" t="s">
        <v>63</v>
      </c>
    </row>
    <row r="13" spans="1:8" x14ac:dyDescent="0.25">
      <c r="A13" s="130" t="s">
        <v>67</v>
      </c>
      <c r="B13" s="12" t="s">
        <v>64</v>
      </c>
      <c r="C13" s="12" t="s">
        <v>64</v>
      </c>
      <c r="D13" s="12" t="s">
        <v>64</v>
      </c>
      <c r="E13" s="137" t="s">
        <v>70</v>
      </c>
      <c r="F13" s="133" t="s">
        <v>16</v>
      </c>
      <c r="G13" s="12" t="s">
        <v>64</v>
      </c>
      <c r="H13" s="12" t="s">
        <v>63</v>
      </c>
    </row>
    <row r="14" spans="1:8" x14ac:dyDescent="0.25">
      <c r="A14" s="135" t="s">
        <v>68</v>
      </c>
      <c r="B14" s="133" t="s">
        <v>16</v>
      </c>
      <c r="C14" s="12" t="s">
        <v>64</v>
      </c>
      <c r="D14" s="139" t="s">
        <v>66</v>
      </c>
      <c r="E14" s="12" t="s">
        <v>64</v>
      </c>
      <c r="F14" s="12" t="s">
        <v>64</v>
      </c>
      <c r="G14" s="12" t="s">
        <v>64</v>
      </c>
      <c r="H14" s="133" t="s">
        <v>16</v>
      </c>
    </row>
    <row r="15" spans="1:8" x14ac:dyDescent="0.25">
      <c r="A15" s="135" t="s">
        <v>69</v>
      </c>
      <c r="B15" s="12" t="s">
        <v>64</v>
      </c>
      <c r="C15" s="12" t="s">
        <v>64</v>
      </c>
      <c r="D15" s="12" t="s">
        <v>64</v>
      </c>
      <c r="E15" s="12" t="s">
        <v>64</v>
      </c>
      <c r="F15" s="12" t="s">
        <v>64</v>
      </c>
      <c r="G15" s="133" t="s">
        <v>16</v>
      </c>
      <c r="H15" s="133" t="s">
        <v>16</v>
      </c>
    </row>
    <row r="17" spans="1:8" x14ac:dyDescent="0.25">
      <c r="A17" s="121" t="s">
        <v>60</v>
      </c>
      <c r="B17" s="123" t="s">
        <v>23</v>
      </c>
      <c r="C17" s="123" t="s">
        <v>24</v>
      </c>
      <c r="D17" s="123" t="s">
        <v>25</v>
      </c>
      <c r="E17" s="123" t="s">
        <v>26</v>
      </c>
      <c r="F17" s="123" t="s">
        <v>31</v>
      </c>
      <c r="G17" s="123" t="s">
        <v>28</v>
      </c>
      <c r="H17" s="123" t="s">
        <v>29</v>
      </c>
    </row>
    <row r="18" spans="1:8" ht="15.75" thickBot="1" x14ac:dyDescent="0.3">
      <c r="A18" s="126" t="s">
        <v>61</v>
      </c>
      <c r="B18" s="128">
        <v>45873</v>
      </c>
      <c r="C18" s="128">
        <v>45874</v>
      </c>
      <c r="D18" s="128">
        <v>45875</v>
      </c>
      <c r="E18" s="138">
        <v>45876</v>
      </c>
      <c r="F18" s="128">
        <v>45877</v>
      </c>
      <c r="G18" s="128">
        <v>45878</v>
      </c>
      <c r="H18" s="128">
        <v>45879</v>
      </c>
    </row>
    <row r="19" spans="1:8" x14ac:dyDescent="0.25">
      <c r="A19" s="130" t="s">
        <v>62</v>
      </c>
      <c r="B19" s="12" t="s">
        <v>64</v>
      </c>
      <c r="C19" s="12" t="s">
        <v>64</v>
      </c>
      <c r="D19" s="12" t="s">
        <v>64</v>
      </c>
      <c r="E19" s="12" t="s">
        <v>64</v>
      </c>
      <c r="F19" s="137" t="s">
        <v>66</v>
      </c>
      <c r="G19" s="12" t="s">
        <v>64</v>
      </c>
      <c r="H19" s="133" t="s">
        <v>16</v>
      </c>
    </row>
    <row r="20" spans="1:8" x14ac:dyDescent="0.25">
      <c r="A20" s="130" t="s">
        <v>65</v>
      </c>
      <c r="B20" s="12" t="s">
        <v>64</v>
      </c>
      <c r="C20" s="12" t="s">
        <v>64</v>
      </c>
      <c r="D20" s="12" t="s">
        <v>64</v>
      </c>
      <c r="E20" s="132" t="s">
        <v>64</v>
      </c>
      <c r="F20" s="12" t="s">
        <v>64</v>
      </c>
      <c r="G20" s="133" t="s">
        <v>16</v>
      </c>
      <c r="H20" s="133" t="s">
        <v>16</v>
      </c>
    </row>
    <row r="21" spans="1:8" x14ac:dyDescent="0.25">
      <c r="A21" s="130" t="s">
        <v>67</v>
      </c>
      <c r="B21" s="12" t="s">
        <v>64</v>
      </c>
      <c r="C21" s="137" t="s">
        <v>70</v>
      </c>
      <c r="D21" s="133" t="s">
        <v>16</v>
      </c>
      <c r="E21" s="12" t="s">
        <v>64</v>
      </c>
      <c r="F21" s="12" t="s">
        <v>64</v>
      </c>
      <c r="G21" s="12" t="s">
        <v>64</v>
      </c>
      <c r="H21" s="12" t="s">
        <v>63</v>
      </c>
    </row>
    <row r="22" spans="1:8" x14ac:dyDescent="0.25">
      <c r="A22" s="135" t="s">
        <v>68</v>
      </c>
      <c r="B22" s="12" t="s">
        <v>64</v>
      </c>
      <c r="C22" s="12" t="s">
        <v>64</v>
      </c>
      <c r="D22" s="12" t="s">
        <v>64</v>
      </c>
      <c r="E22" s="137" t="s">
        <v>66</v>
      </c>
      <c r="F22" s="133" t="s">
        <v>16</v>
      </c>
      <c r="G22" s="12" t="s">
        <v>64</v>
      </c>
      <c r="H22" s="12" t="s">
        <v>63</v>
      </c>
    </row>
    <row r="23" spans="1:8" x14ac:dyDescent="0.25">
      <c r="A23" s="135" t="s">
        <v>69</v>
      </c>
      <c r="B23" s="12" t="s">
        <v>64</v>
      </c>
      <c r="C23" s="12" t="s">
        <v>64</v>
      </c>
      <c r="D23" s="137" t="s">
        <v>66</v>
      </c>
      <c r="E23" s="133" t="s">
        <v>16</v>
      </c>
      <c r="F23" s="12" t="s">
        <v>64</v>
      </c>
      <c r="G23" s="12" t="s">
        <v>64</v>
      </c>
      <c r="H23" s="12" t="s">
        <v>63</v>
      </c>
    </row>
    <row r="25" spans="1:8" x14ac:dyDescent="0.25">
      <c r="A25" s="126"/>
      <c r="B25" s="123" t="s">
        <v>23</v>
      </c>
      <c r="C25" s="123" t="s">
        <v>24</v>
      </c>
      <c r="D25" s="123" t="s">
        <v>25</v>
      </c>
      <c r="E25" s="123" t="s">
        <v>26</v>
      </c>
      <c r="F25" s="123" t="s">
        <v>31</v>
      </c>
      <c r="G25" s="123" t="s">
        <v>28</v>
      </c>
      <c r="H25" s="123" t="s">
        <v>29</v>
      </c>
    </row>
    <row r="26" spans="1:8" ht="15.75" thickBot="1" x14ac:dyDescent="0.3">
      <c r="A26" s="122"/>
      <c r="B26" s="128">
        <v>45880</v>
      </c>
      <c r="C26" s="128">
        <v>45881</v>
      </c>
      <c r="D26" s="128">
        <v>45882</v>
      </c>
      <c r="E26" s="138">
        <v>45883</v>
      </c>
      <c r="F26" s="128">
        <v>45884</v>
      </c>
      <c r="G26" s="128">
        <v>45885</v>
      </c>
      <c r="H26" s="128">
        <v>45886</v>
      </c>
    </row>
    <row r="27" spans="1:8" x14ac:dyDescent="0.25">
      <c r="A27" s="130" t="s">
        <v>62</v>
      </c>
      <c r="B27" s="140" t="s">
        <v>71</v>
      </c>
      <c r="C27" s="140" t="s">
        <v>71</v>
      </c>
      <c r="D27" s="12" t="s">
        <v>64</v>
      </c>
      <c r="E27" s="12" t="s">
        <v>64</v>
      </c>
      <c r="F27" s="141" t="s">
        <v>16</v>
      </c>
      <c r="G27" s="140" t="s">
        <v>71</v>
      </c>
      <c r="H27" s="12" t="s">
        <v>63</v>
      </c>
    </row>
    <row r="28" spans="1:8" x14ac:dyDescent="0.25">
      <c r="A28" s="130" t="s">
        <v>65</v>
      </c>
      <c r="B28" s="140" t="s">
        <v>71</v>
      </c>
      <c r="C28" s="140" t="s">
        <v>71</v>
      </c>
      <c r="D28" s="137" t="s">
        <v>66</v>
      </c>
      <c r="E28" s="141" t="s">
        <v>16</v>
      </c>
      <c r="F28" s="140" t="s">
        <v>71</v>
      </c>
      <c r="G28" s="140" t="s">
        <v>71</v>
      </c>
      <c r="H28" s="12" t="s">
        <v>63</v>
      </c>
    </row>
    <row r="29" spans="1:8" x14ac:dyDescent="0.25">
      <c r="A29" s="130" t="s">
        <v>67</v>
      </c>
      <c r="B29" s="137" t="s">
        <v>70</v>
      </c>
      <c r="C29" s="141" t="s">
        <v>16</v>
      </c>
      <c r="D29" s="140" t="s">
        <v>71</v>
      </c>
      <c r="E29" s="140" t="s">
        <v>71</v>
      </c>
      <c r="F29" s="140" t="s">
        <v>71</v>
      </c>
      <c r="G29" s="140" t="s">
        <v>71</v>
      </c>
      <c r="H29" s="12" t="s">
        <v>63</v>
      </c>
    </row>
    <row r="30" spans="1:8" x14ac:dyDescent="0.25">
      <c r="A30" s="135" t="s">
        <v>68</v>
      </c>
      <c r="B30" s="140" t="s">
        <v>71</v>
      </c>
      <c r="C30" s="140" t="s">
        <v>71</v>
      </c>
      <c r="D30" s="12" t="s">
        <v>64</v>
      </c>
      <c r="E30" s="140" t="s">
        <v>71</v>
      </c>
      <c r="F30" s="140" t="s">
        <v>71</v>
      </c>
      <c r="G30" s="141" t="s">
        <v>16</v>
      </c>
      <c r="H30" s="133" t="s">
        <v>16</v>
      </c>
    </row>
    <row r="31" spans="1:8" x14ac:dyDescent="0.25">
      <c r="A31" s="135" t="s">
        <v>69</v>
      </c>
      <c r="B31" s="140" t="s">
        <v>71</v>
      </c>
      <c r="C31" s="140" t="s">
        <v>71</v>
      </c>
      <c r="D31" s="132" t="s">
        <v>64</v>
      </c>
      <c r="E31" s="137" t="s">
        <v>66</v>
      </c>
      <c r="F31" s="141" t="s">
        <v>16</v>
      </c>
      <c r="G31" s="140" t="s">
        <v>71</v>
      </c>
      <c r="H31" s="12" t="s">
        <v>63</v>
      </c>
    </row>
    <row r="33" spans="1:6" x14ac:dyDescent="0.25">
      <c r="B33" s="123" t="s">
        <v>23</v>
      </c>
      <c r="C33" s="123" t="s">
        <v>24</v>
      </c>
      <c r="D33" s="123" t="s">
        <v>25</v>
      </c>
      <c r="E33" s="123" t="s">
        <v>26</v>
      </c>
      <c r="F33" s="123" t="s">
        <v>31</v>
      </c>
    </row>
    <row r="34" spans="1:6" ht="15.75" thickBot="1" x14ac:dyDescent="0.3">
      <c r="B34" s="128">
        <v>45887</v>
      </c>
      <c r="C34" s="128">
        <v>45888</v>
      </c>
      <c r="D34" s="128">
        <v>45889</v>
      </c>
      <c r="E34" s="138">
        <v>45890</v>
      </c>
      <c r="F34" s="128">
        <v>45891</v>
      </c>
    </row>
    <row r="35" spans="1:6" x14ac:dyDescent="0.25">
      <c r="A35" s="130" t="s">
        <v>62</v>
      </c>
      <c r="B35" s="140" t="s">
        <v>71</v>
      </c>
      <c r="C35" s="140" t="s">
        <v>71</v>
      </c>
      <c r="D35" s="12" t="s">
        <v>64</v>
      </c>
      <c r="E35" s="141" t="s">
        <v>16</v>
      </c>
      <c r="F35" s="133" t="s">
        <v>16</v>
      </c>
    </row>
    <row r="36" spans="1:6" x14ac:dyDescent="0.25">
      <c r="A36" s="130" t="s">
        <v>65</v>
      </c>
      <c r="B36" s="140" t="s">
        <v>71</v>
      </c>
      <c r="C36" s="141" t="s">
        <v>16</v>
      </c>
      <c r="D36" s="12" t="s">
        <v>64</v>
      </c>
      <c r="E36" s="140" t="s">
        <v>71</v>
      </c>
      <c r="F36" s="133" t="s">
        <v>16</v>
      </c>
    </row>
    <row r="37" spans="1:6" x14ac:dyDescent="0.25">
      <c r="A37" s="130" t="s">
        <v>67</v>
      </c>
      <c r="B37" s="141" t="s">
        <v>16</v>
      </c>
      <c r="C37" s="140" t="s">
        <v>71</v>
      </c>
      <c r="D37" s="141" t="s">
        <v>16</v>
      </c>
      <c r="E37" s="140" t="s">
        <v>71</v>
      </c>
      <c r="F37" s="140" t="s">
        <v>71</v>
      </c>
    </row>
    <row r="38" spans="1:6" x14ac:dyDescent="0.25">
      <c r="A38" s="135" t="s">
        <v>68</v>
      </c>
      <c r="B38" s="140" t="s">
        <v>71</v>
      </c>
      <c r="C38" s="134" t="s">
        <v>72</v>
      </c>
      <c r="D38" s="133" t="s">
        <v>16</v>
      </c>
      <c r="E38" s="140" t="s">
        <v>71</v>
      </c>
      <c r="F38" s="140" t="s">
        <v>71</v>
      </c>
    </row>
    <row r="39" spans="1:6" x14ac:dyDescent="0.25">
      <c r="A39" s="135" t="s">
        <v>69</v>
      </c>
      <c r="B39" s="141" t="s">
        <v>16</v>
      </c>
      <c r="C39" s="140" t="s">
        <v>71</v>
      </c>
      <c r="D39" s="132" t="s">
        <v>64</v>
      </c>
      <c r="E39" s="141" t="s">
        <v>16</v>
      </c>
      <c r="F39" s="132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61AD-D0F4-425F-B21E-25B1D8CB3B33}">
  <dimension ref="A1:P31"/>
  <sheetViews>
    <sheetView tabSelected="1" workbookViewId="0">
      <selection activeCell="R20" sqref="R20"/>
    </sheetView>
  </sheetViews>
  <sheetFormatPr defaultRowHeight="15" x14ac:dyDescent="0.25"/>
  <sheetData>
    <row r="1" spans="1:16" x14ac:dyDescent="0.25">
      <c r="A1" s="126" t="s">
        <v>73</v>
      </c>
    </row>
    <row r="2" spans="1:16" x14ac:dyDescent="0.25">
      <c r="A2" s="121" t="s">
        <v>60</v>
      </c>
      <c r="B2" s="142" t="s">
        <v>25</v>
      </c>
      <c r="C2" s="143"/>
      <c r="D2" s="142" t="s">
        <v>26</v>
      </c>
      <c r="E2" s="143"/>
      <c r="F2" s="142" t="s">
        <v>31</v>
      </c>
      <c r="G2" s="143"/>
      <c r="H2" s="142" t="s">
        <v>28</v>
      </c>
      <c r="I2" s="143"/>
      <c r="J2" s="142" t="s">
        <v>29</v>
      </c>
      <c r="K2" s="143"/>
      <c r="L2" s="142" t="s">
        <v>23</v>
      </c>
      <c r="M2" s="143"/>
      <c r="N2" s="142" t="s">
        <v>24</v>
      </c>
      <c r="O2" s="143"/>
    </row>
    <row r="3" spans="1:16" ht="15.75" thickBot="1" x14ac:dyDescent="0.3">
      <c r="A3" s="126" t="s">
        <v>61</v>
      </c>
      <c r="B3" s="144">
        <v>45861</v>
      </c>
      <c r="C3" s="145"/>
      <c r="D3" s="144">
        <v>45862</v>
      </c>
      <c r="E3" s="145"/>
      <c r="F3" s="144">
        <v>45863</v>
      </c>
      <c r="G3" s="145"/>
      <c r="H3" s="144">
        <v>45864</v>
      </c>
      <c r="I3" s="145"/>
      <c r="J3" s="144">
        <v>45865</v>
      </c>
      <c r="K3" s="145"/>
      <c r="L3" s="144">
        <v>45866</v>
      </c>
      <c r="M3" s="145"/>
      <c r="N3" s="144">
        <v>45867</v>
      </c>
      <c r="O3" s="145"/>
    </row>
    <row r="4" spans="1:16" x14ac:dyDescent="0.25">
      <c r="A4" s="146"/>
      <c r="B4" s="147" t="s">
        <v>74</v>
      </c>
      <c r="C4" s="147" t="s">
        <v>75</v>
      </c>
      <c r="D4" s="147" t="s">
        <v>74</v>
      </c>
      <c r="E4" s="147" t="s">
        <v>75</v>
      </c>
      <c r="F4" s="147" t="s">
        <v>74</v>
      </c>
      <c r="G4" s="147" t="s">
        <v>75</v>
      </c>
      <c r="H4" s="147" t="s">
        <v>74</v>
      </c>
      <c r="I4" s="147" t="s">
        <v>75</v>
      </c>
      <c r="J4" s="147" t="s">
        <v>74</v>
      </c>
      <c r="K4" s="147" t="s">
        <v>75</v>
      </c>
      <c r="L4" s="147" t="s">
        <v>74</v>
      </c>
      <c r="M4" s="147" t="s">
        <v>75</v>
      </c>
      <c r="N4" s="138" t="s">
        <v>74</v>
      </c>
      <c r="O4" s="138" t="s">
        <v>75</v>
      </c>
    </row>
    <row r="5" spans="1:16" x14ac:dyDescent="0.25">
      <c r="A5" s="130" t="s">
        <v>76</v>
      </c>
      <c r="B5" s="148">
        <v>0.3576388888888889</v>
      </c>
      <c r="C5" s="148">
        <v>0.71875</v>
      </c>
      <c r="D5" s="148">
        <v>0.3576388888888889</v>
      </c>
      <c r="E5" s="148">
        <v>0.71875</v>
      </c>
      <c r="F5" s="148">
        <v>0.3576388888888889</v>
      </c>
      <c r="G5" s="148">
        <v>0.71875</v>
      </c>
      <c r="H5" s="148">
        <v>0.3576388888888889</v>
      </c>
      <c r="I5" s="148">
        <v>0.55208333333333337</v>
      </c>
      <c r="J5" s="149">
        <v>0</v>
      </c>
      <c r="K5" s="149">
        <v>0</v>
      </c>
      <c r="L5" s="148">
        <v>0.3576388888888889</v>
      </c>
      <c r="M5" s="148">
        <v>0.71875</v>
      </c>
      <c r="N5" s="148">
        <v>0.3576388888888889</v>
      </c>
      <c r="O5" s="148">
        <v>0.71875</v>
      </c>
      <c r="P5" s="150"/>
    </row>
    <row r="6" spans="1:16" x14ac:dyDescent="0.25">
      <c r="A6" s="130" t="s">
        <v>77</v>
      </c>
      <c r="B6" s="148">
        <v>0.375</v>
      </c>
      <c r="C6" s="148">
        <v>0.79166666666666663</v>
      </c>
      <c r="D6" s="148">
        <v>0.375</v>
      </c>
      <c r="E6" s="148">
        <v>0.79166666666666663</v>
      </c>
      <c r="F6" s="148">
        <v>0.375</v>
      </c>
      <c r="G6" s="148">
        <v>0.70833333333333337</v>
      </c>
      <c r="H6" s="148">
        <v>0.375</v>
      </c>
      <c r="I6" s="148">
        <v>0.64583333333333337</v>
      </c>
      <c r="J6" s="149">
        <v>0</v>
      </c>
      <c r="K6" s="149">
        <v>0</v>
      </c>
      <c r="L6" s="148">
        <v>0.375</v>
      </c>
      <c r="M6" s="148">
        <v>0.70833333333333337</v>
      </c>
      <c r="N6" s="148">
        <v>0.375</v>
      </c>
      <c r="O6" s="148">
        <v>0.70833333333333337</v>
      </c>
      <c r="P6" s="151"/>
    </row>
    <row r="7" spans="1:16" x14ac:dyDescent="0.25">
      <c r="A7" s="152" t="s">
        <v>78</v>
      </c>
      <c r="B7" s="151"/>
      <c r="C7" s="151">
        <f>(C5-B5)-R2</f>
        <v>0.3611111111111111</v>
      </c>
      <c r="D7" s="151"/>
      <c r="E7" s="151">
        <f>(E5-D5)-R2</f>
        <v>0.3611111111111111</v>
      </c>
      <c r="F7" s="151"/>
      <c r="G7" s="151">
        <f>(G5-F5)-R2</f>
        <v>0.3611111111111111</v>
      </c>
      <c r="H7" s="151"/>
      <c r="I7" s="151">
        <f>(I5-H5)-R2</f>
        <v>0.19444444444444448</v>
      </c>
      <c r="J7" s="153"/>
      <c r="K7" s="153">
        <v>0</v>
      </c>
      <c r="L7" s="151"/>
      <c r="M7" s="151">
        <f>(M5-L5)-R2</f>
        <v>0.3611111111111111</v>
      </c>
      <c r="N7" s="151"/>
      <c r="O7" s="151">
        <f>(O5-N5)-R2</f>
        <v>0.3611111111111111</v>
      </c>
      <c r="P7" s="154" t="s">
        <v>79</v>
      </c>
    </row>
    <row r="8" spans="1:16" x14ac:dyDescent="0.25">
      <c r="A8" s="152" t="s">
        <v>80</v>
      </c>
      <c r="C8" s="151">
        <f>(C6-B6)-R2</f>
        <v>0.41666666666666663</v>
      </c>
      <c r="E8" s="151">
        <f>(E6-D6)-R2</f>
        <v>0.41666666666666663</v>
      </c>
      <c r="G8" s="151">
        <f>(G6-F6)-R2</f>
        <v>0.33333333333333337</v>
      </c>
      <c r="I8" s="151">
        <f>(I6-H6)-S2</f>
        <v>0.27083333333333337</v>
      </c>
      <c r="K8" s="153">
        <v>0</v>
      </c>
      <c r="M8" s="151">
        <f>(M6-L6)-R2</f>
        <v>0.33333333333333337</v>
      </c>
      <c r="O8" s="151">
        <f>(O6-N6)-R2</f>
        <v>0.33333333333333337</v>
      </c>
      <c r="P8" s="155" t="s">
        <v>81</v>
      </c>
    </row>
    <row r="9" spans="1:16" x14ac:dyDescent="0.25">
      <c r="A9" s="121" t="s">
        <v>60</v>
      </c>
      <c r="B9" s="142" t="s">
        <v>25</v>
      </c>
      <c r="C9" s="143"/>
      <c r="D9" s="142" t="s">
        <v>26</v>
      </c>
      <c r="E9" s="143"/>
      <c r="F9" s="142" t="s">
        <v>31</v>
      </c>
      <c r="G9" s="143"/>
      <c r="H9" s="142" t="s">
        <v>28</v>
      </c>
      <c r="I9" s="143"/>
      <c r="J9" s="142" t="s">
        <v>29</v>
      </c>
      <c r="K9" s="143"/>
      <c r="L9" s="142" t="s">
        <v>23</v>
      </c>
      <c r="M9" s="143"/>
      <c r="N9" s="142" t="s">
        <v>24</v>
      </c>
      <c r="O9" s="143"/>
    </row>
    <row r="10" spans="1:16" ht="15.75" thickBot="1" x14ac:dyDescent="0.3">
      <c r="A10" s="126" t="s">
        <v>61</v>
      </c>
      <c r="B10" s="144">
        <v>45868</v>
      </c>
      <c r="C10" s="145"/>
      <c r="D10" s="144">
        <v>45869</v>
      </c>
      <c r="E10" s="145"/>
      <c r="F10" s="144">
        <v>45870</v>
      </c>
      <c r="G10" s="145"/>
      <c r="H10" s="144">
        <v>45871</v>
      </c>
      <c r="I10" s="145"/>
      <c r="J10" s="144">
        <v>45872</v>
      </c>
      <c r="K10" s="145"/>
      <c r="L10" s="144">
        <v>45873</v>
      </c>
      <c r="M10" s="145"/>
      <c r="N10" s="144">
        <v>45874</v>
      </c>
      <c r="O10" s="145"/>
    </row>
    <row r="11" spans="1:16" x14ac:dyDescent="0.25">
      <c r="A11" s="146"/>
      <c r="B11" s="147" t="s">
        <v>74</v>
      </c>
      <c r="C11" s="147" t="s">
        <v>75</v>
      </c>
      <c r="D11" s="147" t="s">
        <v>74</v>
      </c>
      <c r="E11" s="147" t="s">
        <v>75</v>
      </c>
      <c r="F11" s="147" t="s">
        <v>74</v>
      </c>
      <c r="G11" s="147" t="s">
        <v>75</v>
      </c>
      <c r="H11" s="147" t="s">
        <v>74</v>
      </c>
      <c r="I11" s="147" t="s">
        <v>75</v>
      </c>
      <c r="J11" s="147" t="s">
        <v>74</v>
      </c>
      <c r="K11" s="147" t="s">
        <v>75</v>
      </c>
      <c r="L11" s="147" t="s">
        <v>74</v>
      </c>
      <c r="M11" s="147" t="s">
        <v>75</v>
      </c>
      <c r="N11" s="138" t="s">
        <v>74</v>
      </c>
      <c r="O11" s="138" t="s">
        <v>75</v>
      </c>
    </row>
    <row r="12" spans="1:16" x14ac:dyDescent="0.25">
      <c r="A12" s="130" t="s">
        <v>76</v>
      </c>
      <c r="B12" s="148">
        <v>0.3576388888888889</v>
      </c>
      <c r="C12" s="148">
        <v>0.71875</v>
      </c>
      <c r="D12" s="148">
        <v>0.3576388888888889</v>
      </c>
      <c r="E12" s="148">
        <v>0.71875</v>
      </c>
      <c r="F12" s="148">
        <v>0.3576388888888889</v>
      </c>
      <c r="G12" s="148">
        <v>0.71875</v>
      </c>
      <c r="H12" s="148">
        <v>0.3576388888888889</v>
      </c>
      <c r="I12" s="148">
        <v>0.55208333333333337</v>
      </c>
      <c r="J12" s="149">
        <v>0</v>
      </c>
      <c r="K12" s="149">
        <v>0</v>
      </c>
      <c r="L12" s="148">
        <v>0.3576388888888889</v>
      </c>
      <c r="M12" s="148">
        <v>0.71875</v>
      </c>
      <c r="N12" s="148">
        <v>0.3576388888888889</v>
      </c>
      <c r="O12" s="148">
        <v>0.71875</v>
      </c>
      <c r="P12" s="151"/>
    </row>
    <row r="13" spans="1:16" x14ac:dyDescent="0.25">
      <c r="A13" s="130" t="s">
        <v>77</v>
      </c>
      <c r="B13" s="148">
        <v>0.375</v>
      </c>
      <c r="C13" s="148">
        <v>0.79166666666666663</v>
      </c>
      <c r="D13" s="148">
        <v>0.375</v>
      </c>
      <c r="E13" s="148">
        <v>0.79166666666666663</v>
      </c>
      <c r="F13" s="148">
        <v>0.375</v>
      </c>
      <c r="G13" s="148">
        <v>0.70833333333333337</v>
      </c>
      <c r="H13" s="148">
        <v>0.375</v>
      </c>
      <c r="I13" s="148">
        <v>0.64583333333333337</v>
      </c>
      <c r="J13" s="149">
        <v>0</v>
      </c>
      <c r="K13" s="149">
        <v>0</v>
      </c>
      <c r="L13" s="148">
        <v>0.375</v>
      </c>
      <c r="M13" s="148">
        <v>0.70833333333333337</v>
      </c>
      <c r="N13" s="148">
        <v>0.375</v>
      </c>
      <c r="O13" s="148">
        <v>0.70833333333333337</v>
      </c>
      <c r="P13" s="151"/>
    </row>
    <row r="15" spans="1:16" x14ac:dyDescent="0.25">
      <c r="A15" s="121" t="s">
        <v>60</v>
      </c>
      <c r="B15" s="142" t="s">
        <v>25</v>
      </c>
      <c r="C15" s="143"/>
      <c r="D15" s="142" t="s">
        <v>26</v>
      </c>
      <c r="E15" s="143"/>
      <c r="F15" s="142" t="s">
        <v>31</v>
      </c>
      <c r="G15" s="143"/>
      <c r="H15" s="142" t="s">
        <v>28</v>
      </c>
      <c r="I15" s="143"/>
      <c r="J15" s="142" t="s">
        <v>29</v>
      </c>
      <c r="K15" s="143"/>
      <c r="L15" s="142" t="s">
        <v>23</v>
      </c>
      <c r="M15" s="143"/>
      <c r="N15" s="142" t="s">
        <v>24</v>
      </c>
      <c r="O15" s="143"/>
    </row>
    <row r="16" spans="1:16" ht="15.75" thickBot="1" x14ac:dyDescent="0.3">
      <c r="A16" s="126" t="s">
        <v>61</v>
      </c>
      <c r="B16" s="144">
        <v>45875</v>
      </c>
      <c r="C16" s="145"/>
      <c r="D16" s="144">
        <v>45876</v>
      </c>
      <c r="E16" s="145"/>
      <c r="F16" s="144">
        <v>45877</v>
      </c>
      <c r="G16" s="145"/>
      <c r="H16" s="144">
        <v>45878</v>
      </c>
      <c r="I16" s="145"/>
      <c r="J16" s="144">
        <v>45879</v>
      </c>
      <c r="K16" s="145"/>
      <c r="L16" s="144">
        <v>45880</v>
      </c>
      <c r="M16" s="145"/>
      <c r="N16" s="144">
        <v>45881</v>
      </c>
      <c r="O16" s="145"/>
    </row>
    <row r="17" spans="1:16" x14ac:dyDescent="0.25">
      <c r="A17" s="146"/>
      <c r="B17" s="147" t="s">
        <v>74</v>
      </c>
      <c r="C17" s="147" t="s">
        <v>75</v>
      </c>
      <c r="D17" s="147" t="s">
        <v>74</v>
      </c>
      <c r="E17" s="147" t="s">
        <v>75</v>
      </c>
      <c r="F17" s="147" t="s">
        <v>74</v>
      </c>
      <c r="G17" s="147" t="s">
        <v>75</v>
      </c>
      <c r="H17" s="147" t="s">
        <v>74</v>
      </c>
      <c r="I17" s="147" t="s">
        <v>75</v>
      </c>
      <c r="J17" s="147" t="s">
        <v>74</v>
      </c>
      <c r="K17" s="147" t="s">
        <v>75</v>
      </c>
      <c r="L17" s="147" t="s">
        <v>74</v>
      </c>
      <c r="M17" s="147" t="s">
        <v>75</v>
      </c>
      <c r="N17" s="138" t="s">
        <v>74</v>
      </c>
      <c r="O17" s="138" t="s">
        <v>75</v>
      </c>
    </row>
    <row r="18" spans="1:16" x14ac:dyDescent="0.25">
      <c r="A18" s="130" t="s">
        <v>76</v>
      </c>
      <c r="B18" s="148">
        <v>0.3576388888888889</v>
      </c>
      <c r="C18" s="148">
        <v>0.71875</v>
      </c>
      <c r="D18" s="148">
        <v>0.3576388888888889</v>
      </c>
      <c r="E18" s="148">
        <v>0.71875</v>
      </c>
      <c r="F18" s="148">
        <v>0.3576388888888889</v>
      </c>
      <c r="G18" s="148">
        <v>0.71875</v>
      </c>
      <c r="H18" s="148">
        <v>0.3576388888888889</v>
      </c>
      <c r="I18" s="148">
        <v>0.55208333333333337</v>
      </c>
      <c r="J18" s="149">
        <v>0</v>
      </c>
      <c r="K18" s="149">
        <v>0</v>
      </c>
      <c r="L18" s="148">
        <v>0.3576388888888889</v>
      </c>
      <c r="M18" s="148">
        <v>0.71875</v>
      </c>
      <c r="N18" s="148">
        <v>0.3576388888888889</v>
      </c>
      <c r="O18" s="148">
        <v>0.71875</v>
      </c>
      <c r="P18" s="151"/>
    </row>
    <row r="19" spans="1:16" x14ac:dyDescent="0.25">
      <c r="A19" s="130" t="s">
        <v>77</v>
      </c>
      <c r="B19" s="148">
        <v>0.375</v>
      </c>
      <c r="C19" s="148">
        <v>0.79166666666666663</v>
      </c>
      <c r="D19" s="148">
        <v>0.375</v>
      </c>
      <c r="E19" s="148">
        <v>0.79166666666666663</v>
      </c>
      <c r="F19" s="148">
        <v>0.375</v>
      </c>
      <c r="G19" s="148">
        <v>0.70833333333333337</v>
      </c>
      <c r="H19" s="148">
        <v>0.375</v>
      </c>
      <c r="I19" s="148">
        <v>0.64583333333333337</v>
      </c>
      <c r="J19" s="149">
        <v>0</v>
      </c>
      <c r="K19" s="149">
        <v>0</v>
      </c>
      <c r="L19" s="148">
        <v>0.375</v>
      </c>
      <c r="M19" s="148">
        <v>0.70833333333333337</v>
      </c>
      <c r="N19" s="148">
        <v>0.375</v>
      </c>
      <c r="O19" s="148">
        <v>0.70833333333333337</v>
      </c>
      <c r="P19" s="151"/>
    </row>
    <row r="21" spans="1:16" x14ac:dyDescent="0.25">
      <c r="A21" s="121" t="s">
        <v>60</v>
      </c>
      <c r="B21" s="142" t="s">
        <v>25</v>
      </c>
      <c r="C21" s="143"/>
      <c r="D21" s="142" t="s">
        <v>26</v>
      </c>
      <c r="E21" s="143"/>
      <c r="F21" s="142" t="s">
        <v>31</v>
      </c>
      <c r="G21" s="143"/>
      <c r="H21" s="142" t="s">
        <v>28</v>
      </c>
      <c r="I21" s="143"/>
      <c r="J21" s="142" t="s">
        <v>29</v>
      </c>
      <c r="K21" s="143"/>
      <c r="L21" s="142" t="s">
        <v>23</v>
      </c>
      <c r="M21" s="143"/>
      <c r="N21" s="142" t="s">
        <v>24</v>
      </c>
      <c r="O21" s="143"/>
    </row>
    <row r="22" spans="1:16" ht="15.75" thickBot="1" x14ac:dyDescent="0.3">
      <c r="A22" s="126" t="s">
        <v>61</v>
      </c>
      <c r="B22" s="144">
        <v>45882</v>
      </c>
      <c r="C22" s="145"/>
      <c r="D22" s="144">
        <v>45883</v>
      </c>
      <c r="E22" s="145"/>
      <c r="F22" s="144">
        <v>45884</v>
      </c>
      <c r="G22" s="145"/>
      <c r="H22" s="144">
        <v>45885</v>
      </c>
      <c r="I22" s="145"/>
      <c r="J22" s="144">
        <v>45886</v>
      </c>
      <c r="K22" s="145"/>
      <c r="L22" s="144">
        <v>45887</v>
      </c>
      <c r="M22" s="145"/>
      <c r="N22" s="144">
        <v>45888</v>
      </c>
      <c r="O22" s="145"/>
    </row>
    <row r="23" spans="1:16" x14ac:dyDescent="0.25">
      <c r="A23" s="122"/>
      <c r="B23" s="147" t="s">
        <v>74</v>
      </c>
      <c r="C23" s="147" t="s">
        <v>75</v>
      </c>
      <c r="D23" s="147" t="s">
        <v>74</v>
      </c>
      <c r="E23" s="147" t="s">
        <v>75</v>
      </c>
      <c r="F23" s="147" t="s">
        <v>74</v>
      </c>
      <c r="G23" s="147" t="s">
        <v>75</v>
      </c>
      <c r="H23" s="147" t="s">
        <v>74</v>
      </c>
      <c r="I23" s="147" t="s">
        <v>75</v>
      </c>
      <c r="J23" s="147" t="s">
        <v>74</v>
      </c>
      <c r="K23" s="147" t="s">
        <v>75</v>
      </c>
      <c r="L23" s="147" t="s">
        <v>74</v>
      </c>
      <c r="M23" s="138" t="s">
        <v>75</v>
      </c>
      <c r="N23" s="138" t="s">
        <v>74</v>
      </c>
      <c r="O23" s="138" t="s">
        <v>75</v>
      </c>
    </row>
    <row r="24" spans="1:16" x14ac:dyDescent="0.25">
      <c r="A24" s="130" t="s">
        <v>76</v>
      </c>
      <c r="B24" s="148">
        <v>0.3576388888888889</v>
      </c>
      <c r="C24" s="148">
        <v>0.71875</v>
      </c>
      <c r="D24" s="148">
        <v>0.3576388888888889</v>
      </c>
      <c r="E24" s="148">
        <v>0.71875</v>
      </c>
      <c r="F24" s="148">
        <v>0.35416666666666669</v>
      </c>
      <c r="G24" s="148">
        <v>0.71875</v>
      </c>
      <c r="H24" s="148">
        <v>0.3576388888888889</v>
      </c>
      <c r="I24" s="148">
        <v>0.55208333333333337</v>
      </c>
      <c r="J24" s="149">
        <v>0</v>
      </c>
      <c r="K24" s="149">
        <v>0</v>
      </c>
      <c r="L24" s="148">
        <v>0.3576388888888889</v>
      </c>
      <c r="M24" s="148">
        <v>0.71875</v>
      </c>
      <c r="N24" s="148">
        <v>0.3576388888888889</v>
      </c>
      <c r="O24" s="148">
        <v>0.71875</v>
      </c>
      <c r="P24" s="151"/>
    </row>
    <row r="25" spans="1:16" x14ac:dyDescent="0.25">
      <c r="A25" s="130" t="s">
        <v>77</v>
      </c>
      <c r="B25" s="148">
        <v>0.375</v>
      </c>
      <c r="C25" s="148">
        <v>0.79166666666666663</v>
      </c>
      <c r="D25" s="148">
        <v>0.375</v>
      </c>
      <c r="E25" s="148">
        <v>0.79166666666666663</v>
      </c>
      <c r="F25" s="148">
        <v>0.375</v>
      </c>
      <c r="G25" s="148">
        <v>0.70833333333333337</v>
      </c>
      <c r="H25" s="148">
        <v>0.375</v>
      </c>
      <c r="I25" s="148">
        <v>0.64583333333333337</v>
      </c>
      <c r="J25" s="149">
        <v>0</v>
      </c>
      <c r="K25" s="149">
        <v>0</v>
      </c>
      <c r="L25" s="148">
        <v>0.375</v>
      </c>
      <c r="M25" s="148">
        <v>0.70833333333333337</v>
      </c>
      <c r="N25" s="148">
        <v>0.375</v>
      </c>
      <c r="O25" s="148">
        <v>0.70833333333333337</v>
      </c>
      <c r="P25" s="151"/>
    </row>
    <row r="27" spans="1:16" x14ac:dyDescent="0.25">
      <c r="A27" s="121" t="s">
        <v>60</v>
      </c>
      <c r="B27" s="142" t="s">
        <v>25</v>
      </c>
      <c r="C27" s="143"/>
      <c r="D27" s="142" t="s">
        <v>26</v>
      </c>
      <c r="E27" s="143"/>
      <c r="F27" s="142" t="s">
        <v>31</v>
      </c>
      <c r="G27" s="143"/>
    </row>
    <row r="28" spans="1:16" x14ac:dyDescent="0.25">
      <c r="A28" s="126" t="s">
        <v>61</v>
      </c>
      <c r="B28" s="156">
        <v>45889</v>
      </c>
      <c r="C28" s="156"/>
      <c r="D28" s="156">
        <v>45890</v>
      </c>
      <c r="E28" s="156"/>
      <c r="F28" s="156">
        <v>45891</v>
      </c>
      <c r="G28" s="156"/>
      <c r="J28" s="157" t="s">
        <v>82</v>
      </c>
      <c r="K28" s="158" t="s">
        <v>83</v>
      </c>
    </row>
    <row r="29" spans="1:16" x14ac:dyDescent="0.25">
      <c r="B29" s="138" t="s">
        <v>74</v>
      </c>
      <c r="C29" s="138" t="s">
        <v>75</v>
      </c>
      <c r="D29" s="138" t="s">
        <v>74</v>
      </c>
      <c r="E29" s="138" t="s">
        <v>75</v>
      </c>
      <c r="F29" s="138" t="s">
        <v>74</v>
      </c>
      <c r="G29" s="138" t="s">
        <v>75</v>
      </c>
      <c r="K29" s="158" t="s">
        <v>84</v>
      </c>
    </row>
    <row r="30" spans="1:16" x14ac:dyDescent="0.25">
      <c r="A30" s="130" t="s">
        <v>76</v>
      </c>
      <c r="B30" s="148">
        <v>0.3576388888888889</v>
      </c>
      <c r="C30" s="148">
        <v>0.71875</v>
      </c>
      <c r="D30" s="148">
        <v>0.3576388888888889</v>
      </c>
      <c r="E30" s="148">
        <v>0.71875</v>
      </c>
      <c r="F30" s="148">
        <v>0.3576388888888889</v>
      </c>
      <c r="G30" s="148">
        <v>0.71875</v>
      </c>
    </row>
    <row r="31" spans="1:16" x14ac:dyDescent="0.25">
      <c r="A31" s="130" t="s">
        <v>77</v>
      </c>
      <c r="B31" s="148">
        <v>0.375</v>
      </c>
      <c r="C31" s="148">
        <v>0.79166666666666663</v>
      </c>
      <c r="D31" s="148">
        <v>0.375</v>
      </c>
      <c r="E31" s="148">
        <v>0.79166666666666663</v>
      </c>
      <c r="F31" s="148">
        <v>0.375</v>
      </c>
      <c r="G31" s="148">
        <v>0.70833333333333337</v>
      </c>
      <c r="H31" s="151"/>
      <c r="I31" s="151"/>
      <c r="J31" s="151"/>
      <c r="K31" s="151"/>
      <c r="L31" s="151"/>
      <c r="M31" s="151"/>
    </row>
  </sheetData>
  <mergeCells count="62">
    <mergeCell ref="B27:C27"/>
    <mergeCell ref="D27:E27"/>
    <mergeCell ref="F27:G27"/>
    <mergeCell ref="B28:C28"/>
    <mergeCell ref="D28:E28"/>
    <mergeCell ref="F28:G28"/>
    <mergeCell ref="N21:O21"/>
    <mergeCell ref="B22:C22"/>
    <mergeCell ref="D22:E22"/>
    <mergeCell ref="F22:G22"/>
    <mergeCell ref="H22:I22"/>
    <mergeCell ref="J22:K22"/>
    <mergeCell ref="L22:M22"/>
    <mergeCell ref="N22:O22"/>
    <mergeCell ref="B21:C21"/>
    <mergeCell ref="D21:E21"/>
    <mergeCell ref="F21:G21"/>
    <mergeCell ref="H21:I21"/>
    <mergeCell ref="J21:K21"/>
    <mergeCell ref="L21:M21"/>
    <mergeCell ref="N15:O15"/>
    <mergeCell ref="B16:C16"/>
    <mergeCell ref="D16:E16"/>
    <mergeCell ref="F16:G16"/>
    <mergeCell ref="H16:I16"/>
    <mergeCell ref="J16:K16"/>
    <mergeCell ref="L16:M16"/>
    <mergeCell ref="N16:O16"/>
    <mergeCell ref="B15:C15"/>
    <mergeCell ref="D15:E15"/>
    <mergeCell ref="F15:G15"/>
    <mergeCell ref="H15:I15"/>
    <mergeCell ref="J15:K15"/>
    <mergeCell ref="L15:M15"/>
    <mergeCell ref="N9:O9"/>
    <mergeCell ref="B10:C10"/>
    <mergeCell ref="D10:E10"/>
    <mergeCell ref="F10:G10"/>
    <mergeCell ref="H10:I10"/>
    <mergeCell ref="J10:K10"/>
    <mergeCell ref="L10:M10"/>
    <mergeCell ref="N10:O10"/>
    <mergeCell ref="B9:C9"/>
    <mergeCell ref="D9:E9"/>
    <mergeCell ref="F9:G9"/>
    <mergeCell ref="H9:I9"/>
    <mergeCell ref="J9:K9"/>
    <mergeCell ref="L9:M9"/>
    <mergeCell ref="N2:O2"/>
    <mergeCell ref="B3:C3"/>
    <mergeCell ref="D3:E3"/>
    <mergeCell ref="F3:G3"/>
    <mergeCell ref="H3:I3"/>
    <mergeCell ref="J3:K3"/>
    <mergeCell ref="L3:M3"/>
    <mergeCell ref="N3:O3"/>
    <mergeCell ref="B2:C2"/>
    <mergeCell ref="D2:E2"/>
    <mergeCell ref="F2:G2"/>
    <mergeCell ref="H2:I2"/>
    <mergeCell ref="J2:K2"/>
    <mergeCell ref="L2:M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0F69F-4C37-4E94-BBA3-096598BEDF88}">
  <dimension ref="A1:AG94"/>
  <sheetViews>
    <sheetView workbookViewId="0">
      <selection sqref="A1:D1"/>
    </sheetView>
  </sheetViews>
  <sheetFormatPr defaultRowHeight="15" x14ac:dyDescent="0.25"/>
  <sheetData>
    <row r="1" spans="1:33" ht="15.75" thickBot="1" x14ac:dyDescent="0.3">
      <c r="A1" s="159" t="s">
        <v>23</v>
      </c>
      <c r="B1" s="160"/>
      <c r="C1" s="160"/>
      <c r="D1" s="161"/>
      <c r="E1" s="162" t="s">
        <v>53</v>
      </c>
      <c r="F1" s="160"/>
      <c r="G1" s="160"/>
      <c r="H1" s="161"/>
      <c r="I1" s="162" t="s">
        <v>54</v>
      </c>
      <c r="J1" s="160"/>
      <c r="K1" s="160"/>
      <c r="L1" s="163"/>
      <c r="M1" s="164" t="s">
        <v>55</v>
      </c>
      <c r="N1" s="160"/>
      <c r="O1" s="160"/>
      <c r="P1" s="163"/>
      <c r="Q1" s="164" t="s">
        <v>56</v>
      </c>
      <c r="R1" s="160"/>
      <c r="S1" s="160"/>
      <c r="T1" s="163"/>
      <c r="U1" s="164" t="s">
        <v>57</v>
      </c>
      <c r="V1" s="160"/>
      <c r="W1" s="160"/>
      <c r="X1" s="163"/>
      <c r="Y1" s="164" t="s">
        <v>29</v>
      </c>
      <c r="Z1" s="160"/>
      <c r="AA1" s="160"/>
      <c r="AB1" s="165"/>
      <c r="AC1" s="166"/>
      <c r="AD1" s="33" t="s">
        <v>85</v>
      </c>
      <c r="AE1" s="167">
        <v>5.2083333333333336E-2</v>
      </c>
      <c r="AF1" s="168">
        <v>4.1666666666666664E-2</v>
      </c>
    </row>
    <row r="2" spans="1:33" ht="15.75" thickBot="1" x14ac:dyDescent="0.3">
      <c r="A2" s="169" t="s">
        <v>86</v>
      </c>
      <c r="B2" s="170"/>
      <c r="C2" s="170"/>
      <c r="D2" s="171"/>
      <c r="E2" s="169" t="s">
        <v>87</v>
      </c>
      <c r="F2" s="170"/>
      <c r="G2" s="170"/>
      <c r="H2" s="171"/>
      <c r="I2" s="169" t="s">
        <v>88</v>
      </c>
      <c r="J2" s="170"/>
      <c r="K2" s="170"/>
      <c r="L2" s="171"/>
      <c r="M2" s="169" t="s">
        <v>89</v>
      </c>
      <c r="N2" s="170"/>
      <c r="O2" s="170"/>
      <c r="P2" s="171"/>
      <c r="Q2" s="169" t="s">
        <v>90</v>
      </c>
      <c r="R2" s="170"/>
      <c r="S2" s="170"/>
      <c r="T2" s="171"/>
      <c r="U2" s="169" t="s">
        <v>91</v>
      </c>
      <c r="V2" s="170"/>
      <c r="W2" s="170"/>
      <c r="X2" s="171"/>
      <c r="Y2" s="169" t="s">
        <v>92</v>
      </c>
      <c r="Z2" s="170"/>
      <c r="AA2" s="170"/>
      <c r="AB2" s="171"/>
      <c r="AC2" s="166"/>
      <c r="AD2" s="33" t="s">
        <v>93</v>
      </c>
      <c r="AE2" s="167">
        <v>2.0833333333333332E-2</v>
      </c>
    </row>
    <row r="3" spans="1:33" ht="15.75" thickBot="1" x14ac:dyDescent="0.3">
      <c r="A3" s="172" t="s">
        <v>38</v>
      </c>
      <c r="B3" s="173"/>
      <c r="C3" s="172" t="s">
        <v>39</v>
      </c>
      <c r="D3" s="173"/>
      <c r="E3" s="172" t="s">
        <v>38</v>
      </c>
      <c r="F3" s="173"/>
      <c r="G3" s="172" t="s">
        <v>39</v>
      </c>
      <c r="H3" s="173"/>
      <c r="I3" s="172" t="s">
        <v>38</v>
      </c>
      <c r="J3" s="173"/>
      <c r="K3" s="172" t="s">
        <v>39</v>
      </c>
      <c r="L3" s="173"/>
      <c r="M3" s="172" t="s">
        <v>38</v>
      </c>
      <c r="N3" s="173"/>
      <c r="O3" s="172" t="s">
        <v>39</v>
      </c>
      <c r="P3" s="173"/>
      <c r="Q3" s="172" t="s">
        <v>38</v>
      </c>
      <c r="R3" s="173"/>
      <c r="S3" s="172" t="s">
        <v>39</v>
      </c>
      <c r="T3" s="173"/>
      <c r="U3" s="172" t="s">
        <v>38</v>
      </c>
      <c r="V3" s="173"/>
      <c r="W3" s="172" t="s">
        <v>39</v>
      </c>
      <c r="X3" s="173"/>
      <c r="Y3" s="174" t="s">
        <v>38</v>
      </c>
      <c r="Z3" s="175"/>
      <c r="AA3" s="174" t="s">
        <v>39</v>
      </c>
      <c r="AB3" s="175"/>
      <c r="AC3" s="166"/>
      <c r="AD3" s="167" t="s">
        <v>94</v>
      </c>
      <c r="AE3" s="167">
        <v>3.125E-2</v>
      </c>
    </row>
    <row r="4" spans="1:33" ht="15.75" thickBot="1" x14ac:dyDescent="0.3">
      <c r="A4" s="176" t="s">
        <v>95</v>
      </c>
      <c r="B4" s="177"/>
      <c r="C4" s="176" t="s">
        <v>95</v>
      </c>
      <c r="D4" s="178"/>
      <c r="E4" s="176" t="s">
        <v>95</v>
      </c>
      <c r="F4" s="177"/>
      <c r="G4" s="176" t="s">
        <v>95</v>
      </c>
      <c r="H4" s="178"/>
      <c r="I4" s="176" t="s">
        <v>95</v>
      </c>
      <c r="J4" s="177"/>
      <c r="K4" s="176" t="s">
        <v>95</v>
      </c>
      <c r="L4" s="177"/>
      <c r="M4" s="179" t="s">
        <v>96</v>
      </c>
      <c r="N4" s="180"/>
      <c r="O4" s="179" t="s">
        <v>96</v>
      </c>
      <c r="P4" s="180"/>
      <c r="Q4" s="179" t="s">
        <v>96</v>
      </c>
      <c r="R4" s="180"/>
      <c r="S4" s="179" t="s">
        <v>96</v>
      </c>
      <c r="T4" s="180"/>
      <c r="U4" s="179" t="s">
        <v>96</v>
      </c>
      <c r="V4" s="180"/>
      <c r="W4" s="178" t="s">
        <v>95</v>
      </c>
      <c r="X4" s="178"/>
      <c r="Y4" s="179" t="s">
        <v>96</v>
      </c>
      <c r="Z4" s="180"/>
      <c r="AA4" s="179" t="s">
        <v>96</v>
      </c>
      <c r="AB4" s="180"/>
      <c r="AC4" s="181"/>
      <c r="AD4" s="182"/>
      <c r="AE4" s="182"/>
      <c r="AF4" s="182"/>
      <c r="AG4" s="182"/>
    </row>
    <row r="5" spans="1:33" ht="15.75" thickBot="1" x14ac:dyDescent="0.3">
      <c r="A5" s="81">
        <f>(C6-A6)-AF1</f>
        <v>0.3125</v>
      </c>
      <c r="B5" s="87"/>
      <c r="C5" s="87"/>
      <c r="D5" s="88"/>
      <c r="E5" s="81">
        <f>(G6-E6)-AF1</f>
        <v>0.3125</v>
      </c>
      <c r="F5" s="87"/>
      <c r="G5" s="87"/>
      <c r="H5" s="88"/>
      <c r="I5" s="183" t="s">
        <v>16</v>
      </c>
      <c r="J5" s="184"/>
      <c r="K5" s="184"/>
      <c r="L5" s="185"/>
      <c r="M5" s="81">
        <f>(O6-M6)-AE1</f>
        <v>0.39583333333333337</v>
      </c>
      <c r="N5" s="87"/>
      <c r="O5" s="87"/>
      <c r="P5" s="88"/>
      <c r="Q5" s="81">
        <f>(S6-Q6)-AE1</f>
        <v>0.39583333333333337</v>
      </c>
      <c r="R5" s="87"/>
      <c r="S5" s="87"/>
      <c r="T5" s="88"/>
      <c r="U5" s="81">
        <f>(W6-U6)-AE2</f>
        <v>0.20833333333333334</v>
      </c>
      <c r="V5" s="87"/>
      <c r="W5" s="87"/>
      <c r="X5" s="88"/>
      <c r="Y5" s="81">
        <f>(AA6-Y6)-AE3</f>
        <v>0.25000000000000006</v>
      </c>
      <c r="Z5" s="87"/>
      <c r="AA5" s="87"/>
      <c r="AB5" s="88"/>
      <c r="AC5" s="186">
        <f>A5+E5+M5+Q5+U5+Y5</f>
        <v>1.8750000000000002</v>
      </c>
      <c r="AD5" s="33"/>
      <c r="AE5" s="167"/>
      <c r="AF5" s="33"/>
    </row>
    <row r="6" spans="1:33" ht="15.75" thickBot="1" x14ac:dyDescent="0.3">
      <c r="A6" s="77">
        <v>0.36458333333333331</v>
      </c>
      <c r="B6" s="78"/>
      <c r="C6" s="79">
        <v>0.71875</v>
      </c>
      <c r="D6" s="80"/>
      <c r="E6" s="77">
        <v>0.36458333333333331</v>
      </c>
      <c r="F6" s="78"/>
      <c r="G6" s="79">
        <v>0.71875</v>
      </c>
      <c r="H6" s="80"/>
      <c r="I6" s="187"/>
      <c r="J6" s="188"/>
      <c r="K6" s="188"/>
      <c r="L6" s="189"/>
      <c r="M6" s="77">
        <v>0.36458333333333331</v>
      </c>
      <c r="N6" s="78"/>
      <c r="O6" s="79">
        <v>0.8125</v>
      </c>
      <c r="P6" s="80"/>
      <c r="Q6" s="77">
        <v>0.36458333333333331</v>
      </c>
      <c r="R6" s="78"/>
      <c r="S6" s="79">
        <v>0.8125</v>
      </c>
      <c r="T6" s="80"/>
      <c r="U6" s="77">
        <v>0.36458333333333331</v>
      </c>
      <c r="V6" s="78"/>
      <c r="W6" s="79">
        <v>0.59375</v>
      </c>
      <c r="X6" s="80"/>
      <c r="Y6" s="77">
        <v>0.36458333333333331</v>
      </c>
      <c r="Z6" s="78"/>
      <c r="AA6" s="79">
        <v>0.64583333333333337</v>
      </c>
      <c r="AB6" s="80"/>
      <c r="AC6" s="186"/>
      <c r="AD6" s="33"/>
      <c r="AE6" s="167"/>
      <c r="AF6" s="33"/>
    </row>
    <row r="7" spans="1:33" ht="15.75" thickBot="1" x14ac:dyDescent="0.3">
      <c r="A7" s="190" t="s">
        <v>97</v>
      </c>
      <c r="B7" s="191"/>
      <c r="C7" s="191"/>
      <c r="D7" s="192"/>
      <c r="E7" s="190" t="s">
        <v>97</v>
      </c>
      <c r="F7" s="191"/>
      <c r="G7" s="191"/>
      <c r="H7" s="192"/>
      <c r="I7" s="193"/>
      <c r="J7" s="194"/>
      <c r="K7" s="194"/>
      <c r="L7" s="195"/>
      <c r="M7" s="196" t="s">
        <v>98</v>
      </c>
      <c r="N7" s="197"/>
      <c r="O7" s="197"/>
      <c r="P7" s="198"/>
      <c r="Q7" s="196" t="s">
        <v>98</v>
      </c>
      <c r="R7" s="197"/>
      <c r="S7" s="197"/>
      <c r="T7" s="198"/>
      <c r="U7" s="199" t="s">
        <v>99</v>
      </c>
      <c r="V7" s="200"/>
      <c r="W7" s="200"/>
      <c r="X7" s="201"/>
      <c r="Y7" s="199" t="s">
        <v>99</v>
      </c>
      <c r="Z7" s="200"/>
      <c r="AA7" s="200"/>
      <c r="AB7" s="201"/>
      <c r="AC7" s="186"/>
      <c r="AD7" s="33"/>
      <c r="AE7" s="167"/>
      <c r="AF7" s="33"/>
    </row>
    <row r="8" spans="1:33" x14ac:dyDescent="0.25">
      <c r="AC8" s="202"/>
    </row>
    <row r="9" spans="1:33" ht="15.75" thickBot="1" x14ac:dyDescent="0.3">
      <c r="AC9" s="202"/>
    </row>
    <row r="10" spans="1:33" ht="15.75" thickBot="1" x14ac:dyDescent="0.3">
      <c r="A10" s="159" t="s">
        <v>23</v>
      </c>
      <c r="B10" s="160"/>
      <c r="C10" s="160"/>
      <c r="D10" s="161"/>
      <c r="E10" s="162" t="s">
        <v>53</v>
      </c>
      <c r="F10" s="160"/>
      <c r="G10" s="160"/>
      <c r="H10" s="161"/>
      <c r="I10" s="162" t="s">
        <v>54</v>
      </c>
      <c r="J10" s="160"/>
      <c r="K10" s="160"/>
      <c r="L10" s="163"/>
      <c r="M10" s="164" t="s">
        <v>55</v>
      </c>
      <c r="N10" s="160"/>
      <c r="O10" s="160"/>
      <c r="P10" s="163"/>
      <c r="Q10" s="164" t="s">
        <v>56</v>
      </c>
      <c r="R10" s="160"/>
      <c r="S10" s="160"/>
      <c r="T10" s="163"/>
      <c r="U10" s="164" t="s">
        <v>57</v>
      </c>
      <c r="V10" s="160"/>
      <c r="W10" s="160"/>
      <c r="X10" s="163"/>
      <c r="Y10" s="164" t="s">
        <v>29</v>
      </c>
      <c r="Z10" s="160"/>
      <c r="AA10" s="160"/>
      <c r="AB10" s="165"/>
      <c r="AC10" s="166"/>
      <c r="AD10" s="33" t="s">
        <v>85</v>
      </c>
      <c r="AE10" s="167">
        <v>5.2083333333333336E-2</v>
      </c>
      <c r="AF10" s="168">
        <v>4.1666666666666664E-2</v>
      </c>
    </row>
    <row r="11" spans="1:33" ht="15.75" thickBot="1" x14ac:dyDescent="0.3">
      <c r="A11" s="169" t="s">
        <v>100</v>
      </c>
      <c r="B11" s="170"/>
      <c r="C11" s="170"/>
      <c r="D11" s="171"/>
      <c r="E11" s="169" t="s">
        <v>101</v>
      </c>
      <c r="F11" s="170"/>
      <c r="G11" s="170"/>
      <c r="H11" s="171"/>
      <c r="I11" s="169" t="s">
        <v>102</v>
      </c>
      <c r="J11" s="170"/>
      <c r="K11" s="170"/>
      <c r="L11" s="171"/>
      <c r="M11" s="169" t="s">
        <v>103</v>
      </c>
      <c r="N11" s="170"/>
      <c r="O11" s="170"/>
      <c r="P11" s="171"/>
      <c r="Q11" s="169" t="s">
        <v>104</v>
      </c>
      <c r="R11" s="170"/>
      <c r="S11" s="170"/>
      <c r="T11" s="171"/>
      <c r="U11" s="169" t="s">
        <v>105</v>
      </c>
      <c r="V11" s="170"/>
      <c r="W11" s="170"/>
      <c r="X11" s="171"/>
      <c r="Y11" s="169" t="s">
        <v>106</v>
      </c>
      <c r="Z11" s="170"/>
      <c r="AA11" s="170"/>
      <c r="AB11" s="171"/>
      <c r="AC11" s="166"/>
      <c r="AD11" s="33" t="s">
        <v>93</v>
      </c>
      <c r="AE11" s="167">
        <v>2.0833333333333332E-2</v>
      </c>
    </row>
    <row r="12" spans="1:33" ht="15.75" thickBot="1" x14ac:dyDescent="0.3">
      <c r="A12" s="172" t="s">
        <v>38</v>
      </c>
      <c r="B12" s="173"/>
      <c r="C12" s="172" t="s">
        <v>39</v>
      </c>
      <c r="D12" s="173"/>
      <c r="E12" s="172" t="s">
        <v>38</v>
      </c>
      <c r="F12" s="173"/>
      <c r="G12" s="172" t="s">
        <v>39</v>
      </c>
      <c r="H12" s="173"/>
      <c r="I12" s="172" t="s">
        <v>38</v>
      </c>
      <c r="J12" s="173"/>
      <c r="K12" s="172" t="s">
        <v>39</v>
      </c>
      <c r="L12" s="173"/>
      <c r="M12" s="172" t="s">
        <v>38</v>
      </c>
      <c r="N12" s="173"/>
      <c r="O12" s="172" t="s">
        <v>39</v>
      </c>
      <c r="P12" s="173"/>
      <c r="Q12" s="172" t="s">
        <v>38</v>
      </c>
      <c r="R12" s="173"/>
      <c r="S12" s="172" t="s">
        <v>39</v>
      </c>
      <c r="T12" s="173"/>
      <c r="U12" s="172" t="s">
        <v>38</v>
      </c>
      <c r="V12" s="173"/>
      <c r="W12" s="172" t="s">
        <v>39</v>
      </c>
      <c r="X12" s="173"/>
      <c r="Y12" s="172" t="s">
        <v>38</v>
      </c>
      <c r="Z12" s="173"/>
      <c r="AA12" s="172" t="s">
        <v>39</v>
      </c>
      <c r="AB12" s="173"/>
      <c r="AC12" s="166"/>
      <c r="AD12" s="167" t="s">
        <v>94</v>
      </c>
      <c r="AE12" s="167">
        <v>3.125E-2</v>
      </c>
    </row>
    <row r="13" spans="1:33" ht="15.75" thickBot="1" x14ac:dyDescent="0.3">
      <c r="A13" s="176" t="s">
        <v>95</v>
      </c>
      <c r="B13" s="177"/>
      <c r="C13" s="176" t="s">
        <v>95</v>
      </c>
      <c r="D13" s="177"/>
      <c r="E13" s="176" t="s">
        <v>95</v>
      </c>
      <c r="F13" s="177"/>
      <c r="G13" s="176" t="s">
        <v>95</v>
      </c>
      <c r="H13" s="177"/>
      <c r="I13" s="176" t="s">
        <v>95</v>
      </c>
      <c r="J13" s="178"/>
      <c r="K13" s="203" t="s">
        <v>107</v>
      </c>
      <c r="L13" s="204"/>
      <c r="M13" s="176" t="s">
        <v>95</v>
      </c>
      <c r="N13" s="177"/>
      <c r="O13" s="205" t="s">
        <v>96</v>
      </c>
      <c r="P13" s="206"/>
      <c r="Q13" s="176" t="s">
        <v>95</v>
      </c>
      <c r="R13" s="177"/>
      <c r="S13" s="205" t="s">
        <v>96</v>
      </c>
      <c r="T13" s="207"/>
      <c r="U13" s="207" t="s">
        <v>96</v>
      </c>
      <c r="V13" s="207"/>
      <c r="W13" s="203" t="s">
        <v>107</v>
      </c>
      <c r="X13" s="203"/>
      <c r="Y13" s="203" t="s">
        <v>107</v>
      </c>
      <c r="Z13" s="203"/>
      <c r="AA13" s="203" t="s">
        <v>107</v>
      </c>
      <c r="AB13" s="203"/>
      <c r="AC13" s="181"/>
      <c r="AD13" s="182"/>
      <c r="AE13" s="182"/>
      <c r="AF13" s="182"/>
      <c r="AG13" s="182"/>
    </row>
    <row r="14" spans="1:33" ht="15.75" thickBot="1" x14ac:dyDescent="0.3">
      <c r="A14" s="81">
        <f>(C15-A15)-AF10</f>
        <v>0.3125</v>
      </c>
      <c r="B14" s="87"/>
      <c r="C14" s="87"/>
      <c r="D14" s="88"/>
      <c r="E14" s="81">
        <f>(G15-E15)-AF10</f>
        <v>0.3125</v>
      </c>
      <c r="F14" s="87"/>
      <c r="G14" s="87"/>
      <c r="H14" s="88"/>
      <c r="I14" s="81">
        <f>(K15-I15)-AF10</f>
        <v>0.3125</v>
      </c>
      <c r="J14" s="87"/>
      <c r="K14" s="87"/>
      <c r="L14" s="88"/>
      <c r="M14" s="81">
        <f>(O15-M15)-AE10</f>
        <v>0.3125</v>
      </c>
      <c r="N14" s="87"/>
      <c r="O14" s="87"/>
      <c r="P14" s="88"/>
      <c r="Q14" s="81">
        <f>(S15-Q15)-AE10</f>
        <v>0.39583333333333337</v>
      </c>
      <c r="R14" s="87"/>
      <c r="S14" s="87"/>
      <c r="T14" s="88"/>
      <c r="U14" s="81">
        <f>(W15-U15)-AE12</f>
        <v>0.19791666666666669</v>
      </c>
      <c r="V14" s="87"/>
      <c r="W14" s="87"/>
      <c r="X14" s="88"/>
      <c r="Y14" s="183" t="s">
        <v>16</v>
      </c>
      <c r="Z14" s="184"/>
      <c r="AA14" s="184"/>
      <c r="AB14" s="185"/>
      <c r="AC14" s="186">
        <f>A14+E14+M14+Q14+U14+I14</f>
        <v>1.8437500000000002</v>
      </c>
      <c r="AD14" s="33"/>
      <c r="AE14" s="167"/>
      <c r="AF14" s="33"/>
    </row>
    <row r="15" spans="1:33" ht="15.75" thickBot="1" x14ac:dyDescent="0.3">
      <c r="A15" s="77">
        <v>0.36458333333333331</v>
      </c>
      <c r="B15" s="78"/>
      <c r="C15" s="79">
        <v>0.71875</v>
      </c>
      <c r="D15" s="80"/>
      <c r="E15" s="77">
        <v>0.36458333333333331</v>
      </c>
      <c r="F15" s="78"/>
      <c r="G15" s="79">
        <v>0.71875</v>
      </c>
      <c r="H15" s="80"/>
      <c r="I15" s="77">
        <v>0.36458333333333331</v>
      </c>
      <c r="J15" s="78"/>
      <c r="K15" s="79">
        <v>0.71875</v>
      </c>
      <c r="L15" s="80"/>
      <c r="M15" s="77">
        <v>0.36458333333333331</v>
      </c>
      <c r="N15" s="78"/>
      <c r="O15" s="79">
        <v>0.72916666666666663</v>
      </c>
      <c r="P15" s="80"/>
      <c r="Q15" s="77">
        <v>0.36458333333333331</v>
      </c>
      <c r="R15" s="78"/>
      <c r="S15" s="79">
        <v>0.8125</v>
      </c>
      <c r="T15" s="80"/>
      <c r="U15" s="77">
        <v>0.36458333333333331</v>
      </c>
      <c r="V15" s="78"/>
      <c r="W15" s="79">
        <v>0.59375</v>
      </c>
      <c r="X15" s="80"/>
      <c r="Y15" s="187"/>
      <c r="Z15" s="188"/>
      <c r="AA15" s="188"/>
      <c r="AB15" s="189"/>
      <c r="AC15" s="186"/>
      <c r="AD15" s="33"/>
      <c r="AE15" s="167"/>
      <c r="AF15" s="33"/>
    </row>
    <row r="16" spans="1:33" ht="15.75" thickBot="1" x14ac:dyDescent="0.3">
      <c r="A16" s="190" t="s">
        <v>97</v>
      </c>
      <c r="B16" s="191"/>
      <c r="C16" s="191"/>
      <c r="D16" s="192"/>
      <c r="E16" s="190" t="s">
        <v>97</v>
      </c>
      <c r="F16" s="191"/>
      <c r="G16" s="191"/>
      <c r="H16" s="192"/>
      <c r="I16" s="190" t="s">
        <v>97</v>
      </c>
      <c r="J16" s="191"/>
      <c r="K16" s="191"/>
      <c r="L16" s="192"/>
      <c r="M16" s="196" t="s">
        <v>98</v>
      </c>
      <c r="N16" s="197"/>
      <c r="O16" s="197"/>
      <c r="P16" s="198"/>
      <c r="Q16" s="196" t="s">
        <v>98</v>
      </c>
      <c r="R16" s="197"/>
      <c r="S16" s="197"/>
      <c r="T16" s="198"/>
      <c r="U16" s="199" t="s">
        <v>99</v>
      </c>
      <c r="V16" s="200"/>
      <c r="W16" s="200"/>
      <c r="X16" s="201"/>
      <c r="Y16" s="193"/>
      <c r="Z16" s="194"/>
      <c r="AA16" s="194"/>
      <c r="AB16" s="195"/>
      <c r="AC16" s="186"/>
      <c r="AD16" s="33"/>
      <c r="AE16" s="167"/>
      <c r="AF16" s="33"/>
    </row>
    <row r="17" spans="1:29" x14ac:dyDescent="0.25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</row>
    <row r="18" spans="1:29" ht="15.75" thickBot="1" x14ac:dyDescent="0.3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166"/>
    </row>
    <row r="19" spans="1:29" ht="15.75" thickBot="1" x14ac:dyDescent="0.3">
      <c r="A19" s="159" t="s">
        <v>23</v>
      </c>
      <c r="B19" s="160"/>
      <c r="C19" s="160"/>
      <c r="D19" s="161"/>
      <c r="E19" s="162" t="s">
        <v>53</v>
      </c>
      <c r="F19" s="160"/>
      <c r="G19" s="160"/>
      <c r="H19" s="161"/>
      <c r="I19" s="162" t="s">
        <v>54</v>
      </c>
      <c r="J19" s="160"/>
      <c r="K19" s="160"/>
      <c r="L19" s="163"/>
      <c r="M19" s="164" t="s">
        <v>55</v>
      </c>
      <c r="N19" s="160"/>
      <c r="O19" s="160"/>
      <c r="P19" s="163"/>
      <c r="Q19" s="164" t="s">
        <v>56</v>
      </c>
      <c r="R19" s="160"/>
      <c r="S19" s="160"/>
      <c r="T19" s="163"/>
      <c r="U19" s="164" t="s">
        <v>57</v>
      </c>
      <c r="V19" s="160"/>
      <c r="W19" s="160"/>
      <c r="X19" s="163"/>
      <c r="Y19" s="164" t="s">
        <v>29</v>
      </c>
      <c r="Z19" s="160"/>
      <c r="AA19" s="160"/>
      <c r="AB19" s="165"/>
      <c r="AC19" s="166"/>
    </row>
    <row r="20" spans="1:29" ht="15.75" thickBot="1" x14ac:dyDescent="0.3">
      <c r="A20" s="169" t="s">
        <v>108</v>
      </c>
      <c r="B20" s="170"/>
      <c r="C20" s="170"/>
      <c r="D20" s="171"/>
      <c r="E20" s="169" t="s">
        <v>109</v>
      </c>
      <c r="F20" s="170"/>
      <c r="G20" s="170"/>
      <c r="H20" s="171"/>
      <c r="I20" s="169" t="s">
        <v>110</v>
      </c>
      <c r="J20" s="170"/>
      <c r="K20" s="170"/>
      <c r="L20" s="171"/>
      <c r="M20" s="169" t="s">
        <v>111</v>
      </c>
      <c r="N20" s="170"/>
      <c r="O20" s="170"/>
      <c r="P20" s="171"/>
      <c r="Q20" s="169" t="s">
        <v>112</v>
      </c>
      <c r="R20" s="170"/>
      <c r="S20" s="170"/>
      <c r="T20" s="171"/>
      <c r="U20" s="169" t="s">
        <v>113</v>
      </c>
      <c r="V20" s="170"/>
      <c r="W20" s="170"/>
      <c r="X20" s="171"/>
      <c r="Y20" s="169" t="s">
        <v>114</v>
      </c>
      <c r="Z20" s="170"/>
      <c r="AA20" s="170"/>
      <c r="AB20" s="171"/>
      <c r="AC20" s="166"/>
    </row>
    <row r="21" spans="1:29" ht="15.75" thickBot="1" x14ac:dyDescent="0.3">
      <c r="A21" s="172" t="s">
        <v>38</v>
      </c>
      <c r="B21" s="173"/>
      <c r="C21" s="172" t="s">
        <v>39</v>
      </c>
      <c r="D21" s="173"/>
      <c r="E21" s="172" t="s">
        <v>38</v>
      </c>
      <c r="F21" s="173"/>
      <c r="G21" s="172" t="s">
        <v>39</v>
      </c>
      <c r="H21" s="173"/>
      <c r="I21" s="172" t="s">
        <v>38</v>
      </c>
      <c r="J21" s="173"/>
      <c r="K21" s="172" t="s">
        <v>39</v>
      </c>
      <c r="L21" s="173"/>
      <c r="M21" s="172" t="s">
        <v>38</v>
      </c>
      <c r="N21" s="173"/>
      <c r="O21" s="172" t="s">
        <v>39</v>
      </c>
      <c r="P21" s="173"/>
      <c r="Q21" s="172" t="s">
        <v>38</v>
      </c>
      <c r="R21" s="173"/>
      <c r="S21" s="172" t="s">
        <v>39</v>
      </c>
      <c r="T21" s="173"/>
      <c r="U21" s="172" t="s">
        <v>38</v>
      </c>
      <c r="V21" s="173"/>
      <c r="W21" s="172" t="s">
        <v>39</v>
      </c>
      <c r="X21" s="173"/>
      <c r="Y21" s="174" t="s">
        <v>38</v>
      </c>
      <c r="Z21" s="175"/>
      <c r="AA21" s="174" t="s">
        <v>39</v>
      </c>
      <c r="AB21" s="175"/>
      <c r="AC21" s="166"/>
    </row>
    <row r="22" spans="1:29" ht="15.75" thickBot="1" x14ac:dyDescent="0.3">
      <c r="A22" s="176" t="s">
        <v>95</v>
      </c>
      <c r="B22" s="177"/>
      <c r="C22" s="203" t="s">
        <v>107</v>
      </c>
      <c r="D22" s="203"/>
      <c r="E22" s="176" t="s">
        <v>95</v>
      </c>
      <c r="F22" s="177"/>
      <c r="G22" s="203" t="s">
        <v>107</v>
      </c>
      <c r="H22" s="203"/>
      <c r="I22" s="178" t="s">
        <v>95</v>
      </c>
      <c r="J22" s="178"/>
      <c r="K22" s="203" t="s">
        <v>107</v>
      </c>
      <c r="L22" s="203"/>
      <c r="M22" s="176" t="s">
        <v>95</v>
      </c>
      <c r="N22" s="177"/>
      <c r="O22" s="207" t="s">
        <v>96</v>
      </c>
      <c r="P22" s="206"/>
      <c r="Q22" s="203" t="s">
        <v>107</v>
      </c>
      <c r="R22" s="203"/>
      <c r="S22" s="205" t="s">
        <v>96</v>
      </c>
      <c r="T22" s="207"/>
      <c r="U22" s="207" t="s">
        <v>96</v>
      </c>
      <c r="V22" s="207"/>
      <c r="W22" s="178" t="s">
        <v>95</v>
      </c>
      <c r="X22" s="178"/>
      <c r="Y22" s="178" t="s">
        <v>95</v>
      </c>
      <c r="Z22" s="178"/>
      <c r="AA22" s="178" t="s">
        <v>95</v>
      </c>
      <c r="AB22" s="178"/>
      <c r="AC22" s="181"/>
    </row>
    <row r="23" spans="1:29" ht="15.75" thickBot="1" x14ac:dyDescent="0.3">
      <c r="A23" s="81">
        <f>(C24-A24)-AF10</f>
        <v>0.3125</v>
      </c>
      <c r="B23" s="87"/>
      <c r="C23" s="87"/>
      <c r="D23" s="88"/>
      <c r="E23" s="81">
        <f>(G24-E24)-AF10</f>
        <v>0.3125</v>
      </c>
      <c r="F23" s="87"/>
      <c r="G23" s="87"/>
      <c r="H23" s="88"/>
      <c r="I23" s="81">
        <f>(K24-I24)-AF10</f>
        <v>0.3125</v>
      </c>
      <c r="J23" s="87"/>
      <c r="K23" s="87"/>
      <c r="L23" s="88"/>
      <c r="M23" s="81">
        <f>(O24-M24)-AE10</f>
        <v>0.39583333333333337</v>
      </c>
      <c r="N23" s="87"/>
      <c r="O23" s="87"/>
      <c r="P23" s="88"/>
      <c r="Q23" s="81">
        <f>(S24-Q24)-AE10</f>
        <v>0.39583333333333337</v>
      </c>
      <c r="R23" s="87"/>
      <c r="S23" s="87"/>
      <c r="T23" s="88"/>
      <c r="U23" s="81">
        <f>(W24-U24)-AE12</f>
        <v>0.19791666666666669</v>
      </c>
      <c r="V23" s="87"/>
      <c r="W23" s="87"/>
      <c r="X23" s="88"/>
      <c r="Y23" s="183" t="s">
        <v>16</v>
      </c>
      <c r="Z23" s="184"/>
      <c r="AA23" s="184"/>
      <c r="AB23" s="185"/>
      <c r="AC23" s="186">
        <f>A23+E23+I23+M23+Q23+U23</f>
        <v>1.9270833333333337</v>
      </c>
    </row>
    <row r="24" spans="1:29" ht="15.75" thickBot="1" x14ac:dyDescent="0.3">
      <c r="A24" s="77">
        <v>0.36458333333333331</v>
      </c>
      <c r="B24" s="78"/>
      <c r="C24" s="79">
        <v>0.71875</v>
      </c>
      <c r="D24" s="80"/>
      <c r="E24" s="77">
        <v>0.36458333333333331</v>
      </c>
      <c r="F24" s="78"/>
      <c r="G24" s="79">
        <v>0.71875</v>
      </c>
      <c r="H24" s="80"/>
      <c r="I24" s="77">
        <v>0.36458333333333331</v>
      </c>
      <c r="J24" s="78"/>
      <c r="K24" s="79">
        <v>0.71875</v>
      </c>
      <c r="L24" s="80"/>
      <c r="M24" s="77">
        <v>0.36458333333333331</v>
      </c>
      <c r="N24" s="78"/>
      <c r="O24" s="79">
        <v>0.8125</v>
      </c>
      <c r="P24" s="80"/>
      <c r="Q24" s="77">
        <v>0.36458333333333331</v>
      </c>
      <c r="R24" s="78"/>
      <c r="S24" s="79">
        <v>0.8125</v>
      </c>
      <c r="T24" s="80"/>
      <c r="U24" s="77">
        <v>0.36458333333333331</v>
      </c>
      <c r="V24" s="78"/>
      <c r="W24" s="79">
        <v>0.59375</v>
      </c>
      <c r="X24" s="80"/>
      <c r="Y24" s="187"/>
      <c r="Z24" s="188"/>
      <c r="AA24" s="188"/>
      <c r="AB24" s="189"/>
      <c r="AC24" s="186"/>
    </row>
    <row r="25" spans="1:29" ht="15.75" thickBot="1" x14ac:dyDescent="0.3">
      <c r="A25" s="190" t="s">
        <v>97</v>
      </c>
      <c r="B25" s="191"/>
      <c r="C25" s="191"/>
      <c r="D25" s="192"/>
      <c r="E25" s="190" t="s">
        <v>97</v>
      </c>
      <c r="F25" s="191"/>
      <c r="G25" s="191"/>
      <c r="H25" s="192"/>
      <c r="I25" s="190" t="s">
        <v>97</v>
      </c>
      <c r="J25" s="191"/>
      <c r="K25" s="191"/>
      <c r="L25" s="192"/>
      <c r="M25" s="196" t="s">
        <v>98</v>
      </c>
      <c r="N25" s="197"/>
      <c r="O25" s="197"/>
      <c r="P25" s="198"/>
      <c r="Q25" s="196" t="s">
        <v>98</v>
      </c>
      <c r="R25" s="197"/>
      <c r="S25" s="197"/>
      <c r="T25" s="198"/>
      <c r="U25" s="199" t="s">
        <v>99</v>
      </c>
      <c r="V25" s="200"/>
      <c r="W25" s="200"/>
      <c r="X25" s="201"/>
      <c r="Y25" s="193"/>
      <c r="Z25" s="194"/>
      <c r="AA25" s="194"/>
      <c r="AB25" s="195"/>
      <c r="AC25" s="186"/>
    </row>
    <row r="26" spans="1:29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166"/>
    </row>
    <row r="27" spans="1:29" ht="15.75" thickBot="1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166"/>
    </row>
    <row r="28" spans="1:29" ht="15.75" thickBot="1" x14ac:dyDescent="0.3">
      <c r="A28" s="159" t="s">
        <v>23</v>
      </c>
      <c r="B28" s="160"/>
      <c r="C28" s="160"/>
      <c r="D28" s="161"/>
      <c r="E28" s="162" t="s">
        <v>53</v>
      </c>
      <c r="F28" s="160"/>
      <c r="G28" s="160"/>
      <c r="H28" s="161"/>
      <c r="I28" s="162" t="s">
        <v>54</v>
      </c>
      <c r="J28" s="160"/>
      <c r="K28" s="160"/>
      <c r="L28" s="163"/>
      <c r="M28" s="164" t="s">
        <v>55</v>
      </c>
      <c r="N28" s="160"/>
      <c r="O28" s="160"/>
      <c r="P28" s="163"/>
      <c r="Q28" s="164" t="s">
        <v>56</v>
      </c>
      <c r="R28" s="160"/>
      <c r="S28" s="160"/>
      <c r="T28" s="163"/>
      <c r="U28" s="164" t="s">
        <v>57</v>
      </c>
      <c r="V28" s="160"/>
      <c r="W28" s="160"/>
      <c r="X28" s="163"/>
      <c r="Y28" s="164" t="s">
        <v>29</v>
      </c>
      <c r="Z28" s="160"/>
      <c r="AA28" s="160"/>
      <c r="AB28" s="165"/>
      <c r="AC28" s="166"/>
    </row>
    <row r="29" spans="1:29" ht="15.75" thickBot="1" x14ac:dyDescent="0.3">
      <c r="A29" s="169" t="s">
        <v>115</v>
      </c>
      <c r="B29" s="170"/>
      <c r="C29" s="170"/>
      <c r="D29" s="171"/>
      <c r="E29" s="169" t="s">
        <v>116</v>
      </c>
      <c r="F29" s="170"/>
      <c r="G29" s="170"/>
      <c r="H29" s="171"/>
      <c r="I29" s="169" t="s">
        <v>117</v>
      </c>
      <c r="J29" s="170"/>
      <c r="K29" s="170"/>
      <c r="L29" s="171"/>
      <c r="M29" s="169" t="s">
        <v>118</v>
      </c>
      <c r="N29" s="170"/>
      <c r="O29" s="170"/>
      <c r="P29" s="171"/>
      <c r="Q29" s="169" t="s">
        <v>119</v>
      </c>
      <c r="R29" s="170"/>
      <c r="S29" s="170"/>
      <c r="T29" s="171"/>
      <c r="U29" s="169" t="s">
        <v>120</v>
      </c>
      <c r="V29" s="170"/>
      <c r="W29" s="170"/>
      <c r="X29" s="171"/>
      <c r="Y29" s="169" t="s">
        <v>121</v>
      </c>
      <c r="Z29" s="170"/>
      <c r="AA29" s="170"/>
      <c r="AB29" s="171"/>
      <c r="AC29" s="166"/>
    </row>
    <row r="30" spans="1:29" ht="15.75" thickBot="1" x14ac:dyDescent="0.3">
      <c r="A30" s="172" t="s">
        <v>38</v>
      </c>
      <c r="B30" s="173"/>
      <c r="C30" s="172" t="s">
        <v>39</v>
      </c>
      <c r="D30" s="173"/>
      <c r="E30" s="172" t="s">
        <v>38</v>
      </c>
      <c r="F30" s="173"/>
      <c r="G30" s="172" t="s">
        <v>39</v>
      </c>
      <c r="H30" s="173"/>
      <c r="I30" s="172" t="s">
        <v>38</v>
      </c>
      <c r="J30" s="173"/>
      <c r="K30" s="172" t="s">
        <v>39</v>
      </c>
      <c r="L30" s="173"/>
      <c r="M30" s="172" t="s">
        <v>38</v>
      </c>
      <c r="N30" s="173"/>
      <c r="O30" s="172" t="s">
        <v>39</v>
      </c>
      <c r="P30" s="173"/>
      <c r="Q30" s="172" t="s">
        <v>38</v>
      </c>
      <c r="R30" s="173"/>
      <c r="S30" s="172" t="s">
        <v>39</v>
      </c>
      <c r="T30" s="173"/>
      <c r="U30" s="172" t="s">
        <v>38</v>
      </c>
      <c r="V30" s="173"/>
      <c r="W30" s="172" t="s">
        <v>39</v>
      </c>
      <c r="X30" s="173"/>
      <c r="Y30" s="174" t="s">
        <v>38</v>
      </c>
      <c r="Z30" s="175"/>
      <c r="AA30" s="174" t="s">
        <v>39</v>
      </c>
      <c r="AB30" s="175"/>
      <c r="AC30" s="166"/>
    </row>
    <row r="31" spans="1:29" ht="15.75" thickBot="1" x14ac:dyDescent="0.3">
      <c r="A31" s="178" t="s">
        <v>95</v>
      </c>
      <c r="B31" s="178"/>
      <c r="C31" s="178" t="s">
        <v>95</v>
      </c>
      <c r="D31" s="178"/>
      <c r="E31" s="176" t="s">
        <v>95</v>
      </c>
      <c r="F31" s="177"/>
      <c r="G31" s="178" t="s">
        <v>95</v>
      </c>
      <c r="H31" s="178"/>
      <c r="I31" s="178" t="s">
        <v>95</v>
      </c>
      <c r="J31" s="178"/>
      <c r="K31" s="208" t="s">
        <v>107</v>
      </c>
      <c r="L31" s="204"/>
      <c r="M31" s="176" t="s">
        <v>95</v>
      </c>
      <c r="N31" s="177"/>
      <c r="O31" s="207" t="s">
        <v>96</v>
      </c>
      <c r="P31" s="206"/>
      <c r="Q31" s="178" t="s">
        <v>95</v>
      </c>
      <c r="R31" s="178"/>
      <c r="S31" s="205" t="s">
        <v>96</v>
      </c>
      <c r="T31" s="207"/>
      <c r="U31" s="207" t="s">
        <v>96</v>
      </c>
      <c r="V31" s="207"/>
      <c r="W31" s="203" t="s">
        <v>107</v>
      </c>
      <c r="X31" s="203"/>
      <c r="Y31" s="207" t="s">
        <v>96</v>
      </c>
      <c r="Z31" s="207"/>
      <c r="AA31" s="207" t="s">
        <v>96</v>
      </c>
      <c r="AB31" s="207"/>
      <c r="AC31" s="181"/>
    </row>
    <row r="32" spans="1:29" ht="15.75" thickBot="1" x14ac:dyDescent="0.3">
      <c r="A32" s="81">
        <f>(C33-A33)-AF10</f>
        <v>0.3125</v>
      </c>
      <c r="B32" s="87"/>
      <c r="C32" s="87"/>
      <c r="D32" s="88"/>
      <c r="E32" s="81">
        <f>(G33-E33)-AF10</f>
        <v>0.3125</v>
      </c>
      <c r="F32" s="87"/>
      <c r="G32" s="87"/>
      <c r="H32" s="88"/>
      <c r="I32" s="183" t="s">
        <v>16</v>
      </c>
      <c r="J32" s="184"/>
      <c r="K32" s="184"/>
      <c r="L32" s="185"/>
      <c r="M32" s="81">
        <f>(O33-M33)-AE10</f>
        <v>0.39583333333333337</v>
      </c>
      <c r="N32" s="87"/>
      <c r="O32" s="87"/>
      <c r="P32" s="88"/>
      <c r="Q32" s="81">
        <f>(S33-Q33)-AE10</f>
        <v>0.39583333333333337</v>
      </c>
      <c r="R32" s="87"/>
      <c r="S32" s="87"/>
      <c r="T32" s="88"/>
      <c r="U32" s="81">
        <f>(W33-U33)-AE12</f>
        <v>0.19791666666666669</v>
      </c>
      <c r="V32" s="87"/>
      <c r="W32" s="87"/>
      <c r="X32" s="88"/>
      <c r="Y32" s="81">
        <f>(AA33-Y33)-AE11</f>
        <v>0.26041666666666674</v>
      </c>
      <c r="Z32" s="87"/>
      <c r="AA32" s="87"/>
      <c r="AB32" s="88"/>
      <c r="AC32" s="186">
        <f>A32+E32+M32+Q32+U32+Y32</f>
        <v>1.8750000000000004</v>
      </c>
    </row>
    <row r="33" spans="1:32" ht="15.75" thickBot="1" x14ac:dyDescent="0.3">
      <c r="A33" s="77">
        <v>0.36458333333333331</v>
      </c>
      <c r="B33" s="78"/>
      <c r="C33" s="79">
        <v>0.71875</v>
      </c>
      <c r="D33" s="80"/>
      <c r="E33" s="77">
        <v>0.36458333333333331</v>
      </c>
      <c r="F33" s="78"/>
      <c r="G33" s="79">
        <v>0.71875</v>
      </c>
      <c r="H33" s="80"/>
      <c r="I33" s="187"/>
      <c r="J33" s="188"/>
      <c r="K33" s="188"/>
      <c r="L33" s="189"/>
      <c r="M33" s="77">
        <v>0.36458333333333331</v>
      </c>
      <c r="N33" s="78"/>
      <c r="O33" s="79">
        <v>0.8125</v>
      </c>
      <c r="P33" s="80"/>
      <c r="Q33" s="77">
        <v>0.36458333333333331</v>
      </c>
      <c r="R33" s="78"/>
      <c r="S33" s="79">
        <v>0.8125</v>
      </c>
      <c r="T33" s="80"/>
      <c r="U33" s="77">
        <v>0.36458333333333331</v>
      </c>
      <c r="V33" s="78"/>
      <c r="W33" s="79">
        <v>0.59375</v>
      </c>
      <c r="X33" s="80"/>
      <c r="Y33" s="77">
        <v>0.36458333333333331</v>
      </c>
      <c r="Z33" s="78"/>
      <c r="AA33" s="79">
        <v>0.64583333333333337</v>
      </c>
      <c r="AB33" s="80"/>
      <c r="AC33" s="186"/>
    </row>
    <row r="34" spans="1:32" ht="15.75" thickBot="1" x14ac:dyDescent="0.3">
      <c r="A34" s="190" t="s">
        <v>97</v>
      </c>
      <c r="B34" s="191"/>
      <c r="C34" s="191"/>
      <c r="D34" s="192"/>
      <c r="E34" s="190" t="s">
        <v>97</v>
      </c>
      <c r="F34" s="191"/>
      <c r="G34" s="191"/>
      <c r="H34" s="192"/>
      <c r="I34" s="193"/>
      <c r="J34" s="194"/>
      <c r="K34" s="194"/>
      <c r="L34" s="195"/>
      <c r="M34" s="196" t="s">
        <v>98</v>
      </c>
      <c r="N34" s="197"/>
      <c r="O34" s="197"/>
      <c r="P34" s="198"/>
      <c r="Q34" s="196" t="s">
        <v>98</v>
      </c>
      <c r="R34" s="197"/>
      <c r="S34" s="197"/>
      <c r="T34" s="198"/>
      <c r="U34" s="199" t="s">
        <v>99</v>
      </c>
      <c r="V34" s="200"/>
      <c r="W34" s="200"/>
      <c r="X34" s="201"/>
      <c r="Y34" s="199" t="s">
        <v>99</v>
      </c>
      <c r="Z34" s="200"/>
      <c r="AA34" s="200"/>
      <c r="AB34" s="201"/>
      <c r="AC34" s="186"/>
    </row>
    <row r="35" spans="1:32" x14ac:dyDescent="0.25">
      <c r="AC35" s="202"/>
    </row>
    <row r="36" spans="1:32" ht="15.75" thickBot="1" x14ac:dyDescent="0.3">
      <c r="AC36" s="202"/>
    </row>
    <row r="37" spans="1:32" ht="15.75" thickBot="1" x14ac:dyDescent="0.3">
      <c r="A37" s="159" t="s">
        <v>23</v>
      </c>
      <c r="B37" s="160"/>
      <c r="C37" s="160"/>
      <c r="D37" s="161"/>
      <c r="E37" s="162" t="s">
        <v>53</v>
      </c>
      <c r="F37" s="160"/>
      <c r="G37" s="160"/>
      <c r="H37" s="161"/>
      <c r="I37" s="162" t="s">
        <v>54</v>
      </c>
      <c r="J37" s="160"/>
      <c r="K37" s="160"/>
      <c r="L37" s="163"/>
      <c r="M37" s="164" t="s">
        <v>55</v>
      </c>
      <c r="N37" s="160"/>
      <c r="O37" s="160"/>
      <c r="P37" s="163"/>
      <c r="Q37" s="164" t="s">
        <v>56</v>
      </c>
      <c r="R37" s="160"/>
      <c r="S37" s="160"/>
      <c r="T37" s="163"/>
      <c r="U37" s="164" t="s">
        <v>57</v>
      </c>
      <c r="V37" s="160"/>
      <c r="W37" s="160"/>
      <c r="X37" s="163"/>
      <c r="Y37" s="164" t="s">
        <v>29</v>
      </c>
      <c r="Z37" s="160"/>
      <c r="AA37" s="160"/>
      <c r="AB37" s="165"/>
      <c r="AC37" s="166"/>
      <c r="AD37" s="33" t="s">
        <v>85</v>
      </c>
      <c r="AE37" s="167">
        <v>5.2083333333333336E-2</v>
      </c>
      <c r="AF37" s="168">
        <v>4.1666666666666664E-2</v>
      </c>
    </row>
    <row r="38" spans="1:32" ht="15.75" thickBot="1" x14ac:dyDescent="0.3">
      <c r="A38" s="169" t="s">
        <v>122</v>
      </c>
      <c r="B38" s="170"/>
      <c r="C38" s="170"/>
      <c r="D38" s="171"/>
      <c r="E38" s="169" t="s">
        <v>123</v>
      </c>
      <c r="F38" s="170"/>
      <c r="G38" s="170"/>
      <c r="H38" s="171"/>
      <c r="I38" s="169" t="s">
        <v>124</v>
      </c>
      <c r="J38" s="170"/>
      <c r="K38" s="170"/>
      <c r="L38" s="171"/>
      <c r="M38" s="169" t="s">
        <v>125</v>
      </c>
      <c r="N38" s="170"/>
      <c r="O38" s="170"/>
      <c r="P38" s="171"/>
      <c r="Q38" s="169" t="s">
        <v>126</v>
      </c>
      <c r="R38" s="170"/>
      <c r="S38" s="170"/>
      <c r="T38" s="171"/>
      <c r="U38" s="169" t="s">
        <v>127</v>
      </c>
      <c r="V38" s="170"/>
      <c r="W38" s="170"/>
      <c r="X38" s="171"/>
      <c r="Y38" s="169" t="s">
        <v>128</v>
      </c>
      <c r="Z38" s="170"/>
      <c r="AA38" s="170"/>
      <c r="AB38" s="171"/>
      <c r="AC38" s="166"/>
      <c r="AD38" s="33" t="s">
        <v>93</v>
      </c>
      <c r="AE38" s="167">
        <v>2.0833333333333332E-2</v>
      </c>
    </row>
    <row r="39" spans="1:32" ht="15.75" thickBot="1" x14ac:dyDescent="0.3">
      <c r="A39" s="172" t="s">
        <v>38</v>
      </c>
      <c r="B39" s="173"/>
      <c r="C39" s="172" t="s">
        <v>39</v>
      </c>
      <c r="D39" s="173"/>
      <c r="E39" s="172" t="s">
        <v>38</v>
      </c>
      <c r="F39" s="173"/>
      <c r="G39" s="172" t="s">
        <v>39</v>
      </c>
      <c r="H39" s="173"/>
      <c r="I39" s="172" t="s">
        <v>38</v>
      </c>
      <c r="J39" s="173"/>
      <c r="K39" s="172" t="s">
        <v>39</v>
      </c>
      <c r="L39" s="173"/>
      <c r="M39" s="172" t="s">
        <v>38</v>
      </c>
      <c r="N39" s="173"/>
      <c r="O39" s="172" t="s">
        <v>39</v>
      </c>
      <c r="P39" s="173"/>
      <c r="Q39" s="172" t="s">
        <v>38</v>
      </c>
      <c r="R39" s="173"/>
      <c r="S39" s="172" t="s">
        <v>39</v>
      </c>
      <c r="T39" s="173"/>
      <c r="U39" s="172" t="s">
        <v>38</v>
      </c>
      <c r="V39" s="173"/>
      <c r="W39" s="172" t="s">
        <v>39</v>
      </c>
      <c r="X39" s="173"/>
      <c r="Y39" s="174" t="s">
        <v>38</v>
      </c>
      <c r="Z39" s="175"/>
      <c r="AA39" s="174" t="s">
        <v>39</v>
      </c>
      <c r="AB39" s="175"/>
      <c r="AC39" s="166"/>
      <c r="AD39" s="167" t="s">
        <v>94</v>
      </c>
      <c r="AE39" s="167">
        <v>3.125E-2</v>
      </c>
    </row>
    <row r="40" spans="1:32" ht="15.75" thickBot="1" x14ac:dyDescent="0.3">
      <c r="A40" s="178" t="s">
        <v>95</v>
      </c>
      <c r="B40" s="178"/>
      <c r="C40" s="176" t="s">
        <v>95</v>
      </c>
      <c r="D40" s="178"/>
      <c r="E40" s="176" t="s">
        <v>95</v>
      </c>
      <c r="F40" s="177"/>
      <c r="G40" s="176" t="s">
        <v>95</v>
      </c>
      <c r="H40" s="177"/>
      <c r="I40" s="178" t="s">
        <v>95</v>
      </c>
      <c r="J40" s="177"/>
      <c r="K40" s="203" t="s">
        <v>107</v>
      </c>
      <c r="L40" s="203"/>
      <c r="M40" s="176" t="s">
        <v>95</v>
      </c>
      <c r="N40" s="177"/>
      <c r="O40" s="207" t="s">
        <v>96</v>
      </c>
      <c r="P40" s="206"/>
      <c r="Q40" s="203" t="s">
        <v>107</v>
      </c>
      <c r="R40" s="203"/>
      <c r="S40" s="205" t="s">
        <v>96</v>
      </c>
      <c r="T40" s="207"/>
      <c r="U40" s="207" t="s">
        <v>96</v>
      </c>
      <c r="V40" s="207"/>
      <c r="W40" s="178" t="s">
        <v>95</v>
      </c>
      <c r="X40" s="178"/>
      <c r="Y40" s="203" t="s">
        <v>107</v>
      </c>
      <c r="Z40" s="203"/>
      <c r="AA40" s="203" t="s">
        <v>107</v>
      </c>
      <c r="AB40" s="203"/>
      <c r="AC40" s="181"/>
    </row>
    <row r="41" spans="1:32" ht="15.75" thickBot="1" x14ac:dyDescent="0.3">
      <c r="A41" s="81">
        <f>(C42-A42)-AF10</f>
        <v>0.3125</v>
      </c>
      <c r="B41" s="87"/>
      <c r="C41" s="87"/>
      <c r="D41" s="88"/>
      <c r="E41" s="81">
        <f>(G42-E42)-AF10</f>
        <v>0.3125</v>
      </c>
      <c r="F41" s="87"/>
      <c r="G41" s="87"/>
      <c r="H41" s="88"/>
      <c r="I41" s="81">
        <f>(K42-I42)-AF10</f>
        <v>0.3125</v>
      </c>
      <c r="J41" s="87"/>
      <c r="K41" s="87"/>
      <c r="L41" s="88"/>
      <c r="M41" s="81">
        <f>(O42-M42)-AE10</f>
        <v>0.39583333333333337</v>
      </c>
      <c r="N41" s="87"/>
      <c r="O41" s="87"/>
      <c r="P41" s="88"/>
      <c r="Q41" s="81">
        <f>(S42-Q42)-AE10</f>
        <v>0.39583333333333337</v>
      </c>
      <c r="R41" s="87"/>
      <c r="S41" s="87"/>
      <c r="T41" s="88"/>
      <c r="U41" s="81">
        <f>(W42-U42)-AE12</f>
        <v>0.19791666666666669</v>
      </c>
      <c r="V41" s="87"/>
      <c r="W41" s="87"/>
      <c r="X41" s="88"/>
      <c r="Y41" s="183" t="s">
        <v>16</v>
      </c>
      <c r="Z41" s="184"/>
      <c r="AA41" s="184"/>
      <c r="AB41" s="185"/>
      <c r="AC41" s="186">
        <f>A41+E41+M41+Q41+U41+I41</f>
        <v>1.9270833333333337</v>
      </c>
    </row>
    <row r="42" spans="1:32" ht="15.75" thickBot="1" x14ac:dyDescent="0.3">
      <c r="A42" s="77">
        <v>0.36458333333333331</v>
      </c>
      <c r="B42" s="78"/>
      <c r="C42" s="79">
        <v>0.71875</v>
      </c>
      <c r="D42" s="80"/>
      <c r="E42" s="77">
        <v>0.36458333333333331</v>
      </c>
      <c r="F42" s="78"/>
      <c r="G42" s="79">
        <v>0.71875</v>
      </c>
      <c r="H42" s="80"/>
      <c r="I42" s="77">
        <v>0.36458333333333331</v>
      </c>
      <c r="J42" s="78"/>
      <c r="K42" s="79">
        <v>0.71875</v>
      </c>
      <c r="L42" s="80"/>
      <c r="M42" s="77">
        <v>0.36458333333333331</v>
      </c>
      <c r="N42" s="78"/>
      <c r="O42" s="79">
        <v>0.8125</v>
      </c>
      <c r="P42" s="80"/>
      <c r="Q42" s="77">
        <v>0.36458333333333331</v>
      </c>
      <c r="R42" s="78"/>
      <c r="S42" s="79">
        <v>0.8125</v>
      </c>
      <c r="T42" s="80"/>
      <c r="U42" s="77">
        <v>0.36458333333333331</v>
      </c>
      <c r="V42" s="78"/>
      <c r="W42" s="79">
        <v>0.59375</v>
      </c>
      <c r="X42" s="80"/>
      <c r="Y42" s="187"/>
      <c r="Z42" s="188"/>
      <c r="AA42" s="188"/>
      <c r="AB42" s="189"/>
      <c r="AC42" s="186"/>
    </row>
    <row r="43" spans="1:32" ht="15.75" thickBot="1" x14ac:dyDescent="0.3">
      <c r="A43" s="190" t="s">
        <v>97</v>
      </c>
      <c r="B43" s="191"/>
      <c r="C43" s="191"/>
      <c r="D43" s="192"/>
      <c r="E43" s="190" t="s">
        <v>97</v>
      </c>
      <c r="F43" s="191"/>
      <c r="G43" s="191"/>
      <c r="H43" s="192"/>
      <c r="I43" s="190" t="s">
        <v>97</v>
      </c>
      <c r="J43" s="191"/>
      <c r="K43" s="191"/>
      <c r="L43" s="192"/>
      <c r="M43" s="196" t="s">
        <v>98</v>
      </c>
      <c r="N43" s="197"/>
      <c r="O43" s="197"/>
      <c r="P43" s="198"/>
      <c r="Q43" s="196" t="s">
        <v>98</v>
      </c>
      <c r="R43" s="197"/>
      <c r="S43" s="197"/>
      <c r="T43" s="198"/>
      <c r="U43" s="199" t="s">
        <v>99</v>
      </c>
      <c r="V43" s="200"/>
      <c r="W43" s="200"/>
      <c r="X43" s="201"/>
      <c r="Y43" s="193"/>
      <c r="Z43" s="194"/>
      <c r="AA43" s="194"/>
      <c r="AB43" s="195"/>
      <c r="AC43" s="186"/>
    </row>
    <row r="44" spans="1:32" x14ac:dyDescent="0.25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</row>
    <row r="45" spans="1:32" ht="15.75" thickBot="1" x14ac:dyDescent="0.3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166"/>
    </row>
    <row r="46" spans="1:32" ht="15.75" thickBot="1" x14ac:dyDescent="0.3">
      <c r="A46" s="159" t="s">
        <v>23</v>
      </c>
      <c r="B46" s="160"/>
      <c r="C46" s="160"/>
      <c r="D46" s="161"/>
      <c r="E46" s="162" t="s">
        <v>53</v>
      </c>
      <c r="F46" s="160"/>
      <c r="G46" s="160"/>
      <c r="H46" s="161"/>
      <c r="I46" s="162" t="s">
        <v>54</v>
      </c>
      <c r="J46" s="160"/>
      <c r="K46" s="160"/>
      <c r="L46" s="163"/>
      <c r="M46" s="164" t="s">
        <v>55</v>
      </c>
      <c r="N46" s="160"/>
      <c r="O46" s="160"/>
      <c r="P46" s="163"/>
      <c r="Q46" s="164" t="s">
        <v>56</v>
      </c>
      <c r="R46" s="160"/>
      <c r="S46" s="160"/>
      <c r="T46" s="163"/>
      <c r="U46" s="164" t="s">
        <v>57</v>
      </c>
      <c r="V46" s="160"/>
      <c r="W46" s="160"/>
      <c r="X46" s="163"/>
      <c r="Y46" s="164" t="s">
        <v>29</v>
      </c>
      <c r="Z46" s="160"/>
      <c r="AA46" s="160"/>
      <c r="AB46" s="165"/>
      <c r="AC46" s="166"/>
      <c r="AD46" s="33"/>
      <c r="AE46" s="167"/>
      <c r="AF46" s="168"/>
    </row>
    <row r="47" spans="1:32" ht="15.75" thickBot="1" x14ac:dyDescent="0.3">
      <c r="A47" s="169" t="s">
        <v>129</v>
      </c>
      <c r="B47" s="170"/>
      <c r="C47" s="170"/>
      <c r="D47" s="171"/>
      <c r="E47" s="169" t="s">
        <v>130</v>
      </c>
      <c r="F47" s="170"/>
      <c r="G47" s="170"/>
      <c r="H47" s="171"/>
      <c r="I47" s="169" t="s">
        <v>131</v>
      </c>
      <c r="J47" s="170"/>
      <c r="K47" s="170"/>
      <c r="L47" s="171"/>
      <c r="M47" s="169" t="s">
        <v>132</v>
      </c>
      <c r="N47" s="170"/>
      <c r="O47" s="170"/>
      <c r="P47" s="171"/>
      <c r="Q47" s="169" t="s">
        <v>133</v>
      </c>
      <c r="R47" s="170"/>
      <c r="S47" s="170"/>
      <c r="T47" s="171"/>
      <c r="U47" s="169" t="s">
        <v>134</v>
      </c>
      <c r="V47" s="170"/>
      <c r="W47" s="170"/>
      <c r="X47" s="171"/>
      <c r="Y47" s="169" t="s">
        <v>135</v>
      </c>
      <c r="Z47" s="170"/>
      <c r="AA47" s="170"/>
      <c r="AB47" s="171"/>
      <c r="AC47" s="166"/>
      <c r="AD47" s="33"/>
      <c r="AE47" s="167"/>
    </row>
    <row r="48" spans="1:32" ht="15.75" thickBot="1" x14ac:dyDescent="0.3">
      <c r="A48" s="172" t="s">
        <v>38</v>
      </c>
      <c r="B48" s="173"/>
      <c r="C48" s="172" t="s">
        <v>39</v>
      </c>
      <c r="D48" s="173"/>
      <c r="E48" s="172" t="s">
        <v>38</v>
      </c>
      <c r="F48" s="173"/>
      <c r="G48" s="172" t="s">
        <v>39</v>
      </c>
      <c r="H48" s="173"/>
      <c r="I48" s="172" t="s">
        <v>38</v>
      </c>
      <c r="J48" s="173"/>
      <c r="K48" s="172" t="s">
        <v>39</v>
      </c>
      <c r="L48" s="173"/>
      <c r="M48" s="172" t="s">
        <v>38</v>
      </c>
      <c r="N48" s="173"/>
      <c r="O48" s="172" t="s">
        <v>39</v>
      </c>
      <c r="P48" s="173"/>
      <c r="Q48" s="172" t="s">
        <v>38</v>
      </c>
      <c r="R48" s="173"/>
      <c r="S48" s="172" t="s">
        <v>39</v>
      </c>
      <c r="T48" s="173"/>
      <c r="U48" s="172" t="s">
        <v>38</v>
      </c>
      <c r="V48" s="173"/>
      <c r="W48" s="172" t="s">
        <v>39</v>
      </c>
      <c r="X48" s="173"/>
      <c r="Y48" s="174" t="s">
        <v>38</v>
      </c>
      <c r="Z48" s="175"/>
      <c r="AA48" s="174" t="s">
        <v>39</v>
      </c>
      <c r="AB48" s="175"/>
      <c r="AC48" s="166"/>
      <c r="AD48" s="167"/>
      <c r="AE48" s="167"/>
    </row>
    <row r="49" spans="1:32" ht="15.75" thickBot="1" x14ac:dyDescent="0.3">
      <c r="A49" s="176" t="s">
        <v>95</v>
      </c>
      <c r="B49" s="177"/>
      <c r="C49" s="203" t="s">
        <v>107</v>
      </c>
      <c r="D49" s="203"/>
      <c r="E49" s="176" t="s">
        <v>95</v>
      </c>
      <c r="F49" s="177"/>
      <c r="G49" s="203" t="s">
        <v>107</v>
      </c>
      <c r="H49" s="203"/>
      <c r="I49" s="178" t="s">
        <v>95</v>
      </c>
      <c r="J49" s="178"/>
      <c r="K49" s="203" t="s">
        <v>107</v>
      </c>
      <c r="L49" s="203"/>
      <c r="M49" s="176" t="s">
        <v>95</v>
      </c>
      <c r="N49" s="177"/>
      <c r="O49" s="207" t="s">
        <v>96</v>
      </c>
      <c r="P49" s="206"/>
      <c r="Q49" s="203" t="s">
        <v>107</v>
      </c>
      <c r="R49" s="203"/>
      <c r="S49" s="205" t="s">
        <v>96</v>
      </c>
      <c r="T49" s="207"/>
      <c r="U49" s="207" t="s">
        <v>96</v>
      </c>
      <c r="V49" s="207"/>
      <c r="W49" s="203" t="s">
        <v>107</v>
      </c>
      <c r="X49" s="203"/>
      <c r="Y49" s="178" t="s">
        <v>95</v>
      </c>
      <c r="Z49" s="178"/>
      <c r="AA49" s="178" t="s">
        <v>95</v>
      </c>
      <c r="AB49" s="178"/>
      <c r="AC49" s="181"/>
    </row>
    <row r="50" spans="1:32" ht="15.75" thickBot="1" x14ac:dyDescent="0.3">
      <c r="A50" s="81">
        <f>(C51-A51)-AF37</f>
        <v>0.3125</v>
      </c>
      <c r="B50" s="87"/>
      <c r="C50" s="87"/>
      <c r="D50" s="88"/>
      <c r="E50" s="81">
        <f>(G51-E51)-AF37</f>
        <v>0.3125</v>
      </c>
      <c r="F50" s="87"/>
      <c r="G50" s="87"/>
      <c r="H50" s="88"/>
      <c r="I50" s="81">
        <f>(K51-I51)-AF37</f>
        <v>0.3125</v>
      </c>
      <c r="J50" s="87"/>
      <c r="K50" s="87"/>
      <c r="L50" s="88"/>
      <c r="M50" s="81">
        <f>(O51-M51)-AE37</f>
        <v>0.39583333333333337</v>
      </c>
      <c r="N50" s="87"/>
      <c r="O50" s="87"/>
      <c r="P50" s="88"/>
      <c r="Q50" s="81">
        <f>(S51-Q51)-AE37</f>
        <v>0.39583333333333337</v>
      </c>
      <c r="R50" s="87"/>
      <c r="S50" s="87"/>
      <c r="T50" s="88"/>
      <c r="U50" s="81">
        <f>(W51-U51)-AE39</f>
        <v>0.19791666666666669</v>
      </c>
      <c r="V50" s="87"/>
      <c r="W50" s="87"/>
      <c r="X50" s="88"/>
      <c r="Y50" s="183" t="s">
        <v>16</v>
      </c>
      <c r="Z50" s="184"/>
      <c r="AA50" s="184"/>
      <c r="AB50" s="185"/>
      <c r="AC50" s="186">
        <f>A50+E50+I50+M50+Q50+U50</f>
        <v>1.9270833333333337</v>
      </c>
    </row>
    <row r="51" spans="1:32" ht="15.75" thickBot="1" x14ac:dyDescent="0.3">
      <c r="A51" s="77">
        <v>0.36458333333333331</v>
      </c>
      <c r="B51" s="78"/>
      <c r="C51" s="79">
        <v>0.71875</v>
      </c>
      <c r="D51" s="80"/>
      <c r="E51" s="77">
        <v>0.36458333333333331</v>
      </c>
      <c r="F51" s="78"/>
      <c r="G51" s="79">
        <v>0.71875</v>
      </c>
      <c r="H51" s="80"/>
      <c r="I51" s="77">
        <v>0.36458333333333331</v>
      </c>
      <c r="J51" s="78"/>
      <c r="K51" s="79">
        <v>0.71875</v>
      </c>
      <c r="L51" s="80"/>
      <c r="M51" s="77">
        <v>0.36458333333333331</v>
      </c>
      <c r="N51" s="78"/>
      <c r="O51" s="79">
        <v>0.8125</v>
      </c>
      <c r="P51" s="80"/>
      <c r="Q51" s="77">
        <v>0.36458333333333331</v>
      </c>
      <c r="R51" s="78"/>
      <c r="S51" s="79">
        <v>0.8125</v>
      </c>
      <c r="T51" s="80"/>
      <c r="U51" s="77">
        <v>0.36458333333333331</v>
      </c>
      <c r="V51" s="78"/>
      <c r="W51" s="79">
        <v>0.59375</v>
      </c>
      <c r="X51" s="80"/>
      <c r="Y51" s="187"/>
      <c r="Z51" s="188"/>
      <c r="AA51" s="188"/>
      <c r="AB51" s="189"/>
      <c r="AC51" s="186"/>
    </row>
    <row r="52" spans="1:32" ht="15.75" thickBot="1" x14ac:dyDescent="0.3">
      <c r="A52" s="190" t="s">
        <v>97</v>
      </c>
      <c r="B52" s="191"/>
      <c r="C52" s="191"/>
      <c r="D52" s="192"/>
      <c r="E52" s="190" t="s">
        <v>97</v>
      </c>
      <c r="F52" s="191"/>
      <c r="G52" s="191"/>
      <c r="H52" s="192"/>
      <c r="I52" s="190" t="s">
        <v>97</v>
      </c>
      <c r="J52" s="191"/>
      <c r="K52" s="191"/>
      <c r="L52" s="192"/>
      <c r="M52" s="196" t="s">
        <v>98</v>
      </c>
      <c r="N52" s="197"/>
      <c r="O52" s="197"/>
      <c r="P52" s="198"/>
      <c r="Q52" s="196" t="s">
        <v>98</v>
      </c>
      <c r="R52" s="197"/>
      <c r="S52" s="197"/>
      <c r="T52" s="198"/>
      <c r="U52" s="199" t="s">
        <v>99</v>
      </c>
      <c r="V52" s="200"/>
      <c r="W52" s="200"/>
      <c r="X52" s="201"/>
      <c r="Y52" s="193"/>
      <c r="Z52" s="194"/>
      <c r="AA52" s="194"/>
      <c r="AB52" s="195"/>
      <c r="AC52" s="186"/>
    </row>
    <row r="53" spans="1:32" x14ac:dyDescent="0.25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166"/>
    </row>
    <row r="54" spans="1:32" ht="15.75" thickBot="1" x14ac:dyDescent="0.3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166"/>
    </row>
    <row r="55" spans="1:32" ht="15.75" thickBot="1" x14ac:dyDescent="0.3">
      <c r="A55" s="159" t="s">
        <v>23</v>
      </c>
      <c r="B55" s="160"/>
      <c r="C55" s="160"/>
      <c r="D55" s="161"/>
      <c r="E55" s="162" t="s">
        <v>53</v>
      </c>
      <c r="F55" s="160"/>
      <c r="G55" s="160"/>
      <c r="H55" s="161"/>
      <c r="I55" s="162" t="s">
        <v>54</v>
      </c>
      <c r="J55" s="160"/>
      <c r="K55" s="160"/>
      <c r="L55" s="163"/>
      <c r="M55" s="164" t="s">
        <v>55</v>
      </c>
      <c r="N55" s="160"/>
      <c r="O55" s="160"/>
      <c r="P55" s="163"/>
      <c r="Q55" s="164" t="s">
        <v>56</v>
      </c>
      <c r="R55" s="160"/>
      <c r="S55" s="160"/>
      <c r="T55" s="163"/>
      <c r="U55" s="164" t="s">
        <v>57</v>
      </c>
      <c r="V55" s="160"/>
      <c r="W55" s="160"/>
      <c r="X55" s="163"/>
      <c r="Y55" s="164" t="s">
        <v>29</v>
      </c>
      <c r="Z55" s="160"/>
      <c r="AA55" s="160"/>
      <c r="AB55" s="165"/>
      <c r="AC55" s="166"/>
    </row>
    <row r="56" spans="1:32" ht="15.75" thickBot="1" x14ac:dyDescent="0.3">
      <c r="A56" s="169" t="s">
        <v>136</v>
      </c>
      <c r="B56" s="170"/>
      <c r="C56" s="170"/>
      <c r="D56" s="171"/>
      <c r="E56" s="169" t="s">
        <v>137</v>
      </c>
      <c r="F56" s="170"/>
      <c r="G56" s="170"/>
      <c r="H56" s="171"/>
      <c r="I56" s="169" t="s">
        <v>138</v>
      </c>
      <c r="J56" s="170"/>
      <c r="K56" s="170"/>
      <c r="L56" s="171"/>
      <c r="M56" s="169" t="s">
        <v>139</v>
      </c>
      <c r="N56" s="170"/>
      <c r="O56" s="170"/>
      <c r="P56" s="171"/>
      <c r="Q56" s="169" t="s">
        <v>140</v>
      </c>
      <c r="R56" s="170"/>
      <c r="S56" s="170"/>
      <c r="T56" s="171"/>
      <c r="U56" s="169" t="s">
        <v>141</v>
      </c>
      <c r="V56" s="170"/>
      <c r="W56" s="170"/>
      <c r="X56" s="171"/>
      <c r="Y56" s="169" t="s">
        <v>142</v>
      </c>
      <c r="Z56" s="170"/>
      <c r="AA56" s="170"/>
      <c r="AB56" s="171"/>
      <c r="AC56" s="166"/>
    </row>
    <row r="57" spans="1:32" ht="15.75" thickBot="1" x14ac:dyDescent="0.3">
      <c r="A57" s="172" t="s">
        <v>38</v>
      </c>
      <c r="B57" s="173"/>
      <c r="C57" s="172" t="s">
        <v>39</v>
      </c>
      <c r="D57" s="173"/>
      <c r="E57" s="172" t="s">
        <v>38</v>
      </c>
      <c r="F57" s="173"/>
      <c r="G57" s="172" t="s">
        <v>39</v>
      </c>
      <c r="H57" s="173"/>
      <c r="I57" s="172" t="s">
        <v>38</v>
      </c>
      <c r="J57" s="173"/>
      <c r="K57" s="172" t="s">
        <v>39</v>
      </c>
      <c r="L57" s="173"/>
      <c r="M57" s="172" t="s">
        <v>38</v>
      </c>
      <c r="N57" s="173"/>
      <c r="O57" s="172" t="s">
        <v>39</v>
      </c>
      <c r="P57" s="173"/>
      <c r="Q57" s="172" t="s">
        <v>38</v>
      </c>
      <c r="R57" s="173"/>
      <c r="S57" s="172" t="s">
        <v>39</v>
      </c>
      <c r="T57" s="173"/>
      <c r="U57" s="172" t="s">
        <v>38</v>
      </c>
      <c r="V57" s="173"/>
      <c r="W57" s="172" t="s">
        <v>39</v>
      </c>
      <c r="X57" s="173"/>
      <c r="Y57" s="174" t="s">
        <v>38</v>
      </c>
      <c r="Z57" s="175"/>
      <c r="AA57" s="174" t="s">
        <v>39</v>
      </c>
      <c r="AB57" s="175"/>
      <c r="AC57" s="166"/>
    </row>
    <row r="58" spans="1:32" ht="15.75" thickBot="1" x14ac:dyDescent="0.3">
      <c r="A58" s="178" t="s">
        <v>95</v>
      </c>
      <c r="B58" s="178"/>
      <c r="C58" s="178" t="s">
        <v>95</v>
      </c>
      <c r="D58" s="178"/>
      <c r="E58" s="176" t="s">
        <v>95</v>
      </c>
      <c r="F58" s="177"/>
      <c r="G58" s="178" t="s">
        <v>95</v>
      </c>
      <c r="H58" s="178"/>
      <c r="I58" s="178" t="s">
        <v>95</v>
      </c>
      <c r="J58" s="178"/>
      <c r="K58" s="208" t="s">
        <v>107</v>
      </c>
      <c r="L58" s="204"/>
      <c r="M58" s="176" t="s">
        <v>95</v>
      </c>
      <c r="N58" s="177"/>
      <c r="O58" s="207" t="s">
        <v>96</v>
      </c>
      <c r="P58" s="206"/>
      <c r="Q58" s="178" t="s">
        <v>95</v>
      </c>
      <c r="R58" s="178"/>
      <c r="S58" s="205" t="s">
        <v>96</v>
      </c>
      <c r="T58" s="207"/>
      <c r="U58" s="207" t="s">
        <v>96</v>
      </c>
      <c r="V58" s="207"/>
      <c r="W58" s="178" t="s">
        <v>95</v>
      </c>
      <c r="X58" s="178"/>
      <c r="Y58" s="207" t="s">
        <v>96</v>
      </c>
      <c r="Z58" s="207"/>
      <c r="AA58" s="207" t="s">
        <v>96</v>
      </c>
      <c r="AB58" s="207"/>
      <c r="AC58" s="181"/>
    </row>
    <row r="59" spans="1:32" ht="15.75" thickBot="1" x14ac:dyDescent="0.3">
      <c r="A59" s="81">
        <f>(C60-A60)-AF37</f>
        <v>0.3125</v>
      </c>
      <c r="B59" s="87"/>
      <c r="C59" s="87"/>
      <c r="D59" s="88"/>
      <c r="E59" s="81">
        <f>(G60-E60)-AF37</f>
        <v>0.3125</v>
      </c>
      <c r="F59" s="87"/>
      <c r="G59" s="87"/>
      <c r="H59" s="88"/>
      <c r="I59" s="183" t="s">
        <v>16</v>
      </c>
      <c r="J59" s="184"/>
      <c r="K59" s="184"/>
      <c r="L59" s="185"/>
      <c r="M59" s="81">
        <f>(O60-M60)-AE37</f>
        <v>0.39583333333333337</v>
      </c>
      <c r="N59" s="87"/>
      <c r="O59" s="87"/>
      <c r="P59" s="88"/>
      <c r="Q59" s="81">
        <f>(S60-Q60)-AE37</f>
        <v>0.39583333333333337</v>
      </c>
      <c r="R59" s="87"/>
      <c r="S59" s="87"/>
      <c r="T59" s="88"/>
      <c r="U59" s="81">
        <f>(W60-U60)-AE39</f>
        <v>0.19791666666666669</v>
      </c>
      <c r="V59" s="87"/>
      <c r="W59" s="87"/>
      <c r="X59" s="88"/>
      <c r="Y59" s="81">
        <f>(AA60-Y60)-AE38</f>
        <v>0.26041666666666674</v>
      </c>
      <c r="Z59" s="87"/>
      <c r="AA59" s="87"/>
      <c r="AB59" s="88"/>
      <c r="AC59" s="186">
        <f>A59+E59+M59+Q59+U59+Y59</f>
        <v>1.8750000000000004</v>
      </c>
    </row>
    <row r="60" spans="1:32" ht="15.75" thickBot="1" x14ac:dyDescent="0.3">
      <c r="A60" s="77">
        <v>0.36458333333333331</v>
      </c>
      <c r="B60" s="78"/>
      <c r="C60" s="79">
        <v>0.71875</v>
      </c>
      <c r="D60" s="80"/>
      <c r="E60" s="77">
        <v>0.36458333333333331</v>
      </c>
      <c r="F60" s="78"/>
      <c r="G60" s="79">
        <v>0.71875</v>
      </c>
      <c r="H60" s="80"/>
      <c r="I60" s="187"/>
      <c r="J60" s="188"/>
      <c r="K60" s="188"/>
      <c r="L60" s="189"/>
      <c r="M60" s="77">
        <v>0.36458333333333331</v>
      </c>
      <c r="N60" s="78"/>
      <c r="O60" s="79">
        <v>0.8125</v>
      </c>
      <c r="P60" s="80"/>
      <c r="Q60" s="77">
        <v>0.36458333333333331</v>
      </c>
      <c r="R60" s="78"/>
      <c r="S60" s="79">
        <v>0.8125</v>
      </c>
      <c r="T60" s="80"/>
      <c r="U60" s="77">
        <v>0.36458333333333331</v>
      </c>
      <c r="V60" s="78"/>
      <c r="W60" s="79">
        <v>0.59375</v>
      </c>
      <c r="X60" s="80"/>
      <c r="Y60" s="77">
        <v>0.36458333333333331</v>
      </c>
      <c r="Z60" s="78"/>
      <c r="AA60" s="79">
        <v>0.64583333333333337</v>
      </c>
      <c r="AB60" s="80"/>
      <c r="AC60" s="186"/>
    </row>
    <row r="61" spans="1:32" ht="15.75" thickBot="1" x14ac:dyDescent="0.3">
      <c r="A61" s="190" t="s">
        <v>97</v>
      </c>
      <c r="B61" s="191"/>
      <c r="C61" s="191"/>
      <c r="D61" s="192"/>
      <c r="E61" s="190" t="s">
        <v>97</v>
      </c>
      <c r="F61" s="191"/>
      <c r="G61" s="191"/>
      <c r="H61" s="192"/>
      <c r="I61" s="193"/>
      <c r="J61" s="194"/>
      <c r="K61" s="194"/>
      <c r="L61" s="195"/>
      <c r="M61" s="196" t="s">
        <v>98</v>
      </c>
      <c r="N61" s="197"/>
      <c r="O61" s="197"/>
      <c r="P61" s="198"/>
      <c r="Q61" s="196" t="s">
        <v>98</v>
      </c>
      <c r="R61" s="197"/>
      <c r="S61" s="197"/>
      <c r="T61" s="198"/>
      <c r="U61" s="199" t="s">
        <v>99</v>
      </c>
      <c r="V61" s="200"/>
      <c r="W61" s="200"/>
      <c r="X61" s="201"/>
      <c r="Y61" s="199" t="s">
        <v>99</v>
      </c>
      <c r="Z61" s="200"/>
      <c r="AA61" s="200"/>
      <c r="AB61" s="201"/>
      <c r="AC61" s="186"/>
    </row>
    <row r="62" spans="1:32" x14ac:dyDescent="0.25">
      <c r="AC62" s="202"/>
    </row>
    <row r="63" spans="1:32" ht="15.75" thickBot="1" x14ac:dyDescent="0.3">
      <c r="AC63" s="202"/>
    </row>
    <row r="64" spans="1:32" ht="15.75" thickBot="1" x14ac:dyDescent="0.3">
      <c r="A64" s="159" t="s">
        <v>23</v>
      </c>
      <c r="B64" s="160"/>
      <c r="C64" s="160"/>
      <c r="D64" s="161"/>
      <c r="E64" s="162" t="s">
        <v>53</v>
      </c>
      <c r="F64" s="160"/>
      <c r="G64" s="160"/>
      <c r="H64" s="161"/>
      <c r="I64" s="162" t="s">
        <v>54</v>
      </c>
      <c r="J64" s="160"/>
      <c r="K64" s="160"/>
      <c r="L64" s="163"/>
      <c r="M64" s="164" t="s">
        <v>55</v>
      </c>
      <c r="N64" s="160"/>
      <c r="O64" s="160"/>
      <c r="P64" s="163"/>
      <c r="Q64" s="164" t="s">
        <v>56</v>
      </c>
      <c r="R64" s="160"/>
      <c r="S64" s="160"/>
      <c r="T64" s="163"/>
      <c r="U64" s="164" t="s">
        <v>57</v>
      </c>
      <c r="V64" s="160"/>
      <c r="W64" s="160"/>
      <c r="X64" s="163"/>
      <c r="Y64" s="164" t="s">
        <v>29</v>
      </c>
      <c r="Z64" s="160"/>
      <c r="AA64" s="160"/>
      <c r="AB64" s="165"/>
      <c r="AC64" s="166"/>
      <c r="AD64" s="33" t="s">
        <v>85</v>
      </c>
      <c r="AE64" s="167">
        <v>5.2083333333333336E-2</v>
      </c>
      <c r="AF64" s="168">
        <v>4.1666666666666664E-2</v>
      </c>
    </row>
    <row r="65" spans="1:31" ht="15.75" thickBot="1" x14ac:dyDescent="0.3">
      <c r="A65" s="169" t="s">
        <v>143</v>
      </c>
      <c r="B65" s="170"/>
      <c r="C65" s="170"/>
      <c r="D65" s="171"/>
      <c r="E65" s="169" t="s">
        <v>144</v>
      </c>
      <c r="F65" s="170"/>
      <c r="G65" s="170"/>
      <c r="H65" s="171"/>
      <c r="I65" s="169" t="s">
        <v>145</v>
      </c>
      <c r="J65" s="170"/>
      <c r="K65" s="170"/>
      <c r="L65" s="171"/>
      <c r="M65" s="169" t="s">
        <v>146</v>
      </c>
      <c r="N65" s="170"/>
      <c r="O65" s="170"/>
      <c r="P65" s="171"/>
      <c r="Q65" s="169" t="s">
        <v>147</v>
      </c>
      <c r="R65" s="170"/>
      <c r="S65" s="170"/>
      <c r="T65" s="171"/>
      <c r="U65" s="169" t="s">
        <v>148</v>
      </c>
      <c r="V65" s="170"/>
      <c r="W65" s="170"/>
      <c r="X65" s="171"/>
      <c r="Y65" s="169" t="s">
        <v>149</v>
      </c>
      <c r="Z65" s="170"/>
      <c r="AA65" s="170"/>
      <c r="AB65" s="171"/>
      <c r="AC65" s="166"/>
      <c r="AD65" s="33" t="s">
        <v>93</v>
      </c>
      <c r="AE65" s="167">
        <v>2.0833333333333332E-2</v>
      </c>
    </row>
    <row r="66" spans="1:31" ht="15.75" thickBot="1" x14ac:dyDescent="0.3">
      <c r="A66" s="172" t="s">
        <v>38</v>
      </c>
      <c r="B66" s="173"/>
      <c r="C66" s="172" t="s">
        <v>39</v>
      </c>
      <c r="D66" s="173"/>
      <c r="E66" s="172" t="s">
        <v>38</v>
      </c>
      <c r="F66" s="173"/>
      <c r="G66" s="172" t="s">
        <v>39</v>
      </c>
      <c r="H66" s="173"/>
      <c r="I66" s="172" t="s">
        <v>38</v>
      </c>
      <c r="J66" s="173"/>
      <c r="K66" s="172" t="s">
        <v>39</v>
      </c>
      <c r="L66" s="173"/>
      <c r="M66" s="172" t="s">
        <v>38</v>
      </c>
      <c r="N66" s="173"/>
      <c r="O66" s="172" t="s">
        <v>39</v>
      </c>
      <c r="P66" s="173"/>
      <c r="Q66" s="172" t="s">
        <v>38</v>
      </c>
      <c r="R66" s="173"/>
      <c r="S66" s="172" t="s">
        <v>39</v>
      </c>
      <c r="T66" s="173"/>
      <c r="U66" s="172" t="s">
        <v>38</v>
      </c>
      <c r="V66" s="173"/>
      <c r="W66" s="172" t="s">
        <v>39</v>
      </c>
      <c r="X66" s="173"/>
      <c r="Y66" s="174" t="s">
        <v>38</v>
      </c>
      <c r="Z66" s="175"/>
      <c r="AA66" s="174" t="s">
        <v>39</v>
      </c>
      <c r="AB66" s="175"/>
      <c r="AC66" s="166"/>
      <c r="AD66" s="167" t="s">
        <v>94</v>
      </c>
      <c r="AE66" s="167">
        <v>3.125E-2</v>
      </c>
    </row>
    <row r="67" spans="1:31" ht="15.75" thickBot="1" x14ac:dyDescent="0.3">
      <c r="A67" s="178" t="s">
        <v>95</v>
      </c>
      <c r="B67" s="178"/>
      <c r="C67" s="176" t="s">
        <v>95</v>
      </c>
      <c r="D67" s="178"/>
      <c r="E67" s="176" t="s">
        <v>95</v>
      </c>
      <c r="F67" s="177"/>
      <c r="G67" s="176" t="s">
        <v>95</v>
      </c>
      <c r="H67" s="177"/>
      <c r="I67" s="178" t="s">
        <v>95</v>
      </c>
      <c r="J67" s="177"/>
      <c r="K67" s="203" t="s">
        <v>107</v>
      </c>
      <c r="L67" s="203"/>
      <c r="M67" s="176" t="s">
        <v>95</v>
      </c>
      <c r="N67" s="177"/>
      <c r="O67" s="207" t="s">
        <v>96</v>
      </c>
      <c r="P67" s="206"/>
      <c r="Q67" s="203" t="s">
        <v>107</v>
      </c>
      <c r="R67" s="203"/>
      <c r="S67" s="205" t="s">
        <v>96</v>
      </c>
      <c r="T67" s="207"/>
      <c r="U67" s="207" t="s">
        <v>96</v>
      </c>
      <c r="V67" s="207"/>
      <c r="W67" s="203" t="s">
        <v>107</v>
      </c>
      <c r="X67" s="203"/>
      <c r="Y67" s="203" t="s">
        <v>107</v>
      </c>
      <c r="Z67" s="203"/>
      <c r="AA67" s="203" t="s">
        <v>107</v>
      </c>
      <c r="AB67" s="203"/>
      <c r="AC67" s="181"/>
    </row>
    <row r="68" spans="1:31" ht="15.75" thickBot="1" x14ac:dyDescent="0.3">
      <c r="A68" s="81">
        <f>(C69-A69)-AF37</f>
        <v>0.3125</v>
      </c>
      <c r="B68" s="87"/>
      <c r="C68" s="87"/>
      <c r="D68" s="88"/>
      <c r="E68" s="81">
        <f>(G69-E69)-AF37</f>
        <v>0.3125</v>
      </c>
      <c r="F68" s="87"/>
      <c r="G68" s="87"/>
      <c r="H68" s="88"/>
      <c r="I68" s="81">
        <f>(K69-I69)-AF37</f>
        <v>0.3125</v>
      </c>
      <c r="J68" s="87"/>
      <c r="K68" s="87"/>
      <c r="L68" s="88"/>
      <c r="M68" s="81">
        <f>(O69-M69)-AE37</f>
        <v>0.39583333333333337</v>
      </c>
      <c r="N68" s="87"/>
      <c r="O68" s="87"/>
      <c r="P68" s="88"/>
      <c r="Q68" s="81">
        <f>(S69-Q69)-AE37</f>
        <v>0.39583333333333337</v>
      </c>
      <c r="R68" s="87"/>
      <c r="S68" s="87"/>
      <c r="T68" s="88"/>
      <c r="U68" s="81">
        <f>(W69-U69)-AE39</f>
        <v>0.19791666666666669</v>
      </c>
      <c r="V68" s="87"/>
      <c r="W68" s="87"/>
      <c r="X68" s="88"/>
      <c r="Y68" s="183" t="s">
        <v>16</v>
      </c>
      <c r="Z68" s="184"/>
      <c r="AA68" s="184"/>
      <c r="AB68" s="185"/>
      <c r="AC68" s="186">
        <f>A68+E68+M68+Q68+U68+I68</f>
        <v>1.9270833333333337</v>
      </c>
    </row>
    <row r="69" spans="1:31" ht="15.75" thickBot="1" x14ac:dyDescent="0.3">
      <c r="A69" s="77">
        <v>0.36458333333333331</v>
      </c>
      <c r="B69" s="78"/>
      <c r="C69" s="79">
        <v>0.71875</v>
      </c>
      <c r="D69" s="80"/>
      <c r="E69" s="77">
        <v>0.36458333333333331</v>
      </c>
      <c r="F69" s="78"/>
      <c r="G69" s="79">
        <v>0.71875</v>
      </c>
      <c r="H69" s="80"/>
      <c r="I69" s="77">
        <v>0.36458333333333331</v>
      </c>
      <c r="J69" s="78"/>
      <c r="K69" s="79">
        <v>0.71875</v>
      </c>
      <c r="L69" s="80"/>
      <c r="M69" s="77">
        <v>0.36458333333333331</v>
      </c>
      <c r="N69" s="78"/>
      <c r="O69" s="79">
        <v>0.8125</v>
      </c>
      <c r="P69" s="80"/>
      <c r="Q69" s="77">
        <v>0.36458333333333331</v>
      </c>
      <c r="R69" s="78"/>
      <c r="S69" s="79">
        <v>0.8125</v>
      </c>
      <c r="T69" s="80"/>
      <c r="U69" s="77">
        <v>0.36458333333333331</v>
      </c>
      <c r="V69" s="78"/>
      <c r="W69" s="79">
        <v>0.59375</v>
      </c>
      <c r="X69" s="80"/>
      <c r="Y69" s="187"/>
      <c r="Z69" s="188"/>
      <c r="AA69" s="188"/>
      <c r="AB69" s="189"/>
      <c r="AC69" s="186"/>
    </row>
    <row r="70" spans="1:31" ht="15.75" thickBot="1" x14ac:dyDescent="0.3">
      <c r="A70" s="190" t="s">
        <v>97</v>
      </c>
      <c r="B70" s="191"/>
      <c r="C70" s="191"/>
      <c r="D70" s="192"/>
      <c r="E70" s="190" t="s">
        <v>97</v>
      </c>
      <c r="F70" s="191"/>
      <c r="G70" s="191"/>
      <c r="H70" s="192"/>
      <c r="I70" s="190" t="s">
        <v>97</v>
      </c>
      <c r="J70" s="191"/>
      <c r="K70" s="191"/>
      <c r="L70" s="192"/>
      <c r="M70" s="196" t="s">
        <v>98</v>
      </c>
      <c r="N70" s="197"/>
      <c r="O70" s="197"/>
      <c r="P70" s="198"/>
      <c r="Q70" s="196" t="s">
        <v>98</v>
      </c>
      <c r="R70" s="197"/>
      <c r="S70" s="197"/>
      <c r="T70" s="198"/>
      <c r="U70" s="199" t="s">
        <v>99</v>
      </c>
      <c r="V70" s="200"/>
      <c r="W70" s="200"/>
      <c r="X70" s="201"/>
      <c r="Y70" s="193"/>
      <c r="Z70" s="194"/>
      <c r="AA70" s="194"/>
      <c r="AB70" s="195"/>
      <c r="AC70" s="186"/>
    </row>
    <row r="71" spans="1:31" x14ac:dyDescent="0.25">
      <c r="AC71" s="202"/>
    </row>
    <row r="72" spans="1:31" ht="15.75" thickBot="1" x14ac:dyDescent="0.3">
      <c r="AC72" s="202"/>
    </row>
    <row r="73" spans="1:31" ht="15.75" thickBot="1" x14ac:dyDescent="0.3">
      <c r="A73" s="159" t="s">
        <v>23</v>
      </c>
      <c r="B73" s="160"/>
      <c r="C73" s="160"/>
      <c r="D73" s="161"/>
      <c r="E73" s="162" t="s">
        <v>53</v>
      </c>
      <c r="F73" s="160"/>
      <c r="G73" s="160"/>
      <c r="H73" s="161"/>
      <c r="I73" s="162" t="s">
        <v>54</v>
      </c>
      <c r="J73" s="160"/>
      <c r="K73" s="160"/>
      <c r="L73" s="163"/>
      <c r="M73" s="164" t="s">
        <v>55</v>
      </c>
      <c r="N73" s="160"/>
      <c r="O73" s="160"/>
      <c r="P73" s="163"/>
      <c r="Q73" s="164" t="s">
        <v>56</v>
      </c>
      <c r="R73" s="160"/>
      <c r="S73" s="160"/>
      <c r="T73" s="163"/>
      <c r="U73" s="164" t="s">
        <v>57</v>
      </c>
      <c r="V73" s="160"/>
      <c r="W73" s="160"/>
      <c r="X73" s="163"/>
      <c r="Y73" s="164" t="s">
        <v>29</v>
      </c>
      <c r="Z73" s="160"/>
      <c r="AA73" s="160"/>
      <c r="AB73" s="165"/>
      <c r="AC73" s="166"/>
    </row>
    <row r="74" spans="1:31" ht="15.75" thickBot="1" x14ac:dyDescent="0.3">
      <c r="A74" s="169" t="s">
        <v>150</v>
      </c>
      <c r="B74" s="170"/>
      <c r="C74" s="170"/>
      <c r="D74" s="171"/>
      <c r="E74" s="169" t="s">
        <v>151</v>
      </c>
      <c r="F74" s="170"/>
      <c r="G74" s="170"/>
      <c r="H74" s="171"/>
      <c r="I74" s="169" t="s">
        <v>152</v>
      </c>
      <c r="J74" s="170"/>
      <c r="K74" s="170"/>
      <c r="L74" s="171"/>
      <c r="M74" s="169" t="s">
        <v>153</v>
      </c>
      <c r="N74" s="170"/>
      <c r="O74" s="170"/>
      <c r="P74" s="171"/>
      <c r="Q74" s="169" t="s">
        <v>154</v>
      </c>
      <c r="R74" s="170"/>
      <c r="S74" s="170"/>
      <c r="T74" s="171"/>
      <c r="U74" s="169" t="s">
        <v>155</v>
      </c>
      <c r="V74" s="170"/>
      <c r="W74" s="170"/>
      <c r="X74" s="171"/>
      <c r="Y74" s="169" t="s">
        <v>156</v>
      </c>
      <c r="Z74" s="170"/>
      <c r="AA74" s="170"/>
      <c r="AB74" s="171"/>
      <c r="AC74" s="166"/>
    </row>
    <row r="75" spans="1:31" ht="15.75" thickBot="1" x14ac:dyDescent="0.3">
      <c r="A75" s="172" t="s">
        <v>38</v>
      </c>
      <c r="B75" s="173"/>
      <c r="C75" s="172" t="s">
        <v>39</v>
      </c>
      <c r="D75" s="173"/>
      <c r="E75" s="172" t="s">
        <v>38</v>
      </c>
      <c r="F75" s="173"/>
      <c r="G75" s="172" t="s">
        <v>39</v>
      </c>
      <c r="H75" s="173"/>
      <c r="I75" s="172" t="s">
        <v>38</v>
      </c>
      <c r="J75" s="173"/>
      <c r="K75" s="172" t="s">
        <v>39</v>
      </c>
      <c r="L75" s="173"/>
      <c r="M75" s="172" t="s">
        <v>38</v>
      </c>
      <c r="N75" s="173"/>
      <c r="O75" s="172" t="s">
        <v>39</v>
      </c>
      <c r="P75" s="173"/>
      <c r="Q75" s="172" t="s">
        <v>38</v>
      </c>
      <c r="R75" s="173"/>
      <c r="S75" s="172" t="s">
        <v>39</v>
      </c>
      <c r="T75" s="173"/>
      <c r="U75" s="172" t="s">
        <v>38</v>
      </c>
      <c r="V75" s="173"/>
      <c r="W75" s="172" t="s">
        <v>39</v>
      </c>
      <c r="X75" s="173"/>
      <c r="Y75" s="174" t="s">
        <v>38</v>
      </c>
      <c r="Z75" s="175"/>
      <c r="AA75" s="174" t="s">
        <v>39</v>
      </c>
      <c r="AB75" s="175"/>
      <c r="AC75" s="166"/>
    </row>
    <row r="76" spans="1:31" ht="15.75" thickBot="1" x14ac:dyDescent="0.3">
      <c r="A76" s="176" t="s">
        <v>95</v>
      </c>
      <c r="B76" s="177"/>
      <c r="C76" s="203" t="s">
        <v>107</v>
      </c>
      <c r="D76" s="203"/>
      <c r="E76" s="176" t="s">
        <v>95</v>
      </c>
      <c r="F76" s="177"/>
      <c r="G76" s="203" t="s">
        <v>107</v>
      </c>
      <c r="H76" s="203"/>
      <c r="I76" s="178" t="s">
        <v>95</v>
      </c>
      <c r="J76" s="178"/>
      <c r="K76" s="203" t="s">
        <v>107</v>
      </c>
      <c r="L76" s="203"/>
      <c r="M76" s="176" t="s">
        <v>95</v>
      </c>
      <c r="N76" s="177"/>
      <c r="O76" s="207" t="s">
        <v>96</v>
      </c>
      <c r="P76" s="206"/>
      <c r="Q76" s="203" t="s">
        <v>107</v>
      </c>
      <c r="R76" s="203"/>
      <c r="S76" s="205" t="s">
        <v>96</v>
      </c>
      <c r="T76" s="207"/>
      <c r="U76" s="207" t="s">
        <v>96</v>
      </c>
      <c r="V76" s="207"/>
      <c r="W76" s="178" t="s">
        <v>95</v>
      </c>
      <c r="X76" s="178"/>
      <c r="Y76" s="178" t="s">
        <v>95</v>
      </c>
      <c r="Z76" s="178"/>
      <c r="AA76" s="178" t="s">
        <v>95</v>
      </c>
      <c r="AB76" s="178"/>
      <c r="AC76" s="181"/>
    </row>
    <row r="77" spans="1:31" ht="15.75" thickBot="1" x14ac:dyDescent="0.3">
      <c r="A77" s="81">
        <f>(C78-A78)-AF64</f>
        <v>0.3125</v>
      </c>
      <c r="B77" s="87"/>
      <c r="C77" s="87"/>
      <c r="D77" s="88"/>
      <c r="E77" s="81">
        <f>(G78-E78)-AF64</f>
        <v>0.3125</v>
      </c>
      <c r="F77" s="87"/>
      <c r="G77" s="87"/>
      <c r="H77" s="88"/>
      <c r="I77" s="81">
        <f>(K78-I78)-AF64</f>
        <v>0.3125</v>
      </c>
      <c r="J77" s="87"/>
      <c r="K77" s="87"/>
      <c r="L77" s="88"/>
      <c r="M77" s="81">
        <f>(O78-M78)-AE64</f>
        <v>0.39583333333333337</v>
      </c>
      <c r="N77" s="87"/>
      <c r="O77" s="87"/>
      <c r="P77" s="88"/>
      <c r="Q77" s="81">
        <f>(S78-Q78)-AE64</f>
        <v>0.39583333333333337</v>
      </c>
      <c r="R77" s="87"/>
      <c r="S77" s="87"/>
      <c r="T77" s="88"/>
      <c r="U77" s="81">
        <f>(W78-U78)-AE66</f>
        <v>0.19791666666666669</v>
      </c>
      <c r="V77" s="87"/>
      <c r="W77" s="87"/>
      <c r="X77" s="88"/>
      <c r="Y77" s="183" t="s">
        <v>16</v>
      </c>
      <c r="Z77" s="184"/>
      <c r="AA77" s="184"/>
      <c r="AB77" s="185"/>
      <c r="AC77" s="186">
        <f>A77+E77+I77+M77+Q77+U77</f>
        <v>1.9270833333333337</v>
      </c>
    </row>
    <row r="78" spans="1:31" ht="15.75" thickBot="1" x14ac:dyDescent="0.3">
      <c r="A78" s="77">
        <v>0.36458333333333331</v>
      </c>
      <c r="B78" s="78"/>
      <c r="C78" s="79">
        <v>0.71875</v>
      </c>
      <c r="D78" s="80"/>
      <c r="E78" s="77">
        <v>0.36458333333333331</v>
      </c>
      <c r="F78" s="78"/>
      <c r="G78" s="79">
        <v>0.71875</v>
      </c>
      <c r="H78" s="80"/>
      <c r="I78" s="77">
        <v>0.36458333333333331</v>
      </c>
      <c r="J78" s="78"/>
      <c r="K78" s="79">
        <v>0.71875</v>
      </c>
      <c r="L78" s="80"/>
      <c r="M78" s="77">
        <v>0.36458333333333331</v>
      </c>
      <c r="N78" s="78"/>
      <c r="O78" s="79">
        <v>0.8125</v>
      </c>
      <c r="P78" s="80"/>
      <c r="Q78" s="77">
        <v>0.36458333333333331</v>
      </c>
      <c r="R78" s="78"/>
      <c r="S78" s="79">
        <v>0.8125</v>
      </c>
      <c r="T78" s="80"/>
      <c r="U78" s="77">
        <v>0.36458333333333331</v>
      </c>
      <c r="V78" s="78"/>
      <c r="W78" s="79">
        <v>0.59375</v>
      </c>
      <c r="X78" s="80"/>
      <c r="Y78" s="187"/>
      <c r="Z78" s="188"/>
      <c r="AA78" s="188"/>
      <c r="AB78" s="189"/>
      <c r="AC78" s="186"/>
    </row>
    <row r="79" spans="1:31" ht="15.75" thickBot="1" x14ac:dyDescent="0.3">
      <c r="A79" s="190" t="s">
        <v>97</v>
      </c>
      <c r="B79" s="191"/>
      <c r="C79" s="191"/>
      <c r="D79" s="192"/>
      <c r="E79" s="190" t="s">
        <v>97</v>
      </c>
      <c r="F79" s="191"/>
      <c r="G79" s="191"/>
      <c r="H79" s="192"/>
      <c r="I79" s="190" t="s">
        <v>97</v>
      </c>
      <c r="J79" s="191"/>
      <c r="K79" s="191"/>
      <c r="L79" s="192"/>
      <c r="M79" s="196" t="s">
        <v>98</v>
      </c>
      <c r="N79" s="197"/>
      <c r="O79" s="197"/>
      <c r="P79" s="198"/>
      <c r="Q79" s="196" t="s">
        <v>98</v>
      </c>
      <c r="R79" s="197"/>
      <c r="S79" s="197"/>
      <c r="T79" s="198"/>
      <c r="U79" s="199" t="s">
        <v>99</v>
      </c>
      <c r="V79" s="200"/>
      <c r="W79" s="200"/>
      <c r="X79" s="201"/>
      <c r="Y79" s="193"/>
      <c r="Z79" s="194"/>
      <c r="AA79" s="194"/>
      <c r="AB79" s="195"/>
      <c r="AC79" s="186"/>
    </row>
    <row r="80" spans="1:31" x14ac:dyDescent="0.25">
      <c r="AC80" s="202"/>
    </row>
    <row r="81" spans="1:29" ht="15.75" thickBot="1" x14ac:dyDescent="0.3">
      <c r="AC81" s="202"/>
    </row>
    <row r="82" spans="1:29" ht="15.75" thickBot="1" x14ac:dyDescent="0.3">
      <c r="A82" s="159" t="s">
        <v>23</v>
      </c>
      <c r="B82" s="160"/>
      <c r="C82" s="160"/>
      <c r="D82" s="161"/>
      <c r="E82" s="162" t="s">
        <v>53</v>
      </c>
      <c r="F82" s="160"/>
      <c r="G82" s="160"/>
      <c r="H82" s="161"/>
      <c r="I82" s="162" t="s">
        <v>54</v>
      </c>
      <c r="J82" s="160"/>
      <c r="K82" s="160"/>
      <c r="L82" s="163"/>
      <c r="M82" s="164" t="s">
        <v>55</v>
      </c>
      <c r="N82" s="160"/>
      <c r="O82" s="160"/>
      <c r="P82" s="163"/>
      <c r="Q82" s="164" t="s">
        <v>56</v>
      </c>
      <c r="R82" s="160"/>
      <c r="S82" s="160"/>
      <c r="T82" s="163"/>
      <c r="U82" s="164" t="s">
        <v>57</v>
      </c>
      <c r="V82" s="160"/>
      <c r="W82" s="160"/>
      <c r="X82" s="163"/>
      <c r="Y82" s="164" t="s">
        <v>29</v>
      </c>
      <c r="Z82" s="160"/>
      <c r="AA82" s="160"/>
      <c r="AB82" s="165"/>
      <c r="AC82" s="166"/>
    </row>
    <row r="83" spans="1:29" ht="15.75" thickBot="1" x14ac:dyDescent="0.3">
      <c r="A83" s="169" t="s">
        <v>157</v>
      </c>
      <c r="B83" s="170"/>
      <c r="C83" s="170"/>
      <c r="D83" s="171"/>
      <c r="E83" s="169" t="s">
        <v>158</v>
      </c>
      <c r="F83" s="170"/>
      <c r="G83" s="170"/>
      <c r="H83" s="171"/>
      <c r="I83" s="169" t="s">
        <v>159</v>
      </c>
      <c r="J83" s="170"/>
      <c r="K83" s="170"/>
      <c r="L83" s="171"/>
      <c r="M83" s="169" t="s">
        <v>160</v>
      </c>
      <c r="N83" s="170"/>
      <c r="O83" s="170"/>
      <c r="P83" s="171"/>
      <c r="Q83" s="169" t="s">
        <v>161</v>
      </c>
      <c r="R83" s="170"/>
      <c r="S83" s="170"/>
      <c r="T83" s="171"/>
      <c r="U83" s="169" t="s">
        <v>162</v>
      </c>
      <c r="V83" s="170"/>
      <c r="W83" s="170"/>
      <c r="X83" s="171"/>
      <c r="Y83" s="169" t="s">
        <v>163</v>
      </c>
      <c r="Z83" s="170"/>
      <c r="AA83" s="170"/>
      <c r="AB83" s="171"/>
      <c r="AC83" s="166"/>
    </row>
    <row r="84" spans="1:29" ht="15.75" thickBot="1" x14ac:dyDescent="0.3">
      <c r="A84" s="172" t="s">
        <v>38</v>
      </c>
      <c r="B84" s="173"/>
      <c r="C84" s="172" t="s">
        <v>39</v>
      </c>
      <c r="D84" s="173"/>
      <c r="E84" s="172" t="s">
        <v>38</v>
      </c>
      <c r="F84" s="173"/>
      <c r="G84" s="172" t="s">
        <v>39</v>
      </c>
      <c r="H84" s="173"/>
      <c r="I84" s="172" t="s">
        <v>38</v>
      </c>
      <c r="J84" s="173"/>
      <c r="K84" s="172" t="s">
        <v>39</v>
      </c>
      <c r="L84" s="173"/>
      <c r="M84" s="172" t="s">
        <v>38</v>
      </c>
      <c r="N84" s="173"/>
      <c r="O84" s="172" t="s">
        <v>39</v>
      </c>
      <c r="P84" s="173"/>
      <c r="Q84" s="172" t="s">
        <v>38</v>
      </c>
      <c r="R84" s="173"/>
      <c r="S84" s="172" t="s">
        <v>39</v>
      </c>
      <c r="T84" s="173"/>
      <c r="U84" s="172" t="s">
        <v>38</v>
      </c>
      <c r="V84" s="173"/>
      <c r="W84" s="172" t="s">
        <v>39</v>
      </c>
      <c r="X84" s="173"/>
      <c r="Y84" s="174" t="s">
        <v>38</v>
      </c>
      <c r="Z84" s="175"/>
      <c r="AA84" s="174" t="s">
        <v>39</v>
      </c>
      <c r="AB84" s="175"/>
      <c r="AC84" s="166"/>
    </row>
    <row r="85" spans="1:29" ht="15.75" thickBot="1" x14ac:dyDescent="0.3">
      <c r="A85" s="178" t="s">
        <v>95</v>
      </c>
      <c r="B85" s="178"/>
      <c r="C85" s="178" t="s">
        <v>95</v>
      </c>
      <c r="D85" s="178"/>
      <c r="E85" s="176" t="s">
        <v>95</v>
      </c>
      <c r="F85" s="177"/>
      <c r="G85" s="178" t="s">
        <v>95</v>
      </c>
      <c r="H85" s="178"/>
      <c r="I85" s="178" t="s">
        <v>95</v>
      </c>
      <c r="J85" s="178"/>
      <c r="K85" s="208" t="s">
        <v>107</v>
      </c>
      <c r="L85" s="204"/>
      <c r="M85" s="176" t="s">
        <v>95</v>
      </c>
      <c r="N85" s="177"/>
      <c r="O85" s="207" t="s">
        <v>96</v>
      </c>
      <c r="P85" s="206"/>
      <c r="Q85" s="178" t="s">
        <v>95</v>
      </c>
      <c r="R85" s="178"/>
      <c r="S85" s="205" t="s">
        <v>96</v>
      </c>
      <c r="T85" s="207"/>
      <c r="U85" s="207" t="s">
        <v>96</v>
      </c>
      <c r="V85" s="207"/>
      <c r="W85" s="203" t="s">
        <v>107</v>
      </c>
      <c r="X85" s="203"/>
      <c r="Y85" s="207" t="s">
        <v>96</v>
      </c>
      <c r="Z85" s="207"/>
      <c r="AA85" s="207" t="s">
        <v>96</v>
      </c>
      <c r="AB85" s="207"/>
      <c r="AC85" s="181"/>
    </row>
    <row r="86" spans="1:29" ht="15.75" thickBot="1" x14ac:dyDescent="0.3">
      <c r="A86" s="81">
        <f>(C87-A87)-AF64</f>
        <v>0.3125</v>
      </c>
      <c r="B86" s="87"/>
      <c r="C86" s="87"/>
      <c r="D86" s="88"/>
      <c r="E86" s="81">
        <f>(G87-E87)-AF64</f>
        <v>0.3125</v>
      </c>
      <c r="F86" s="87"/>
      <c r="G86" s="87"/>
      <c r="H86" s="88"/>
      <c r="I86" s="183" t="s">
        <v>16</v>
      </c>
      <c r="J86" s="184"/>
      <c r="K86" s="184"/>
      <c r="L86" s="185"/>
      <c r="M86" s="81">
        <f>(O87-M87)-AE64</f>
        <v>0.39583333333333337</v>
      </c>
      <c r="N86" s="87"/>
      <c r="O86" s="87"/>
      <c r="P86" s="88"/>
      <c r="Q86" s="81">
        <f>(S87-Q87)-AE64</f>
        <v>0.39583333333333337</v>
      </c>
      <c r="R86" s="87"/>
      <c r="S86" s="87"/>
      <c r="T86" s="88"/>
      <c r="U86" s="81">
        <f>(W87-U87)-AE66</f>
        <v>0.19791666666666669</v>
      </c>
      <c r="V86" s="87"/>
      <c r="W86" s="87"/>
      <c r="X86" s="88"/>
      <c r="Y86" s="81">
        <f>(AA87-Y87)-AE65</f>
        <v>0.26041666666666674</v>
      </c>
      <c r="Z86" s="87"/>
      <c r="AA86" s="87"/>
      <c r="AB86" s="88"/>
      <c r="AC86" s="186">
        <f>A86+E86+M86+Q86+U86+Y86</f>
        <v>1.8750000000000004</v>
      </c>
    </row>
    <row r="87" spans="1:29" ht="15.75" thickBot="1" x14ac:dyDescent="0.3">
      <c r="A87" s="77">
        <v>0.36458333333333331</v>
      </c>
      <c r="B87" s="78"/>
      <c r="C87" s="79">
        <v>0.71875</v>
      </c>
      <c r="D87" s="80"/>
      <c r="E87" s="77">
        <v>0.36458333333333331</v>
      </c>
      <c r="F87" s="78"/>
      <c r="G87" s="79">
        <v>0.71875</v>
      </c>
      <c r="H87" s="80"/>
      <c r="I87" s="187"/>
      <c r="J87" s="188"/>
      <c r="K87" s="188"/>
      <c r="L87" s="189"/>
      <c r="M87" s="77">
        <v>0.36458333333333331</v>
      </c>
      <c r="N87" s="78"/>
      <c r="O87" s="79">
        <v>0.8125</v>
      </c>
      <c r="P87" s="80"/>
      <c r="Q87" s="77">
        <v>0.36458333333333331</v>
      </c>
      <c r="R87" s="78"/>
      <c r="S87" s="79">
        <v>0.8125</v>
      </c>
      <c r="T87" s="80"/>
      <c r="U87" s="77">
        <v>0.36458333333333331</v>
      </c>
      <c r="V87" s="78"/>
      <c r="W87" s="79">
        <v>0.59375</v>
      </c>
      <c r="X87" s="80"/>
      <c r="Y87" s="77">
        <v>0.36458333333333331</v>
      </c>
      <c r="Z87" s="78"/>
      <c r="AA87" s="79">
        <v>0.64583333333333337</v>
      </c>
      <c r="AB87" s="80"/>
      <c r="AC87" s="186"/>
    </row>
    <row r="88" spans="1:29" ht="15.75" thickBot="1" x14ac:dyDescent="0.3">
      <c r="A88" s="190" t="s">
        <v>97</v>
      </c>
      <c r="B88" s="191"/>
      <c r="C88" s="191"/>
      <c r="D88" s="192"/>
      <c r="E88" s="190" t="s">
        <v>97</v>
      </c>
      <c r="F88" s="191"/>
      <c r="G88" s="191"/>
      <c r="H88" s="192"/>
      <c r="I88" s="193"/>
      <c r="J88" s="194"/>
      <c r="K88" s="194"/>
      <c r="L88" s="195"/>
      <c r="M88" s="196" t="s">
        <v>98</v>
      </c>
      <c r="N88" s="197"/>
      <c r="O88" s="197"/>
      <c r="P88" s="198"/>
      <c r="Q88" s="196" t="s">
        <v>98</v>
      </c>
      <c r="R88" s="197"/>
      <c r="S88" s="197"/>
      <c r="T88" s="198"/>
      <c r="U88" s="199" t="s">
        <v>99</v>
      </c>
      <c r="V88" s="200"/>
      <c r="W88" s="200"/>
      <c r="X88" s="201"/>
      <c r="Y88" s="199" t="s">
        <v>99</v>
      </c>
      <c r="Z88" s="200"/>
      <c r="AA88" s="200"/>
      <c r="AB88" s="201"/>
      <c r="AC88" s="186"/>
    </row>
    <row r="89" spans="1:29" x14ac:dyDescent="0.25">
      <c r="AC89" s="202"/>
    </row>
    <row r="90" spans="1:29" x14ac:dyDescent="0.25">
      <c r="AC90" s="202"/>
    </row>
    <row r="91" spans="1:29" x14ac:dyDescent="0.25">
      <c r="AC91" s="202"/>
    </row>
    <row r="92" spans="1:29" x14ac:dyDescent="0.25">
      <c r="AC92" s="202"/>
    </row>
    <row r="93" spans="1:29" x14ac:dyDescent="0.25">
      <c r="AC93" s="202"/>
    </row>
    <row r="94" spans="1:29" x14ac:dyDescent="0.25">
      <c r="AC94" s="202"/>
    </row>
  </sheetData>
  <mergeCells count="663">
    <mergeCell ref="Y87:Z87"/>
    <mergeCell ref="AA87:AB87"/>
    <mergeCell ref="A88:D88"/>
    <mergeCell ref="E88:H88"/>
    <mergeCell ref="M88:P88"/>
    <mergeCell ref="Q88:T88"/>
    <mergeCell ref="U88:X88"/>
    <mergeCell ref="Y88:AB88"/>
    <mergeCell ref="Y86:AB86"/>
    <mergeCell ref="A87:B87"/>
    <mergeCell ref="C87:D87"/>
    <mergeCell ref="E87:F87"/>
    <mergeCell ref="G87:H87"/>
    <mergeCell ref="M87:N87"/>
    <mergeCell ref="O87:P87"/>
    <mergeCell ref="Q87:R87"/>
    <mergeCell ref="S87:T87"/>
    <mergeCell ref="U87:V87"/>
    <mergeCell ref="A86:D86"/>
    <mergeCell ref="E86:H86"/>
    <mergeCell ref="I86:L88"/>
    <mergeCell ref="M86:P86"/>
    <mergeCell ref="Q86:T86"/>
    <mergeCell ref="U86:X86"/>
    <mergeCell ref="W87:X87"/>
    <mergeCell ref="Q85:R85"/>
    <mergeCell ref="S85:T85"/>
    <mergeCell ref="U85:V85"/>
    <mergeCell ref="W85:X85"/>
    <mergeCell ref="Y85:Z85"/>
    <mergeCell ref="AA85:AB85"/>
    <mergeCell ref="Y84:Z84"/>
    <mergeCell ref="AA84:AB84"/>
    <mergeCell ref="A85:B85"/>
    <mergeCell ref="C85:D85"/>
    <mergeCell ref="E85:F85"/>
    <mergeCell ref="G85:H85"/>
    <mergeCell ref="I85:J85"/>
    <mergeCell ref="K85:L85"/>
    <mergeCell ref="M85:N85"/>
    <mergeCell ref="O85:P85"/>
    <mergeCell ref="M84:N84"/>
    <mergeCell ref="O84:P84"/>
    <mergeCell ref="Q84:R84"/>
    <mergeCell ref="S84:T84"/>
    <mergeCell ref="U84:V84"/>
    <mergeCell ref="W84:X84"/>
    <mergeCell ref="A84:B84"/>
    <mergeCell ref="C84:D84"/>
    <mergeCell ref="E84:F84"/>
    <mergeCell ref="G84:H84"/>
    <mergeCell ref="I84:J84"/>
    <mergeCell ref="K84:L84"/>
    <mergeCell ref="Y82:AB82"/>
    <mergeCell ref="A83:D83"/>
    <mergeCell ref="E83:H83"/>
    <mergeCell ref="I83:L83"/>
    <mergeCell ref="M83:P83"/>
    <mergeCell ref="Q83:T83"/>
    <mergeCell ref="U83:X83"/>
    <mergeCell ref="Y83:AB83"/>
    <mergeCell ref="A82:D82"/>
    <mergeCell ref="E82:H82"/>
    <mergeCell ref="I82:L82"/>
    <mergeCell ref="M82:P82"/>
    <mergeCell ref="Q82:T82"/>
    <mergeCell ref="U82:X82"/>
    <mergeCell ref="S78:T78"/>
    <mergeCell ref="U78:V78"/>
    <mergeCell ref="W78:X78"/>
    <mergeCell ref="A79:D79"/>
    <mergeCell ref="E79:H79"/>
    <mergeCell ref="I79:L79"/>
    <mergeCell ref="M79:P79"/>
    <mergeCell ref="Q79:T79"/>
    <mergeCell ref="U79:X79"/>
    <mergeCell ref="Y77:AB79"/>
    <mergeCell ref="A78:B78"/>
    <mergeCell ref="C78:D78"/>
    <mergeCell ref="E78:F78"/>
    <mergeCell ref="G78:H78"/>
    <mergeCell ref="I78:J78"/>
    <mergeCell ref="K78:L78"/>
    <mergeCell ref="M78:N78"/>
    <mergeCell ref="O78:P78"/>
    <mergeCell ref="Q78:R78"/>
    <mergeCell ref="A77:D77"/>
    <mergeCell ref="E77:H77"/>
    <mergeCell ref="I77:L77"/>
    <mergeCell ref="M77:P77"/>
    <mergeCell ref="Q77:T77"/>
    <mergeCell ref="U77:X77"/>
    <mergeCell ref="Q76:R76"/>
    <mergeCell ref="S76:T76"/>
    <mergeCell ref="U76:V76"/>
    <mergeCell ref="W76:X76"/>
    <mergeCell ref="Y76:Z76"/>
    <mergeCell ref="AA76:AB76"/>
    <mergeCell ref="Y75:Z75"/>
    <mergeCell ref="AA75:AB75"/>
    <mergeCell ref="A76:B76"/>
    <mergeCell ref="C76:D76"/>
    <mergeCell ref="E76:F76"/>
    <mergeCell ref="G76:H76"/>
    <mergeCell ref="I76:J76"/>
    <mergeCell ref="K76:L76"/>
    <mergeCell ref="M76:N76"/>
    <mergeCell ref="O76:P76"/>
    <mergeCell ref="M75:N75"/>
    <mergeCell ref="O75:P75"/>
    <mergeCell ref="Q75:R75"/>
    <mergeCell ref="S75:T75"/>
    <mergeCell ref="U75:V75"/>
    <mergeCell ref="W75:X75"/>
    <mergeCell ref="A75:B75"/>
    <mergeCell ref="C75:D75"/>
    <mergeCell ref="E75:F75"/>
    <mergeCell ref="G75:H75"/>
    <mergeCell ref="I75:J75"/>
    <mergeCell ref="K75:L75"/>
    <mergeCell ref="Y73:AB73"/>
    <mergeCell ref="A74:D74"/>
    <mergeCell ref="E74:H74"/>
    <mergeCell ref="I74:L74"/>
    <mergeCell ref="M74:P74"/>
    <mergeCell ref="Q74:T74"/>
    <mergeCell ref="U74:X74"/>
    <mergeCell ref="Y74:AB74"/>
    <mergeCell ref="A73:D73"/>
    <mergeCell ref="E73:H73"/>
    <mergeCell ref="I73:L73"/>
    <mergeCell ref="M73:P73"/>
    <mergeCell ref="Q73:T73"/>
    <mergeCell ref="U73:X73"/>
    <mergeCell ref="S69:T69"/>
    <mergeCell ref="U69:V69"/>
    <mergeCell ref="W69:X69"/>
    <mergeCell ref="A70:D70"/>
    <mergeCell ref="E70:H70"/>
    <mergeCell ref="I70:L70"/>
    <mergeCell ref="M70:P70"/>
    <mergeCell ref="Q70:T70"/>
    <mergeCell ref="U70:X70"/>
    <mergeCell ref="Y68:AB70"/>
    <mergeCell ref="A69:B69"/>
    <mergeCell ref="C69:D69"/>
    <mergeCell ref="E69:F69"/>
    <mergeCell ref="G69:H69"/>
    <mergeCell ref="I69:J69"/>
    <mergeCell ref="K69:L69"/>
    <mergeCell ref="M69:N69"/>
    <mergeCell ref="O69:P69"/>
    <mergeCell ref="Q69:R69"/>
    <mergeCell ref="A68:D68"/>
    <mergeCell ref="E68:H68"/>
    <mergeCell ref="I68:L68"/>
    <mergeCell ref="M68:P68"/>
    <mergeCell ref="Q68:T68"/>
    <mergeCell ref="U68:X68"/>
    <mergeCell ref="Q67:R67"/>
    <mergeCell ref="S67:T67"/>
    <mergeCell ref="U67:V67"/>
    <mergeCell ref="W67:X67"/>
    <mergeCell ref="Y67:Z67"/>
    <mergeCell ref="AA67:AB67"/>
    <mergeCell ref="Y66:Z66"/>
    <mergeCell ref="AA66:AB66"/>
    <mergeCell ref="A67:B67"/>
    <mergeCell ref="C67:D67"/>
    <mergeCell ref="E67:F67"/>
    <mergeCell ref="G67:H67"/>
    <mergeCell ref="I67:J67"/>
    <mergeCell ref="K67:L67"/>
    <mergeCell ref="M67:N67"/>
    <mergeCell ref="O67:P67"/>
    <mergeCell ref="M66:N66"/>
    <mergeCell ref="O66:P66"/>
    <mergeCell ref="Q66:R66"/>
    <mergeCell ref="S66:T66"/>
    <mergeCell ref="U66:V66"/>
    <mergeCell ref="W66:X66"/>
    <mergeCell ref="A66:B66"/>
    <mergeCell ref="C66:D66"/>
    <mergeCell ref="E66:F66"/>
    <mergeCell ref="G66:H66"/>
    <mergeCell ref="I66:J66"/>
    <mergeCell ref="K66:L66"/>
    <mergeCell ref="Y64:AB64"/>
    <mergeCell ref="A65:D65"/>
    <mergeCell ref="E65:H65"/>
    <mergeCell ref="I65:L65"/>
    <mergeCell ref="M65:P65"/>
    <mergeCell ref="Q65:T65"/>
    <mergeCell ref="U65:X65"/>
    <mergeCell ref="Y65:AB65"/>
    <mergeCell ref="A64:D64"/>
    <mergeCell ref="E64:H64"/>
    <mergeCell ref="I64:L64"/>
    <mergeCell ref="M64:P64"/>
    <mergeCell ref="Q64:T64"/>
    <mergeCell ref="U64:X64"/>
    <mergeCell ref="Y60:Z60"/>
    <mergeCell ref="AA60:AB60"/>
    <mergeCell ref="A61:D61"/>
    <mergeCell ref="E61:H61"/>
    <mergeCell ref="M61:P61"/>
    <mergeCell ref="Q61:T61"/>
    <mergeCell ref="U61:X61"/>
    <mergeCell ref="Y61:AB61"/>
    <mergeCell ref="Y59:AB59"/>
    <mergeCell ref="A60:B60"/>
    <mergeCell ref="C60:D60"/>
    <mergeCell ref="E60:F60"/>
    <mergeCell ref="G60:H60"/>
    <mergeCell ref="M60:N60"/>
    <mergeCell ref="O60:P60"/>
    <mergeCell ref="Q60:R60"/>
    <mergeCell ref="S60:T60"/>
    <mergeCell ref="U60:V60"/>
    <mergeCell ref="A59:D59"/>
    <mergeCell ref="E59:H59"/>
    <mergeCell ref="I59:L61"/>
    <mergeCell ref="M59:P59"/>
    <mergeCell ref="Q59:T59"/>
    <mergeCell ref="U59:X59"/>
    <mergeCell ref="W60:X60"/>
    <mergeCell ref="Q58:R58"/>
    <mergeCell ref="S58:T58"/>
    <mergeCell ref="U58:V58"/>
    <mergeCell ref="W58:X58"/>
    <mergeCell ref="Y58:Z58"/>
    <mergeCell ref="AA58:AB58"/>
    <mergeCell ref="Y57:Z57"/>
    <mergeCell ref="AA57:AB57"/>
    <mergeCell ref="A58:B58"/>
    <mergeCell ref="C58:D58"/>
    <mergeCell ref="E58:F58"/>
    <mergeCell ref="G58:H58"/>
    <mergeCell ref="I58:J58"/>
    <mergeCell ref="K58:L58"/>
    <mergeCell ref="M58:N58"/>
    <mergeCell ref="O58:P58"/>
    <mergeCell ref="M57:N57"/>
    <mergeCell ref="O57:P57"/>
    <mergeCell ref="Q57:R57"/>
    <mergeCell ref="S57:T57"/>
    <mergeCell ref="U57:V57"/>
    <mergeCell ref="W57:X57"/>
    <mergeCell ref="A57:B57"/>
    <mergeCell ref="C57:D57"/>
    <mergeCell ref="E57:F57"/>
    <mergeCell ref="G57:H57"/>
    <mergeCell ref="I57:J57"/>
    <mergeCell ref="K57:L57"/>
    <mergeCell ref="Y55:AB55"/>
    <mergeCell ref="A56:D56"/>
    <mergeCell ref="E56:H56"/>
    <mergeCell ref="I56:L56"/>
    <mergeCell ref="M56:P56"/>
    <mergeCell ref="Q56:T56"/>
    <mergeCell ref="U56:X56"/>
    <mergeCell ref="Y56:AB56"/>
    <mergeCell ref="A55:D55"/>
    <mergeCell ref="E55:H55"/>
    <mergeCell ref="I55:L55"/>
    <mergeCell ref="M55:P55"/>
    <mergeCell ref="Q55:T55"/>
    <mergeCell ref="U55:X55"/>
    <mergeCell ref="S51:T51"/>
    <mergeCell ref="U51:V51"/>
    <mergeCell ref="W51:X51"/>
    <mergeCell ref="A52:D52"/>
    <mergeCell ref="E52:H52"/>
    <mergeCell ref="I52:L52"/>
    <mergeCell ref="M52:P52"/>
    <mergeCell ref="Q52:T52"/>
    <mergeCell ref="U52:X52"/>
    <mergeCell ref="Y50:AB52"/>
    <mergeCell ref="A51:B51"/>
    <mergeCell ref="C51:D51"/>
    <mergeCell ref="E51:F51"/>
    <mergeCell ref="G51:H51"/>
    <mergeCell ref="I51:J51"/>
    <mergeCell ref="K51:L51"/>
    <mergeCell ref="M51:N51"/>
    <mergeCell ref="O51:P51"/>
    <mergeCell ref="Q51:R51"/>
    <mergeCell ref="A50:D50"/>
    <mergeCell ref="E50:H50"/>
    <mergeCell ref="I50:L50"/>
    <mergeCell ref="M50:P50"/>
    <mergeCell ref="Q50:T50"/>
    <mergeCell ref="U50:X50"/>
    <mergeCell ref="Q49:R49"/>
    <mergeCell ref="S49:T49"/>
    <mergeCell ref="U49:V49"/>
    <mergeCell ref="W49:X49"/>
    <mergeCell ref="Y49:Z49"/>
    <mergeCell ref="AA49:AB49"/>
    <mergeCell ref="Y48:Z48"/>
    <mergeCell ref="AA48:AB48"/>
    <mergeCell ref="A49:B49"/>
    <mergeCell ref="C49:D49"/>
    <mergeCell ref="E49:F49"/>
    <mergeCell ref="G49:H49"/>
    <mergeCell ref="I49:J49"/>
    <mergeCell ref="K49:L49"/>
    <mergeCell ref="M49:N49"/>
    <mergeCell ref="O49:P49"/>
    <mergeCell ref="M48:N48"/>
    <mergeCell ref="O48:P48"/>
    <mergeCell ref="Q48:R48"/>
    <mergeCell ref="S48:T48"/>
    <mergeCell ref="U48:V48"/>
    <mergeCell ref="W48:X48"/>
    <mergeCell ref="A48:B48"/>
    <mergeCell ref="C48:D48"/>
    <mergeCell ref="E48:F48"/>
    <mergeCell ref="G48:H48"/>
    <mergeCell ref="I48:J48"/>
    <mergeCell ref="K48:L48"/>
    <mergeCell ref="Y46:AB46"/>
    <mergeCell ref="A47:D47"/>
    <mergeCell ref="E47:H47"/>
    <mergeCell ref="I47:L47"/>
    <mergeCell ref="M47:P47"/>
    <mergeCell ref="Q47:T47"/>
    <mergeCell ref="U47:X47"/>
    <mergeCell ref="Y47:AB47"/>
    <mergeCell ref="A46:D46"/>
    <mergeCell ref="E46:H46"/>
    <mergeCell ref="I46:L46"/>
    <mergeCell ref="M46:P46"/>
    <mergeCell ref="Q46:T46"/>
    <mergeCell ref="U46:X46"/>
    <mergeCell ref="S42:T42"/>
    <mergeCell ref="U42:V42"/>
    <mergeCell ref="W42:X42"/>
    <mergeCell ref="A43:D43"/>
    <mergeCell ref="E43:H43"/>
    <mergeCell ref="I43:L43"/>
    <mergeCell ref="M43:P43"/>
    <mergeCell ref="Q43:T43"/>
    <mergeCell ref="U43:X43"/>
    <mergeCell ref="Y41:AB43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A41:D41"/>
    <mergeCell ref="E41:H41"/>
    <mergeCell ref="I41:L41"/>
    <mergeCell ref="M41:P41"/>
    <mergeCell ref="Q41:T41"/>
    <mergeCell ref="U41:X41"/>
    <mergeCell ref="Q40:R40"/>
    <mergeCell ref="S40:T40"/>
    <mergeCell ref="U40:V40"/>
    <mergeCell ref="W40:X40"/>
    <mergeCell ref="Y40:Z40"/>
    <mergeCell ref="AA40:AB40"/>
    <mergeCell ref="Y39:Z39"/>
    <mergeCell ref="AA39:AB39"/>
    <mergeCell ref="A40:B40"/>
    <mergeCell ref="C40:D40"/>
    <mergeCell ref="E40:F40"/>
    <mergeCell ref="G40:H40"/>
    <mergeCell ref="I40:J40"/>
    <mergeCell ref="K40:L40"/>
    <mergeCell ref="M40:N40"/>
    <mergeCell ref="O40:P40"/>
    <mergeCell ref="M39:N39"/>
    <mergeCell ref="O39:P39"/>
    <mergeCell ref="Q39:R39"/>
    <mergeCell ref="S39:T39"/>
    <mergeCell ref="U39:V39"/>
    <mergeCell ref="W39:X39"/>
    <mergeCell ref="A39:B39"/>
    <mergeCell ref="C39:D39"/>
    <mergeCell ref="E39:F39"/>
    <mergeCell ref="G39:H39"/>
    <mergeCell ref="I39:J39"/>
    <mergeCell ref="K39:L39"/>
    <mergeCell ref="Y37:AB37"/>
    <mergeCell ref="A38:D38"/>
    <mergeCell ref="E38:H38"/>
    <mergeCell ref="I38:L38"/>
    <mergeCell ref="M38:P38"/>
    <mergeCell ref="Q38:T38"/>
    <mergeCell ref="U38:X38"/>
    <mergeCell ref="Y38:AB38"/>
    <mergeCell ref="A37:D37"/>
    <mergeCell ref="E37:H37"/>
    <mergeCell ref="I37:L37"/>
    <mergeCell ref="M37:P37"/>
    <mergeCell ref="Q37:T37"/>
    <mergeCell ref="U37:X37"/>
    <mergeCell ref="Y33:Z33"/>
    <mergeCell ref="AA33:AB33"/>
    <mergeCell ref="A34:D34"/>
    <mergeCell ref="E34:H34"/>
    <mergeCell ref="M34:P34"/>
    <mergeCell ref="Q34:T34"/>
    <mergeCell ref="U34:X34"/>
    <mergeCell ref="Y34:AB34"/>
    <mergeCell ref="Y32:AB32"/>
    <mergeCell ref="A33:B33"/>
    <mergeCell ref="C33:D33"/>
    <mergeCell ref="E33:F33"/>
    <mergeCell ref="G33:H33"/>
    <mergeCell ref="M33:N33"/>
    <mergeCell ref="O33:P33"/>
    <mergeCell ref="Q33:R33"/>
    <mergeCell ref="S33:T33"/>
    <mergeCell ref="U33:V33"/>
    <mergeCell ref="A32:D32"/>
    <mergeCell ref="E32:H32"/>
    <mergeCell ref="I32:L34"/>
    <mergeCell ref="M32:P32"/>
    <mergeCell ref="Q32:T32"/>
    <mergeCell ref="U32:X32"/>
    <mergeCell ref="W33:X33"/>
    <mergeCell ref="Q31:R31"/>
    <mergeCell ref="S31:T31"/>
    <mergeCell ref="U31:V31"/>
    <mergeCell ref="W31:X31"/>
    <mergeCell ref="Y31:Z31"/>
    <mergeCell ref="AA31:AB31"/>
    <mergeCell ref="Y30:Z30"/>
    <mergeCell ref="AA30:AB30"/>
    <mergeCell ref="A31:B31"/>
    <mergeCell ref="C31:D31"/>
    <mergeCell ref="E31:F31"/>
    <mergeCell ref="G31:H31"/>
    <mergeCell ref="I31:J31"/>
    <mergeCell ref="K31:L31"/>
    <mergeCell ref="M31:N31"/>
    <mergeCell ref="O31:P31"/>
    <mergeCell ref="M30:N30"/>
    <mergeCell ref="O30:P30"/>
    <mergeCell ref="Q30:R30"/>
    <mergeCell ref="S30:T30"/>
    <mergeCell ref="U30:V30"/>
    <mergeCell ref="W30:X30"/>
    <mergeCell ref="A30:B30"/>
    <mergeCell ref="C30:D30"/>
    <mergeCell ref="E30:F30"/>
    <mergeCell ref="G30:H30"/>
    <mergeCell ref="I30:J30"/>
    <mergeCell ref="K30:L30"/>
    <mergeCell ref="Y28:AB28"/>
    <mergeCell ref="A29:D29"/>
    <mergeCell ref="E29:H29"/>
    <mergeCell ref="I29:L29"/>
    <mergeCell ref="M29:P29"/>
    <mergeCell ref="Q29:T29"/>
    <mergeCell ref="U29:X29"/>
    <mergeCell ref="Y29:AB29"/>
    <mergeCell ref="A28:D28"/>
    <mergeCell ref="E28:H28"/>
    <mergeCell ref="I28:L28"/>
    <mergeCell ref="M28:P28"/>
    <mergeCell ref="Q28:T28"/>
    <mergeCell ref="U28:X28"/>
    <mergeCell ref="S24:T24"/>
    <mergeCell ref="U24:V24"/>
    <mergeCell ref="W24:X24"/>
    <mergeCell ref="A25:D25"/>
    <mergeCell ref="E25:H25"/>
    <mergeCell ref="I25:L25"/>
    <mergeCell ref="M25:P25"/>
    <mergeCell ref="Q25:T25"/>
    <mergeCell ref="U25:X25"/>
    <mergeCell ref="Y23:AB25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A23:D23"/>
    <mergeCell ref="E23:H23"/>
    <mergeCell ref="I23:L23"/>
    <mergeCell ref="M23:P23"/>
    <mergeCell ref="Q23:T23"/>
    <mergeCell ref="U23:X23"/>
    <mergeCell ref="Q22:R22"/>
    <mergeCell ref="S22:T22"/>
    <mergeCell ref="U22:V22"/>
    <mergeCell ref="W22:X22"/>
    <mergeCell ref="Y22:Z22"/>
    <mergeCell ref="AA22:AB22"/>
    <mergeCell ref="Y21:Z21"/>
    <mergeCell ref="AA21:AB21"/>
    <mergeCell ref="A22:B22"/>
    <mergeCell ref="C22:D22"/>
    <mergeCell ref="E22:F22"/>
    <mergeCell ref="G22:H22"/>
    <mergeCell ref="I22:J22"/>
    <mergeCell ref="K22:L22"/>
    <mergeCell ref="M22:N22"/>
    <mergeCell ref="O22:P22"/>
    <mergeCell ref="M21:N21"/>
    <mergeCell ref="O21:P21"/>
    <mergeCell ref="Q21:R21"/>
    <mergeCell ref="S21:T21"/>
    <mergeCell ref="U21:V21"/>
    <mergeCell ref="W21:X21"/>
    <mergeCell ref="A21:B21"/>
    <mergeCell ref="C21:D21"/>
    <mergeCell ref="E21:F21"/>
    <mergeCell ref="G21:H21"/>
    <mergeCell ref="I21:J21"/>
    <mergeCell ref="K21:L21"/>
    <mergeCell ref="Y19:AB19"/>
    <mergeCell ref="A20:D20"/>
    <mergeCell ref="E20:H20"/>
    <mergeCell ref="I20:L20"/>
    <mergeCell ref="M20:P20"/>
    <mergeCell ref="Q20:T20"/>
    <mergeCell ref="U20:X20"/>
    <mergeCell ref="Y20:AB20"/>
    <mergeCell ref="A19:D19"/>
    <mergeCell ref="E19:H19"/>
    <mergeCell ref="I19:L19"/>
    <mergeCell ref="M19:P19"/>
    <mergeCell ref="Q19:T19"/>
    <mergeCell ref="U19:X19"/>
    <mergeCell ref="S15:T15"/>
    <mergeCell ref="U15:V15"/>
    <mergeCell ref="W15:X15"/>
    <mergeCell ref="A16:D16"/>
    <mergeCell ref="E16:H16"/>
    <mergeCell ref="I16:L16"/>
    <mergeCell ref="M16:P16"/>
    <mergeCell ref="Q16:T16"/>
    <mergeCell ref="U16:X16"/>
    <mergeCell ref="Y14:AB16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A14:D14"/>
    <mergeCell ref="E14:H14"/>
    <mergeCell ref="I14:L14"/>
    <mergeCell ref="M14:P14"/>
    <mergeCell ref="Q14:T14"/>
    <mergeCell ref="U14:X14"/>
    <mergeCell ref="Q13:R13"/>
    <mergeCell ref="S13:T13"/>
    <mergeCell ref="U13:V13"/>
    <mergeCell ref="W13:X13"/>
    <mergeCell ref="Y13:Z13"/>
    <mergeCell ref="AA13:AB13"/>
    <mergeCell ref="Y12:Z12"/>
    <mergeCell ref="AA12:AB12"/>
    <mergeCell ref="A13:B13"/>
    <mergeCell ref="C13:D13"/>
    <mergeCell ref="E13:F13"/>
    <mergeCell ref="G13:H13"/>
    <mergeCell ref="I13:J13"/>
    <mergeCell ref="K13:L13"/>
    <mergeCell ref="M13:N13"/>
    <mergeCell ref="O13:P13"/>
    <mergeCell ref="M12:N12"/>
    <mergeCell ref="O12:P12"/>
    <mergeCell ref="Q12:R12"/>
    <mergeCell ref="S12:T12"/>
    <mergeCell ref="U12:V12"/>
    <mergeCell ref="W12:X12"/>
    <mergeCell ref="A12:B12"/>
    <mergeCell ref="C12:D12"/>
    <mergeCell ref="E12:F12"/>
    <mergeCell ref="G12:H12"/>
    <mergeCell ref="I12:J12"/>
    <mergeCell ref="K12:L12"/>
    <mergeCell ref="Y10:AB10"/>
    <mergeCell ref="A11:D11"/>
    <mergeCell ref="E11:H11"/>
    <mergeCell ref="I11:L11"/>
    <mergeCell ref="M11:P11"/>
    <mergeCell ref="Q11:T11"/>
    <mergeCell ref="U11:X11"/>
    <mergeCell ref="Y11:AB11"/>
    <mergeCell ref="A10:D10"/>
    <mergeCell ref="E10:H10"/>
    <mergeCell ref="I10:L10"/>
    <mergeCell ref="M10:P10"/>
    <mergeCell ref="Q10:T10"/>
    <mergeCell ref="U10:X10"/>
    <mergeCell ref="Y6:Z6"/>
    <mergeCell ref="AA6:AB6"/>
    <mergeCell ref="A7:D7"/>
    <mergeCell ref="E7:H7"/>
    <mergeCell ref="M7:P7"/>
    <mergeCell ref="Q7:T7"/>
    <mergeCell ref="U7:X7"/>
    <mergeCell ref="Y7:AB7"/>
    <mergeCell ref="Y5:AB5"/>
    <mergeCell ref="A6:B6"/>
    <mergeCell ref="C6:D6"/>
    <mergeCell ref="E6:F6"/>
    <mergeCell ref="G6:H6"/>
    <mergeCell ref="M6:N6"/>
    <mergeCell ref="O6:P6"/>
    <mergeCell ref="Q6:R6"/>
    <mergeCell ref="S6:T6"/>
    <mergeCell ref="U6:V6"/>
    <mergeCell ref="A5:D5"/>
    <mergeCell ref="E5:H5"/>
    <mergeCell ref="I5:L7"/>
    <mergeCell ref="M5:P5"/>
    <mergeCell ref="Q5:T5"/>
    <mergeCell ref="U5:X5"/>
    <mergeCell ref="W6:X6"/>
    <mergeCell ref="Y3:Z3"/>
    <mergeCell ref="AA3:AB3"/>
    <mergeCell ref="A4:B4"/>
    <mergeCell ref="C4:D4"/>
    <mergeCell ref="E4:F4"/>
    <mergeCell ref="G4:H4"/>
    <mergeCell ref="I4:J4"/>
    <mergeCell ref="K4:L4"/>
    <mergeCell ref="W4:X4"/>
    <mergeCell ref="M3:N3"/>
    <mergeCell ref="O3:P3"/>
    <mergeCell ref="Q3:R3"/>
    <mergeCell ref="S3:T3"/>
    <mergeCell ref="U3:V3"/>
    <mergeCell ref="W3:X3"/>
    <mergeCell ref="A3:B3"/>
    <mergeCell ref="C3:D3"/>
    <mergeCell ref="E3:F3"/>
    <mergeCell ref="G3:H3"/>
    <mergeCell ref="I3:J3"/>
    <mergeCell ref="K3:L3"/>
    <mergeCell ref="Y1:AB1"/>
    <mergeCell ref="A2:D2"/>
    <mergeCell ref="E2:H2"/>
    <mergeCell ref="I2:L2"/>
    <mergeCell ref="M2:P2"/>
    <mergeCell ref="Q2:T2"/>
    <mergeCell ref="U2:X2"/>
    <mergeCell ref="Y2:AB2"/>
    <mergeCell ref="A1:D1"/>
    <mergeCell ref="E1:H1"/>
    <mergeCell ref="I1:L1"/>
    <mergeCell ref="M1:P1"/>
    <mergeCell ref="Q1:T1"/>
    <mergeCell ref="U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Laura &amp; Team</vt:lpstr>
      <vt:lpstr>Caisse</vt:lpstr>
      <vt:lpstr>Mervin &amp; Team</vt:lpstr>
      <vt:lpstr>Store</vt:lpstr>
      <vt:lpstr>Yacoob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LASCARIE</dc:creator>
  <cp:lastModifiedBy>MOBRICO MOBRICO</cp:lastModifiedBy>
  <dcterms:created xsi:type="dcterms:W3CDTF">2025-07-18T12:04:22Z</dcterms:created>
  <dcterms:modified xsi:type="dcterms:W3CDTF">2025-07-31T06:23:54Z</dcterms:modified>
</cp:coreProperties>
</file>